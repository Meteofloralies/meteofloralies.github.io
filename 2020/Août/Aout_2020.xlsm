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backupFile="1" codeName="ThisWorkbook" defaultThemeVersion="124226"/>
  <bookViews>
    <workbookView xWindow="-15" yWindow="-15" windowWidth="13995" windowHeight="12660" tabRatio="244" activeTab="1"/>
  </bookViews>
  <sheets>
    <sheet name="Relevés" sheetId="114" r:id="rId1"/>
    <sheet name="Aout_2020" sheetId="83" r:id="rId2"/>
    <sheet name="Mini-Maxi" sheetId="89" r:id="rId3"/>
  </sheets>
  <definedNames>
    <definedName name="Ligne">OFFSET(#REF!,,,MATCH(#REF!,#REF!,1))</definedName>
    <definedName name="Ligne1">OFFSET(Ligne,,1,,)</definedName>
  </definedNames>
  <calcPr calcId="145621"/>
</workbook>
</file>

<file path=xl/calcChain.xml><?xml version="1.0" encoding="utf-8"?>
<calcChain xmlns="http://schemas.openxmlformats.org/spreadsheetml/2006/main">
  <c r="AD7" i="83" l="1"/>
  <c r="AD9" i="83"/>
  <c r="P1450" i="114" l="1"/>
  <c r="O1450" i="114"/>
  <c r="N1450" i="114"/>
  <c r="M1450" i="114"/>
  <c r="L1450" i="114"/>
  <c r="K1450" i="114"/>
  <c r="F1450" i="114"/>
  <c r="C1450" i="114"/>
  <c r="AX5" i="83" l="1"/>
  <c r="AI5" i="83"/>
  <c r="AG5" i="83"/>
  <c r="AX9" i="83"/>
  <c r="AX7" i="83" s="1"/>
  <c r="AI9" i="83"/>
  <c r="AI7" i="83" s="1"/>
  <c r="AG9" i="83"/>
  <c r="X9" i="83"/>
  <c r="Z9" i="83" s="1"/>
  <c r="N7" i="83"/>
  <c r="P9" i="83" s="1"/>
  <c r="F7" i="83"/>
  <c r="H9" i="83" s="1"/>
  <c r="AG7" i="83"/>
  <c r="J7" i="83"/>
  <c r="L7" i="83" s="1"/>
  <c r="P7" i="83" l="1"/>
  <c r="L9" i="83"/>
  <c r="H7" i="83"/>
  <c r="BG16" i="114"/>
  <c r="BE16" i="114"/>
  <c r="BC16" i="114"/>
  <c r="BA16" i="114"/>
  <c r="AY16" i="114"/>
  <c r="D13" i="83" l="1"/>
  <c r="D15" i="83" s="1"/>
  <c r="AV13" i="83" l="1"/>
  <c r="AE13" i="83"/>
  <c r="V13" i="83"/>
  <c r="BB13" i="83"/>
  <c r="C13" i="83"/>
  <c r="C11" i="83"/>
  <c r="BB11" i="83"/>
  <c r="V11" i="83"/>
  <c r="AE11" i="83"/>
  <c r="AV11" i="83"/>
  <c r="W96" i="114"/>
  <c r="W1330" i="114"/>
  <c r="X1330" i="114" s="1"/>
  <c r="W1331" i="114"/>
  <c r="X1331" i="114" s="1"/>
  <c r="W1332" i="114"/>
  <c r="X1332" i="114" s="1"/>
  <c r="W1333" i="114"/>
  <c r="X1333" i="114" s="1"/>
  <c r="W1334" i="114"/>
  <c r="X1334" i="114" s="1"/>
  <c r="W1335" i="114"/>
  <c r="X1335" i="114" s="1"/>
  <c r="W1336" i="114"/>
  <c r="X1336" i="114" s="1"/>
  <c r="W1337" i="114"/>
  <c r="X1337" i="114" s="1"/>
  <c r="W1338" i="114"/>
  <c r="X1338" i="114" s="1"/>
  <c r="W1339" i="114"/>
  <c r="X1339" i="114" s="1"/>
  <c r="W1340" i="114"/>
  <c r="X1340" i="114" s="1"/>
  <c r="W1341" i="114"/>
  <c r="X1341" i="114" s="1"/>
  <c r="W1342" i="114"/>
  <c r="X1342" i="114" s="1"/>
  <c r="W1343" i="114"/>
  <c r="X1343" i="114" s="1"/>
  <c r="W1344" i="114"/>
  <c r="X1344" i="114" s="1"/>
  <c r="W1345" i="114"/>
  <c r="X1345" i="114" s="1"/>
  <c r="W1346" i="114"/>
  <c r="X1346" i="114" s="1"/>
  <c r="W1347" i="114"/>
  <c r="X1347" i="114" s="1"/>
  <c r="W1348" i="114"/>
  <c r="X1348" i="114" s="1"/>
  <c r="W1349" i="114"/>
  <c r="X1349" i="114" s="1"/>
  <c r="W1350" i="114"/>
  <c r="X1350" i="114" s="1"/>
  <c r="W1351" i="114"/>
  <c r="X1351" i="114" s="1"/>
  <c r="W1352" i="114"/>
  <c r="X1352" i="114" s="1"/>
  <c r="W1353" i="114"/>
  <c r="X1353" i="114" s="1"/>
  <c r="W1354" i="114"/>
  <c r="X1354" i="114" s="1"/>
  <c r="W1355" i="114"/>
  <c r="X1355" i="114" s="1"/>
  <c r="W1356" i="114"/>
  <c r="X1356" i="114" s="1"/>
  <c r="W1357" i="114"/>
  <c r="X1357" i="114" s="1"/>
  <c r="W1358" i="114"/>
  <c r="X1358" i="114" s="1"/>
  <c r="W1359" i="114"/>
  <c r="X1359" i="114" s="1"/>
  <c r="W1360" i="114"/>
  <c r="X1360" i="114" s="1"/>
  <c r="W1361" i="114"/>
  <c r="X1361" i="114" s="1"/>
  <c r="W1362" i="114"/>
  <c r="X1362" i="114" s="1"/>
  <c r="W1363" i="114"/>
  <c r="X1363" i="114" s="1"/>
  <c r="W1364" i="114"/>
  <c r="X1364" i="114" s="1"/>
  <c r="W1365" i="114"/>
  <c r="X1365" i="114" s="1"/>
  <c r="W1366" i="114"/>
  <c r="X1366" i="114" s="1"/>
  <c r="W1367" i="114"/>
  <c r="X1367" i="114" s="1"/>
  <c r="W1368" i="114"/>
  <c r="X1368" i="114" s="1"/>
  <c r="W1369" i="114"/>
  <c r="X1369" i="114" s="1"/>
  <c r="W1370" i="114"/>
  <c r="X1370" i="114" s="1"/>
  <c r="W1371" i="114"/>
  <c r="X1371" i="114" s="1"/>
  <c r="W1372" i="114"/>
  <c r="X1372" i="114" s="1"/>
  <c r="W1373" i="114"/>
  <c r="X1373" i="114" s="1"/>
  <c r="W1374" i="114"/>
  <c r="X1374" i="114" s="1"/>
  <c r="W1375" i="114"/>
  <c r="X1375" i="114" s="1"/>
  <c r="W1376" i="114"/>
  <c r="X1376" i="114" s="1"/>
  <c r="W1377" i="114"/>
  <c r="X1377" i="114" s="1"/>
  <c r="W1378" i="114"/>
  <c r="X1378" i="114" s="1"/>
  <c r="W1379" i="114"/>
  <c r="X1379" i="114" s="1"/>
  <c r="W1380" i="114"/>
  <c r="X1380" i="114" s="1"/>
  <c r="W1381" i="114"/>
  <c r="X1381" i="114" s="1"/>
  <c r="W1382" i="114"/>
  <c r="X1382" i="114" s="1"/>
  <c r="W1383" i="114"/>
  <c r="X1383" i="114" s="1"/>
  <c r="W1384" i="114"/>
  <c r="X1384" i="114" s="1"/>
  <c r="W1385" i="114"/>
  <c r="X1385" i="114" s="1"/>
  <c r="W1386" i="114"/>
  <c r="X1386" i="114" s="1"/>
  <c r="W1387" i="114"/>
  <c r="X1387" i="114" s="1"/>
  <c r="W1388" i="114"/>
  <c r="X1388" i="114" s="1"/>
  <c r="W1389" i="114"/>
  <c r="X1389" i="114" s="1"/>
  <c r="W1390" i="114"/>
  <c r="X1390" i="114" s="1"/>
  <c r="W1391" i="114"/>
  <c r="X1391" i="114" s="1"/>
  <c r="W1392" i="114"/>
  <c r="X1392" i="114" s="1"/>
  <c r="W1393" i="114"/>
  <c r="X1393" i="114" s="1"/>
  <c r="W1394" i="114"/>
  <c r="X1394" i="114" s="1"/>
  <c r="W1395" i="114"/>
  <c r="X1395" i="114" s="1"/>
  <c r="W1396" i="114"/>
  <c r="X1396" i="114" s="1"/>
  <c r="W1397" i="114"/>
  <c r="X1397" i="114" s="1"/>
  <c r="W1398" i="114"/>
  <c r="X1398" i="114" s="1"/>
  <c r="W1399" i="114"/>
  <c r="X1399" i="114" s="1"/>
  <c r="W1400" i="114"/>
  <c r="X1400" i="114" s="1"/>
  <c r="W1401" i="114"/>
  <c r="X1401" i="114" s="1"/>
  <c r="W1402" i="114"/>
  <c r="X1402" i="114" s="1"/>
  <c r="W1403" i="114"/>
  <c r="X1403" i="114" s="1"/>
  <c r="W1404" i="114"/>
  <c r="X1404" i="114" s="1"/>
  <c r="W1405" i="114"/>
  <c r="X1405" i="114" s="1"/>
  <c r="W1406" i="114"/>
  <c r="X1406" i="114" s="1"/>
  <c r="W1407" i="114"/>
  <c r="X1407" i="114" s="1"/>
  <c r="W1408" i="114"/>
  <c r="X1408" i="114" s="1"/>
  <c r="W1409" i="114"/>
  <c r="X1409" i="114" s="1"/>
  <c r="W1410" i="114"/>
  <c r="X1410" i="114" s="1"/>
  <c r="W1411" i="114"/>
  <c r="X1411" i="114" s="1"/>
  <c r="W1412" i="114"/>
  <c r="X1412" i="114" s="1"/>
  <c r="W1413" i="114"/>
  <c r="X1413" i="114" s="1"/>
  <c r="W1414" i="114"/>
  <c r="X1414" i="114" s="1"/>
  <c r="W1415" i="114"/>
  <c r="X1415" i="114" s="1"/>
  <c r="W1416" i="114"/>
  <c r="X1416" i="114" s="1"/>
  <c r="W1417" i="114"/>
  <c r="X1417" i="114" s="1"/>
  <c r="W1418" i="114"/>
  <c r="X1418" i="114" s="1"/>
  <c r="W1419" i="114"/>
  <c r="X1419" i="114" s="1"/>
  <c r="W1420" i="114"/>
  <c r="X1420" i="114" s="1"/>
  <c r="W1421" i="114"/>
  <c r="X1421" i="114" s="1"/>
  <c r="W1422" i="114"/>
  <c r="X1422" i="114" s="1"/>
  <c r="W1423" i="114"/>
  <c r="X1423" i="114" s="1"/>
  <c r="W1424" i="114"/>
  <c r="X1424" i="114" s="1"/>
  <c r="W1425" i="114"/>
  <c r="X1425" i="114" s="1"/>
  <c r="W1426" i="114"/>
  <c r="X1426" i="114" s="1"/>
  <c r="W1427" i="114"/>
  <c r="X1427" i="114" s="1"/>
  <c r="W1428" i="114"/>
  <c r="X1428" i="114" s="1"/>
  <c r="W1429" i="114"/>
  <c r="X1429" i="114" s="1"/>
  <c r="W1430" i="114"/>
  <c r="X1430" i="114" s="1"/>
  <c r="W1431" i="114"/>
  <c r="X1431" i="114" s="1"/>
  <c r="W1432" i="114"/>
  <c r="X1432" i="114" s="1"/>
  <c r="W1433" i="114"/>
  <c r="X1433" i="114" s="1"/>
  <c r="W1434" i="114"/>
  <c r="X1434" i="114" s="1"/>
  <c r="W1435" i="114"/>
  <c r="X1435" i="114" s="1"/>
  <c r="W1436" i="114"/>
  <c r="X1436" i="114" s="1"/>
  <c r="W1437" i="114"/>
  <c r="X1437" i="114" s="1"/>
  <c r="W1438" i="114"/>
  <c r="X1438" i="114" s="1"/>
  <c r="W1439" i="114"/>
  <c r="X1439" i="114" s="1"/>
  <c r="W1440" i="114"/>
  <c r="X1440" i="114" s="1"/>
  <c r="W1441" i="114"/>
  <c r="X1441" i="114" s="1"/>
  <c r="W1442" i="114"/>
  <c r="X1442" i="114" s="1"/>
  <c r="W1443" i="114"/>
  <c r="X1443" i="114" s="1"/>
  <c r="W1444" i="114"/>
  <c r="X1444" i="114" s="1"/>
  <c r="W1445" i="114"/>
  <c r="X1445" i="114" s="1"/>
  <c r="W1446" i="114"/>
  <c r="X1446" i="114" s="1"/>
  <c r="W1447" i="114"/>
  <c r="X1447" i="114" s="1"/>
  <c r="W1448" i="114"/>
  <c r="X1448" i="114" s="1"/>
  <c r="W9" i="114"/>
  <c r="W10" i="114"/>
  <c r="W11" i="114"/>
  <c r="W12" i="114"/>
  <c r="W13" i="114"/>
  <c r="W14" i="114"/>
  <c r="W15" i="114"/>
  <c r="W16" i="114"/>
  <c r="W17" i="114"/>
  <c r="W18" i="114"/>
  <c r="W19" i="114"/>
  <c r="W20" i="114"/>
  <c r="W21" i="114"/>
  <c r="W22" i="114"/>
  <c r="W23" i="114"/>
  <c r="W24" i="114"/>
  <c r="W25" i="114"/>
  <c r="W26" i="114"/>
  <c r="W27" i="114"/>
  <c r="W28" i="114"/>
  <c r="W29" i="114"/>
  <c r="W30" i="114"/>
  <c r="W31" i="114"/>
  <c r="W32" i="114"/>
  <c r="W33" i="114"/>
  <c r="W34" i="114"/>
  <c r="W35" i="114"/>
  <c r="W36" i="114"/>
  <c r="W37" i="114"/>
  <c r="W38" i="114"/>
  <c r="W39" i="114"/>
  <c r="W40" i="114"/>
  <c r="W41" i="114"/>
  <c r="W42" i="114"/>
  <c r="W43" i="114"/>
  <c r="W44" i="114"/>
  <c r="W45" i="114"/>
  <c r="W46" i="114"/>
  <c r="W47" i="114"/>
  <c r="W48" i="114"/>
  <c r="W49" i="114"/>
  <c r="W50" i="114"/>
  <c r="W51" i="114"/>
  <c r="W52" i="114"/>
  <c r="W53" i="114"/>
  <c r="W54" i="114"/>
  <c r="W55" i="114"/>
  <c r="W56" i="114"/>
  <c r="W57" i="114"/>
  <c r="W58" i="114"/>
  <c r="W59" i="114"/>
  <c r="W60" i="114"/>
  <c r="W61" i="114"/>
  <c r="W62" i="114"/>
  <c r="W63" i="114"/>
  <c r="W64" i="114"/>
  <c r="W65" i="114"/>
  <c r="W66" i="114"/>
  <c r="W67" i="114"/>
  <c r="W68" i="114"/>
  <c r="W69" i="114"/>
  <c r="W70" i="114"/>
  <c r="W71" i="114"/>
  <c r="W72" i="114"/>
  <c r="W73" i="114"/>
  <c r="W74" i="114"/>
  <c r="W75" i="114"/>
  <c r="W76" i="114"/>
  <c r="W77" i="114"/>
  <c r="W78" i="114"/>
  <c r="W79" i="114"/>
  <c r="W80" i="114"/>
  <c r="W81" i="114"/>
  <c r="W82" i="114"/>
  <c r="W83" i="114"/>
  <c r="W84" i="114"/>
  <c r="W85" i="114"/>
  <c r="W86" i="114"/>
  <c r="W87" i="114"/>
  <c r="W88" i="114"/>
  <c r="W89" i="114"/>
  <c r="W90" i="114"/>
  <c r="W91" i="114"/>
  <c r="W92" i="114"/>
  <c r="W93" i="114"/>
  <c r="W94" i="114"/>
  <c r="W95" i="114"/>
  <c r="W97" i="114"/>
  <c r="W98" i="114"/>
  <c r="W99" i="114"/>
  <c r="W100" i="114"/>
  <c r="W101" i="114"/>
  <c r="W102" i="114"/>
  <c r="W103" i="114"/>
  <c r="W104" i="114"/>
  <c r="W105" i="114"/>
  <c r="W106" i="114"/>
  <c r="W107" i="114"/>
  <c r="W108" i="114"/>
  <c r="W109" i="114"/>
  <c r="W110" i="114"/>
  <c r="W111" i="114"/>
  <c r="W112" i="114"/>
  <c r="W113" i="114"/>
  <c r="W114" i="114"/>
  <c r="W115" i="114"/>
  <c r="W116" i="114"/>
  <c r="W117" i="114"/>
  <c r="W118" i="114"/>
  <c r="W119" i="114"/>
  <c r="W120" i="114"/>
  <c r="W121" i="114"/>
  <c r="W122" i="114"/>
  <c r="W123" i="114"/>
  <c r="W124" i="114"/>
  <c r="W125" i="114"/>
  <c r="W126" i="114"/>
  <c r="W127" i="114"/>
  <c r="W128" i="114"/>
  <c r="W129" i="114"/>
  <c r="W130" i="114"/>
  <c r="W131" i="114"/>
  <c r="W132" i="114"/>
  <c r="W133" i="114"/>
  <c r="W134" i="114"/>
  <c r="W135" i="114"/>
  <c r="W136" i="114"/>
  <c r="W137" i="114"/>
  <c r="W138" i="114"/>
  <c r="W139" i="114"/>
  <c r="W140" i="114"/>
  <c r="W141" i="114"/>
  <c r="W142" i="114"/>
  <c r="W143" i="114"/>
  <c r="W144" i="114"/>
  <c r="W145" i="114"/>
  <c r="W146" i="114"/>
  <c r="W147" i="114"/>
  <c r="W148" i="114"/>
  <c r="W149" i="114"/>
  <c r="W150" i="114"/>
  <c r="W151" i="114"/>
  <c r="W152" i="114"/>
  <c r="W153" i="114"/>
  <c r="W154" i="114"/>
  <c r="W155" i="114"/>
  <c r="W156" i="114"/>
  <c r="W157" i="114"/>
  <c r="W158" i="114"/>
  <c r="W159" i="114"/>
  <c r="W160" i="114"/>
  <c r="W161" i="114"/>
  <c r="W162" i="114"/>
  <c r="W163" i="114"/>
  <c r="W164" i="114"/>
  <c r="W165" i="114"/>
  <c r="W166" i="114"/>
  <c r="W167" i="114"/>
  <c r="W168" i="114"/>
  <c r="W169" i="114"/>
  <c r="W170" i="114"/>
  <c r="W171" i="114"/>
  <c r="W172" i="114"/>
  <c r="W173" i="114"/>
  <c r="W174" i="114"/>
  <c r="W175" i="114"/>
  <c r="W176" i="114"/>
  <c r="W177" i="114"/>
  <c r="W178" i="114"/>
  <c r="W179" i="114"/>
  <c r="W180" i="114"/>
  <c r="W181" i="114"/>
  <c r="W182" i="114"/>
  <c r="W183" i="114"/>
  <c r="W184" i="114"/>
  <c r="W185" i="114"/>
  <c r="W186" i="114"/>
  <c r="W187" i="114"/>
  <c r="W188" i="114"/>
  <c r="W189" i="114"/>
  <c r="W190" i="114"/>
  <c r="W191" i="114"/>
  <c r="W192" i="114"/>
  <c r="W193" i="114"/>
  <c r="W194" i="114"/>
  <c r="W195" i="114"/>
  <c r="W196" i="114"/>
  <c r="W197" i="114"/>
  <c r="W198" i="114"/>
  <c r="W199" i="114"/>
  <c r="W200" i="114"/>
  <c r="W201" i="114"/>
  <c r="W202" i="114"/>
  <c r="W203" i="114"/>
  <c r="W204" i="114"/>
  <c r="W205" i="114"/>
  <c r="W206" i="114"/>
  <c r="W207" i="114"/>
  <c r="W208" i="114"/>
  <c r="W209" i="114"/>
  <c r="W210" i="114"/>
  <c r="W211" i="114"/>
  <c r="W212" i="114"/>
  <c r="W213" i="114"/>
  <c r="W214" i="114"/>
  <c r="W215" i="114"/>
  <c r="W216" i="114"/>
  <c r="W217" i="114"/>
  <c r="W218" i="114"/>
  <c r="W219" i="114"/>
  <c r="W220" i="114"/>
  <c r="W221" i="114"/>
  <c r="W222" i="114"/>
  <c r="W223" i="114"/>
  <c r="W224" i="114"/>
  <c r="W225" i="114"/>
  <c r="W226" i="114"/>
  <c r="W227" i="114"/>
  <c r="W228" i="114"/>
  <c r="W229" i="114"/>
  <c r="W230" i="114"/>
  <c r="W231" i="114"/>
  <c r="W232" i="114"/>
  <c r="W233" i="114"/>
  <c r="W234" i="114"/>
  <c r="W235" i="114"/>
  <c r="W236" i="114"/>
  <c r="W237" i="114"/>
  <c r="W238" i="114"/>
  <c r="W239" i="114"/>
  <c r="W240" i="114"/>
  <c r="W241" i="114"/>
  <c r="W242" i="114"/>
  <c r="W243" i="114"/>
  <c r="W244" i="114"/>
  <c r="W245" i="114"/>
  <c r="W246" i="114"/>
  <c r="W247" i="114"/>
  <c r="W248" i="114"/>
  <c r="W249" i="114"/>
  <c r="W250" i="114"/>
  <c r="W251" i="114"/>
  <c r="W252" i="114"/>
  <c r="W253" i="114"/>
  <c r="W254" i="114"/>
  <c r="W255" i="114"/>
  <c r="W256" i="114"/>
  <c r="W257" i="114"/>
  <c r="W258" i="114"/>
  <c r="W259" i="114"/>
  <c r="W260" i="114"/>
  <c r="W261" i="114"/>
  <c r="W262" i="114"/>
  <c r="W263" i="114"/>
  <c r="W264" i="114"/>
  <c r="W265" i="114"/>
  <c r="W266" i="114"/>
  <c r="W267" i="114"/>
  <c r="W268" i="114"/>
  <c r="W269" i="114"/>
  <c r="W270" i="114"/>
  <c r="W271" i="114"/>
  <c r="W272" i="114"/>
  <c r="W273" i="114"/>
  <c r="W274" i="114"/>
  <c r="W275" i="114"/>
  <c r="W276" i="114"/>
  <c r="W277" i="114"/>
  <c r="W278" i="114"/>
  <c r="W279" i="114"/>
  <c r="W280" i="114"/>
  <c r="W281" i="114"/>
  <c r="W282" i="114"/>
  <c r="W283" i="114"/>
  <c r="W284" i="114"/>
  <c r="W285" i="114"/>
  <c r="W286" i="114"/>
  <c r="W287" i="114"/>
  <c r="W288" i="114"/>
  <c r="W289" i="114"/>
  <c r="W290" i="114"/>
  <c r="W291" i="114"/>
  <c r="W292" i="114"/>
  <c r="W293" i="114"/>
  <c r="W294" i="114"/>
  <c r="W295" i="114"/>
  <c r="W296" i="114"/>
  <c r="W297" i="114"/>
  <c r="W298" i="114"/>
  <c r="W299" i="114"/>
  <c r="W300" i="114"/>
  <c r="W301" i="114"/>
  <c r="W302" i="114"/>
  <c r="W303" i="114"/>
  <c r="W304" i="114"/>
  <c r="W305" i="114"/>
  <c r="W306" i="114"/>
  <c r="W307" i="114"/>
  <c r="W308" i="114"/>
  <c r="W309" i="114"/>
  <c r="W310" i="114"/>
  <c r="W311" i="114"/>
  <c r="W312" i="114"/>
  <c r="W313" i="114"/>
  <c r="W314" i="114"/>
  <c r="W315" i="114"/>
  <c r="W316" i="114"/>
  <c r="W317" i="114"/>
  <c r="W318" i="114"/>
  <c r="W319" i="114"/>
  <c r="W320" i="114"/>
  <c r="W321" i="114"/>
  <c r="W322" i="114"/>
  <c r="W323" i="114"/>
  <c r="W324" i="114"/>
  <c r="W325" i="114"/>
  <c r="W326" i="114"/>
  <c r="W327" i="114"/>
  <c r="W328" i="114"/>
  <c r="W329" i="114"/>
  <c r="W330" i="114"/>
  <c r="W331" i="114"/>
  <c r="W332" i="114"/>
  <c r="W333" i="114"/>
  <c r="W334" i="114"/>
  <c r="W335" i="114"/>
  <c r="W336" i="114"/>
  <c r="W337" i="114"/>
  <c r="W338" i="114"/>
  <c r="W339" i="114"/>
  <c r="W340" i="114"/>
  <c r="W341" i="114"/>
  <c r="W342" i="114"/>
  <c r="W343" i="114"/>
  <c r="W344" i="114"/>
  <c r="W345" i="114"/>
  <c r="W346" i="114"/>
  <c r="W347" i="114"/>
  <c r="W348" i="114"/>
  <c r="W349" i="114"/>
  <c r="W350" i="114"/>
  <c r="W351" i="114"/>
  <c r="W352" i="114"/>
  <c r="W353" i="114"/>
  <c r="W354" i="114"/>
  <c r="W355" i="114"/>
  <c r="W356" i="114"/>
  <c r="W357" i="114"/>
  <c r="W358" i="114"/>
  <c r="W359" i="114"/>
  <c r="W360" i="114"/>
  <c r="W361" i="114"/>
  <c r="W362" i="114"/>
  <c r="W363" i="114"/>
  <c r="W364" i="114"/>
  <c r="W365" i="114"/>
  <c r="W366" i="114"/>
  <c r="W367" i="114"/>
  <c r="W368" i="114"/>
  <c r="W657" i="114"/>
  <c r="X657" i="114" s="1"/>
  <c r="BC11" i="83" l="1"/>
  <c r="AU11" i="83"/>
  <c r="AD11" i="83"/>
  <c r="U11" i="83"/>
  <c r="BC13" i="83"/>
  <c r="AU13" i="83"/>
  <c r="AD13" i="83"/>
  <c r="U13" i="83"/>
  <c r="AQ5" i="83"/>
  <c r="AV9" i="83" l="1"/>
  <c r="T16" i="89" l="1"/>
  <c r="R16" i="89"/>
  <c r="P16" i="89"/>
  <c r="N16" i="89"/>
  <c r="L16" i="89"/>
  <c r="B14" i="89"/>
  <c r="A1" i="89"/>
  <c r="B9" i="89"/>
  <c r="A17" i="89"/>
  <c r="A16" i="89"/>
  <c r="B11" i="89" l="1"/>
  <c r="B12" i="89" s="1"/>
  <c r="AV15" i="83" l="1"/>
  <c r="AE15" i="83"/>
  <c r="V15" i="83"/>
  <c r="D17" i="83"/>
  <c r="D19" i="83" s="1"/>
  <c r="BB15" i="83"/>
  <c r="C15" i="83"/>
  <c r="AK5" i="114"/>
  <c r="BC15" i="83" l="1"/>
  <c r="AU15" i="83"/>
  <c r="AD15" i="83"/>
  <c r="U15" i="83"/>
  <c r="BB17" i="83"/>
  <c r="C17" i="83"/>
  <c r="AV17" i="83"/>
  <c r="AE17" i="83"/>
  <c r="V17" i="83"/>
  <c r="AU17" i="83" l="1"/>
  <c r="AD17" i="83"/>
  <c r="U17" i="83"/>
  <c r="BC17" i="83"/>
  <c r="F2" i="89" l="1"/>
  <c r="W694" i="114" l="1"/>
  <c r="X694" i="114" s="1"/>
  <c r="AU7" i="83" l="1"/>
  <c r="X5" i="83"/>
  <c r="J5" i="83" l="1"/>
  <c r="W369" i="114" l="1"/>
  <c r="AV6" i="114" l="1"/>
  <c r="AV4" i="114"/>
  <c r="Q5" i="114" l="1"/>
  <c r="S5" i="114" s="1"/>
  <c r="B5" i="114"/>
  <c r="D5" i="114" s="1"/>
  <c r="W370" i="114" l="1"/>
  <c r="W371" i="114"/>
  <c r="W372" i="114"/>
  <c r="W373" i="114"/>
  <c r="W374" i="114"/>
  <c r="W375" i="114"/>
  <c r="W376" i="114"/>
  <c r="W377" i="114"/>
  <c r="W378" i="114"/>
  <c r="W379" i="114"/>
  <c r="W380" i="114"/>
  <c r="W381" i="114"/>
  <c r="W382" i="114"/>
  <c r="W383" i="114"/>
  <c r="W384" i="114"/>
  <c r="W385" i="114"/>
  <c r="W386" i="114"/>
  <c r="W387" i="114"/>
  <c r="W388" i="114"/>
  <c r="W389" i="114"/>
  <c r="W390" i="114"/>
  <c r="W391" i="114"/>
  <c r="W392" i="114"/>
  <c r="W393" i="114"/>
  <c r="W394" i="114"/>
  <c r="W395" i="114"/>
  <c r="W396" i="114"/>
  <c r="W397" i="114"/>
  <c r="W398" i="114"/>
  <c r="W399" i="114"/>
  <c r="W400" i="114"/>
  <c r="X400" i="114" s="1"/>
  <c r="W401" i="114"/>
  <c r="X401" i="114" s="1"/>
  <c r="W402" i="114"/>
  <c r="X402" i="114" s="1"/>
  <c r="W403" i="114"/>
  <c r="X403" i="114" s="1"/>
  <c r="W404" i="114"/>
  <c r="X404" i="114" s="1"/>
  <c r="W405" i="114"/>
  <c r="X405" i="114" s="1"/>
  <c r="W406" i="114"/>
  <c r="X406" i="114" s="1"/>
  <c r="W407" i="114"/>
  <c r="X407" i="114" s="1"/>
  <c r="W408" i="114"/>
  <c r="X408" i="114" s="1"/>
  <c r="W409" i="114"/>
  <c r="X409" i="114" s="1"/>
  <c r="W410" i="114"/>
  <c r="X410" i="114" s="1"/>
  <c r="W411" i="114"/>
  <c r="X411" i="114" s="1"/>
  <c r="W412" i="114"/>
  <c r="X412" i="114" s="1"/>
  <c r="W413" i="114"/>
  <c r="X413" i="114" s="1"/>
  <c r="W414" i="114"/>
  <c r="X414" i="114" s="1"/>
  <c r="W415" i="114"/>
  <c r="X415" i="114" s="1"/>
  <c r="W416" i="114"/>
  <c r="X416" i="114" s="1"/>
  <c r="W417" i="114"/>
  <c r="X417" i="114" s="1"/>
  <c r="W418" i="114"/>
  <c r="X418" i="114" s="1"/>
  <c r="W419" i="114"/>
  <c r="X419" i="114" s="1"/>
  <c r="W420" i="114"/>
  <c r="X420" i="114" s="1"/>
  <c r="W421" i="114"/>
  <c r="X421" i="114" s="1"/>
  <c r="W422" i="114"/>
  <c r="X422" i="114" s="1"/>
  <c r="W423" i="114"/>
  <c r="X423" i="114" s="1"/>
  <c r="W424" i="114"/>
  <c r="X424" i="114" s="1"/>
  <c r="W425" i="114"/>
  <c r="X425" i="114" s="1"/>
  <c r="W426" i="114"/>
  <c r="X426" i="114" s="1"/>
  <c r="W427" i="114"/>
  <c r="X427" i="114" s="1"/>
  <c r="W428" i="114"/>
  <c r="X428" i="114" s="1"/>
  <c r="W429" i="114"/>
  <c r="X429" i="114" s="1"/>
  <c r="W430" i="114"/>
  <c r="X430" i="114" s="1"/>
  <c r="W431" i="114"/>
  <c r="X431" i="114" s="1"/>
  <c r="W432" i="114"/>
  <c r="X432" i="114" s="1"/>
  <c r="W433" i="114"/>
  <c r="X433" i="114" s="1"/>
  <c r="W434" i="114"/>
  <c r="X434" i="114" s="1"/>
  <c r="W435" i="114"/>
  <c r="X435" i="114" s="1"/>
  <c r="W436" i="114"/>
  <c r="X436" i="114" s="1"/>
  <c r="W437" i="114"/>
  <c r="X437" i="114" s="1"/>
  <c r="W438" i="114"/>
  <c r="X438" i="114" s="1"/>
  <c r="W439" i="114"/>
  <c r="X439" i="114" s="1"/>
  <c r="W440" i="114"/>
  <c r="X440" i="114" s="1"/>
  <c r="W441" i="114"/>
  <c r="X441" i="114" s="1"/>
  <c r="W442" i="114"/>
  <c r="X442" i="114" s="1"/>
  <c r="W443" i="114"/>
  <c r="X443" i="114" s="1"/>
  <c r="W444" i="114"/>
  <c r="X444" i="114" s="1"/>
  <c r="W445" i="114"/>
  <c r="X445" i="114" s="1"/>
  <c r="W446" i="114"/>
  <c r="X446" i="114" s="1"/>
  <c r="W447" i="114"/>
  <c r="X447" i="114" s="1"/>
  <c r="W448" i="114"/>
  <c r="X448" i="114" s="1"/>
  <c r="W449" i="114"/>
  <c r="X449" i="114" s="1"/>
  <c r="W450" i="114"/>
  <c r="X450" i="114" s="1"/>
  <c r="W451" i="114"/>
  <c r="X451" i="114" s="1"/>
  <c r="W452" i="114"/>
  <c r="X452" i="114" s="1"/>
  <c r="W453" i="114"/>
  <c r="X453" i="114" s="1"/>
  <c r="W454" i="114"/>
  <c r="X454" i="114" s="1"/>
  <c r="W455" i="114"/>
  <c r="X455" i="114" s="1"/>
  <c r="W456" i="114"/>
  <c r="X456" i="114" s="1"/>
  <c r="W457" i="114"/>
  <c r="X457" i="114" s="1"/>
  <c r="W458" i="114"/>
  <c r="X458" i="114" s="1"/>
  <c r="W459" i="114"/>
  <c r="X459" i="114" s="1"/>
  <c r="W460" i="114"/>
  <c r="X460" i="114" s="1"/>
  <c r="W461" i="114"/>
  <c r="X461" i="114" s="1"/>
  <c r="W462" i="114"/>
  <c r="X462" i="114" s="1"/>
  <c r="W463" i="114"/>
  <c r="X463" i="114" s="1"/>
  <c r="W464" i="114"/>
  <c r="X464" i="114" s="1"/>
  <c r="W465" i="114"/>
  <c r="X465" i="114" s="1"/>
  <c r="W466" i="114"/>
  <c r="X466" i="114" s="1"/>
  <c r="W467" i="114"/>
  <c r="X467" i="114" s="1"/>
  <c r="W468" i="114"/>
  <c r="X468" i="114" s="1"/>
  <c r="W469" i="114"/>
  <c r="X469" i="114" s="1"/>
  <c r="W470" i="114"/>
  <c r="X470" i="114" s="1"/>
  <c r="W471" i="114"/>
  <c r="X471" i="114" s="1"/>
  <c r="W472" i="114"/>
  <c r="X472" i="114" s="1"/>
  <c r="W473" i="114"/>
  <c r="X473" i="114" s="1"/>
  <c r="W474" i="114"/>
  <c r="X474" i="114" s="1"/>
  <c r="W475" i="114"/>
  <c r="X475" i="114" s="1"/>
  <c r="W476" i="114"/>
  <c r="X476" i="114" s="1"/>
  <c r="W477" i="114"/>
  <c r="X477" i="114" s="1"/>
  <c r="W478" i="114"/>
  <c r="X478" i="114" s="1"/>
  <c r="W479" i="114"/>
  <c r="X479" i="114" s="1"/>
  <c r="W480" i="114"/>
  <c r="X480" i="114" s="1"/>
  <c r="W481" i="114"/>
  <c r="X481" i="114" s="1"/>
  <c r="W482" i="114"/>
  <c r="X482" i="114" s="1"/>
  <c r="W483" i="114"/>
  <c r="X483" i="114" s="1"/>
  <c r="W484" i="114"/>
  <c r="X484" i="114" s="1"/>
  <c r="W485" i="114"/>
  <c r="X485" i="114" s="1"/>
  <c r="W486" i="114"/>
  <c r="X486" i="114" s="1"/>
  <c r="W487" i="114"/>
  <c r="X487" i="114" s="1"/>
  <c r="W488" i="114"/>
  <c r="X488" i="114" s="1"/>
  <c r="W489" i="114"/>
  <c r="X489" i="114" s="1"/>
  <c r="W490" i="114"/>
  <c r="X490" i="114" s="1"/>
  <c r="W491" i="114"/>
  <c r="X491" i="114" s="1"/>
  <c r="W492" i="114"/>
  <c r="X492" i="114" s="1"/>
  <c r="W493" i="114"/>
  <c r="X493" i="114" s="1"/>
  <c r="W494" i="114"/>
  <c r="X494" i="114" s="1"/>
  <c r="W495" i="114"/>
  <c r="X495" i="114" s="1"/>
  <c r="W496" i="114"/>
  <c r="X496" i="114" s="1"/>
  <c r="W497" i="114"/>
  <c r="X497" i="114" s="1"/>
  <c r="W498" i="114"/>
  <c r="X498" i="114" s="1"/>
  <c r="W499" i="114"/>
  <c r="X499" i="114" s="1"/>
  <c r="W500" i="114"/>
  <c r="X500" i="114" s="1"/>
  <c r="W501" i="114"/>
  <c r="X501" i="114" s="1"/>
  <c r="W502" i="114"/>
  <c r="X502" i="114" s="1"/>
  <c r="W503" i="114"/>
  <c r="X503" i="114" s="1"/>
  <c r="W504" i="114"/>
  <c r="X504" i="114" s="1"/>
  <c r="W505" i="114"/>
  <c r="X505" i="114" s="1"/>
  <c r="W506" i="114"/>
  <c r="X506" i="114" s="1"/>
  <c r="W507" i="114"/>
  <c r="X507" i="114" s="1"/>
  <c r="W508" i="114"/>
  <c r="X508" i="114" s="1"/>
  <c r="W509" i="114"/>
  <c r="X509" i="114" s="1"/>
  <c r="W510" i="114"/>
  <c r="X510" i="114" s="1"/>
  <c r="W511" i="114"/>
  <c r="X511" i="114" s="1"/>
  <c r="W512" i="114"/>
  <c r="X512" i="114" s="1"/>
  <c r="W513" i="114"/>
  <c r="X513" i="114" s="1"/>
  <c r="W514" i="114"/>
  <c r="X514" i="114" s="1"/>
  <c r="W515" i="114"/>
  <c r="X515" i="114" s="1"/>
  <c r="W516" i="114"/>
  <c r="X516" i="114" s="1"/>
  <c r="W517" i="114"/>
  <c r="X517" i="114" s="1"/>
  <c r="W518" i="114"/>
  <c r="X518" i="114" s="1"/>
  <c r="W519" i="114"/>
  <c r="X519" i="114" s="1"/>
  <c r="W520" i="114"/>
  <c r="X520" i="114" s="1"/>
  <c r="W521" i="114"/>
  <c r="X521" i="114" s="1"/>
  <c r="W522" i="114"/>
  <c r="X522" i="114" s="1"/>
  <c r="W523" i="114"/>
  <c r="X523" i="114" s="1"/>
  <c r="W524" i="114"/>
  <c r="X524" i="114" s="1"/>
  <c r="W525" i="114"/>
  <c r="X525" i="114" s="1"/>
  <c r="W526" i="114"/>
  <c r="X526" i="114" s="1"/>
  <c r="W527" i="114"/>
  <c r="X527" i="114" s="1"/>
  <c r="W528" i="114"/>
  <c r="X528" i="114" s="1"/>
  <c r="W529" i="114"/>
  <c r="X529" i="114" s="1"/>
  <c r="W530" i="114"/>
  <c r="X530" i="114" s="1"/>
  <c r="W531" i="114"/>
  <c r="X531" i="114" s="1"/>
  <c r="W532" i="114"/>
  <c r="X532" i="114" s="1"/>
  <c r="W533" i="114"/>
  <c r="X533" i="114" s="1"/>
  <c r="W534" i="114"/>
  <c r="X534" i="114" s="1"/>
  <c r="W535" i="114"/>
  <c r="X535" i="114" s="1"/>
  <c r="W536" i="114"/>
  <c r="X536" i="114" s="1"/>
  <c r="W537" i="114"/>
  <c r="X537" i="114" s="1"/>
  <c r="W538" i="114"/>
  <c r="X538" i="114" s="1"/>
  <c r="W539" i="114"/>
  <c r="X539" i="114" s="1"/>
  <c r="W540" i="114"/>
  <c r="X540" i="114" s="1"/>
  <c r="W541" i="114"/>
  <c r="X541" i="114" s="1"/>
  <c r="W542" i="114"/>
  <c r="X542" i="114" s="1"/>
  <c r="W543" i="114"/>
  <c r="X543" i="114" s="1"/>
  <c r="W544" i="114"/>
  <c r="X544" i="114" s="1"/>
  <c r="W545" i="114"/>
  <c r="X545" i="114" s="1"/>
  <c r="W546" i="114"/>
  <c r="X546" i="114" s="1"/>
  <c r="W547" i="114"/>
  <c r="X547" i="114" s="1"/>
  <c r="W548" i="114"/>
  <c r="X548" i="114" s="1"/>
  <c r="W549" i="114"/>
  <c r="X549" i="114" s="1"/>
  <c r="W550" i="114"/>
  <c r="X550" i="114" s="1"/>
  <c r="W551" i="114"/>
  <c r="X551" i="114" s="1"/>
  <c r="W552" i="114"/>
  <c r="X552" i="114" s="1"/>
  <c r="W553" i="114"/>
  <c r="X553" i="114" s="1"/>
  <c r="W554" i="114"/>
  <c r="X554" i="114" s="1"/>
  <c r="W555" i="114"/>
  <c r="X555" i="114" s="1"/>
  <c r="W556" i="114"/>
  <c r="X556" i="114" s="1"/>
  <c r="W557" i="114"/>
  <c r="X557" i="114" s="1"/>
  <c r="W558" i="114"/>
  <c r="X558" i="114" s="1"/>
  <c r="W559" i="114"/>
  <c r="X559" i="114" s="1"/>
  <c r="W560" i="114"/>
  <c r="X560" i="114" s="1"/>
  <c r="W561" i="114"/>
  <c r="X561" i="114" s="1"/>
  <c r="W562" i="114"/>
  <c r="X562" i="114" s="1"/>
  <c r="W563" i="114"/>
  <c r="X563" i="114" s="1"/>
  <c r="W564" i="114"/>
  <c r="X564" i="114" s="1"/>
  <c r="W565" i="114"/>
  <c r="X565" i="114" s="1"/>
  <c r="W566" i="114"/>
  <c r="X566" i="114" s="1"/>
  <c r="W567" i="114"/>
  <c r="X567" i="114" s="1"/>
  <c r="W568" i="114"/>
  <c r="X568" i="114" s="1"/>
  <c r="W569" i="114"/>
  <c r="X569" i="114" s="1"/>
  <c r="W570" i="114"/>
  <c r="X570" i="114" s="1"/>
  <c r="W571" i="114"/>
  <c r="X571" i="114" s="1"/>
  <c r="W572" i="114"/>
  <c r="X572" i="114" s="1"/>
  <c r="W573" i="114"/>
  <c r="X573" i="114" s="1"/>
  <c r="W574" i="114"/>
  <c r="X574" i="114" s="1"/>
  <c r="W575" i="114"/>
  <c r="X575" i="114" s="1"/>
  <c r="W576" i="114"/>
  <c r="X576" i="114" s="1"/>
  <c r="W577" i="114"/>
  <c r="X577" i="114" s="1"/>
  <c r="W578" i="114"/>
  <c r="X578" i="114" s="1"/>
  <c r="W579" i="114"/>
  <c r="X579" i="114" s="1"/>
  <c r="W580" i="114"/>
  <c r="X580" i="114" s="1"/>
  <c r="W581" i="114"/>
  <c r="X581" i="114" s="1"/>
  <c r="W582" i="114"/>
  <c r="X582" i="114" s="1"/>
  <c r="W583" i="114"/>
  <c r="X583" i="114" s="1"/>
  <c r="W584" i="114"/>
  <c r="X584" i="114" s="1"/>
  <c r="W585" i="114"/>
  <c r="X585" i="114" s="1"/>
  <c r="W586" i="114"/>
  <c r="X586" i="114" s="1"/>
  <c r="W587" i="114"/>
  <c r="X587" i="114" s="1"/>
  <c r="W588" i="114"/>
  <c r="X588" i="114" s="1"/>
  <c r="W589" i="114"/>
  <c r="X589" i="114" s="1"/>
  <c r="W590" i="114"/>
  <c r="X590" i="114" s="1"/>
  <c r="W591" i="114"/>
  <c r="X591" i="114" s="1"/>
  <c r="W592" i="114"/>
  <c r="X592" i="114" s="1"/>
  <c r="W593" i="114"/>
  <c r="X593" i="114" s="1"/>
  <c r="W594" i="114"/>
  <c r="X594" i="114" s="1"/>
  <c r="W595" i="114"/>
  <c r="X595" i="114" s="1"/>
  <c r="W596" i="114"/>
  <c r="X596" i="114" s="1"/>
  <c r="W597" i="114"/>
  <c r="X597" i="114" s="1"/>
  <c r="W598" i="114"/>
  <c r="X598" i="114" s="1"/>
  <c r="W599" i="114"/>
  <c r="X599" i="114" s="1"/>
  <c r="W600" i="114"/>
  <c r="X600" i="114" s="1"/>
  <c r="W601" i="114"/>
  <c r="X601" i="114" s="1"/>
  <c r="W602" i="114"/>
  <c r="X602" i="114" s="1"/>
  <c r="W603" i="114"/>
  <c r="X603" i="114" s="1"/>
  <c r="W604" i="114"/>
  <c r="X604" i="114" s="1"/>
  <c r="W605" i="114"/>
  <c r="X605" i="114" s="1"/>
  <c r="W606" i="114"/>
  <c r="X606" i="114" s="1"/>
  <c r="W607" i="114"/>
  <c r="X607" i="114" s="1"/>
  <c r="W608" i="114"/>
  <c r="X608" i="114" s="1"/>
  <c r="W609" i="114"/>
  <c r="X609" i="114" s="1"/>
  <c r="W610" i="114"/>
  <c r="X610" i="114" s="1"/>
  <c r="W611" i="114"/>
  <c r="X611" i="114" s="1"/>
  <c r="W612" i="114"/>
  <c r="X612" i="114" s="1"/>
  <c r="W613" i="114"/>
  <c r="X613" i="114" s="1"/>
  <c r="W614" i="114"/>
  <c r="X614" i="114" s="1"/>
  <c r="W615" i="114"/>
  <c r="X615" i="114" s="1"/>
  <c r="W616" i="114"/>
  <c r="X616" i="114" s="1"/>
  <c r="W617" i="114"/>
  <c r="X617" i="114" s="1"/>
  <c r="W618" i="114"/>
  <c r="X618" i="114" s="1"/>
  <c r="W619" i="114"/>
  <c r="X619" i="114" s="1"/>
  <c r="W620" i="114"/>
  <c r="X620" i="114" s="1"/>
  <c r="W621" i="114"/>
  <c r="X621" i="114" s="1"/>
  <c r="W622" i="114"/>
  <c r="X622" i="114" s="1"/>
  <c r="W623" i="114"/>
  <c r="X623" i="114" s="1"/>
  <c r="W624" i="114"/>
  <c r="X624" i="114" s="1"/>
  <c r="W625" i="114"/>
  <c r="X625" i="114" s="1"/>
  <c r="W626" i="114"/>
  <c r="X626" i="114" s="1"/>
  <c r="W627" i="114"/>
  <c r="X627" i="114" s="1"/>
  <c r="W628" i="114"/>
  <c r="X628" i="114" s="1"/>
  <c r="W629" i="114"/>
  <c r="X629" i="114" s="1"/>
  <c r="W630" i="114"/>
  <c r="X630" i="114" s="1"/>
  <c r="W631" i="114"/>
  <c r="X631" i="114" s="1"/>
  <c r="W632" i="114"/>
  <c r="X632" i="114" s="1"/>
  <c r="W633" i="114"/>
  <c r="X633" i="114" s="1"/>
  <c r="W634" i="114"/>
  <c r="X634" i="114" s="1"/>
  <c r="W635" i="114"/>
  <c r="X635" i="114" s="1"/>
  <c r="W636" i="114"/>
  <c r="X636" i="114" s="1"/>
  <c r="W637" i="114"/>
  <c r="X637" i="114" s="1"/>
  <c r="W638" i="114"/>
  <c r="X638" i="114" s="1"/>
  <c r="W639" i="114"/>
  <c r="X639" i="114" s="1"/>
  <c r="W640" i="114"/>
  <c r="X640" i="114" s="1"/>
  <c r="W641" i="114"/>
  <c r="X641" i="114" s="1"/>
  <c r="W642" i="114"/>
  <c r="X642" i="114" s="1"/>
  <c r="W643" i="114"/>
  <c r="X643" i="114" s="1"/>
  <c r="W644" i="114"/>
  <c r="X644" i="114" s="1"/>
  <c r="W645" i="114"/>
  <c r="X645" i="114" s="1"/>
  <c r="W646" i="114"/>
  <c r="X646" i="114" s="1"/>
  <c r="W647" i="114"/>
  <c r="X647" i="114" s="1"/>
  <c r="W648" i="114"/>
  <c r="X648" i="114" s="1"/>
  <c r="W649" i="114"/>
  <c r="X649" i="114" s="1"/>
  <c r="W650" i="114"/>
  <c r="X650" i="114" s="1"/>
  <c r="W651" i="114"/>
  <c r="X651" i="114" s="1"/>
  <c r="W652" i="114"/>
  <c r="X652" i="114" s="1"/>
  <c r="W653" i="114"/>
  <c r="X653" i="114" s="1"/>
  <c r="W654" i="114"/>
  <c r="X654" i="114" s="1"/>
  <c r="W655" i="114"/>
  <c r="X655" i="114" s="1"/>
  <c r="W656" i="114"/>
  <c r="X656" i="114" s="1"/>
  <c r="W658" i="114"/>
  <c r="X658" i="114" s="1"/>
  <c r="W659" i="114"/>
  <c r="X659" i="114" s="1"/>
  <c r="W660" i="114"/>
  <c r="X660" i="114" s="1"/>
  <c r="W661" i="114"/>
  <c r="X661" i="114" s="1"/>
  <c r="W662" i="114"/>
  <c r="X662" i="114" s="1"/>
  <c r="W663" i="114"/>
  <c r="X663" i="114" s="1"/>
  <c r="W664" i="114"/>
  <c r="X664" i="114" s="1"/>
  <c r="W665" i="114"/>
  <c r="X665" i="114" s="1"/>
  <c r="W666" i="114"/>
  <c r="X666" i="114" s="1"/>
  <c r="W667" i="114"/>
  <c r="X667" i="114" s="1"/>
  <c r="W668" i="114"/>
  <c r="X668" i="114" s="1"/>
  <c r="W669" i="114"/>
  <c r="X669" i="114" s="1"/>
  <c r="W670" i="114"/>
  <c r="X670" i="114" s="1"/>
  <c r="W671" i="114"/>
  <c r="X671" i="114" s="1"/>
  <c r="W672" i="114"/>
  <c r="X672" i="114" s="1"/>
  <c r="W673" i="114"/>
  <c r="X673" i="114" s="1"/>
  <c r="W674" i="114"/>
  <c r="X674" i="114" s="1"/>
  <c r="W675" i="114"/>
  <c r="X675" i="114" s="1"/>
  <c r="W676" i="114"/>
  <c r="X676" i="114" s="1"/>
  <c r="W677" i="114"/>
  <c r="X677" i="114" s="1"/>
  <c r="W678" i="114"/>
  <c r="X678" i="114" s="1"/>
  <c r="W679" i="114"/>
  <c r="X679" i="114" s="1"/>
  <c r="W680" i="114"/>
  <c r="X680" i="114" s="1"/>
  <c r="W681" i="114"/>
  <c r="X681" i="114" s="1"/>
  <c r="W682" i="114"/>
  <c r="X682" i="114" s="1"/>
  <c r="W683" i="114"/>
  <c r="X683" i="114" s="1"/>
  <c r="W684" i="114"/>
  <c r="X684" i="114" s="1"/>
  <c r="W685" i="114"/>
  <c r="X685" i="114" s="1"/>
  <c r="W686" i="114"/>
  <c r="X686" i="114" s="1"/>
  <c r="W687" i="114"/>
  <c r="X687" i="114" s="1"/>
  <c r="W688" i="114"/>
  <c r="X688" i="114" s="1"/>
  <c r="W689" i="114"/>
  <c r="X689" i="114" s="1"/>
  <c r="W690" i="114"/>
  <c r="X690" i="114" s="1"/>
  <c r="W691" i="114"/>
  <c r="X691" i="114" s="1"/>
  <c r="W692" i="114"/>
  <c r="X692" i="114" s="1"/>
  <c r="W693" i="114"/>
  <c r="X693" i="114" s="1"/>
  <c r="W695" i="114"/>
  <c r="X695" i="114" s="1"/>
  <c r="W696" i="114"/>
  <c r="X696" i="114" s="1"/>
  <c r="W697" i="114"/>
  <c r="X697" i="114" s="1"/>
  <c r="W698" i="114"/>
  <c r="X698" i="114" s="1"/>
  <c r="W699" i="114"/>
  <c r="X699" i="114" s="1"/>
  <c r="W700" i="114"/>
  <c r="X700" i="114" s="1"/>
  <c r="W701" i="114"/>
  <c r="X701" i="114" s="1"/>
  <c r="W702" i="114"/>
  <c r="X702" i="114" s="1"/>
  <c r="W703" i="114"/>
  <c r="X703" i="114" s="1"/>
  <c r="W704" i="114"/>
  <c r="X704" i="114" s="1"/>
  <c r="W705" i="114"/>
  <c r="X705" i="114" s="1"/>
  <c r="W706" i="114"/>
  <c r="X706" i="114" s="1"/>
  <c r="W707" i="114"/>
  <c r="X707" i="114" s="1"/>
  <c r="W708" i="114"/>
  <c r="X708" i="114" s="1"/>
  <c r="W709" i="114"/>
  <c r="X709" i="114" s="1"/>
  <c r="W710" i="114"/>
  <c r="X710" i="114" s="1"/>
  <c r="W711" i="114"/>
  <c r="X711" i="114" s="1"/>
  <c r="W712" i="114"/>
  <c r="X712" i="114" s="1"/>
  <c r="W713" i="114"/>
  <c r="X713" i="114" s="1"/>
  <c r="W714" i="114"/>
  <c r="X714" i="114" s="1"/>
  <c r="W715" i="114"/>
  <c r="X715" i="114" s="1"/>
  <c r="W716" i="114"/>
  <c r="X716" i="114" s="1"/>
  <c r="W717" i="114"/>
  <c r="X717" i="114" s="1"/>
  <c r="W718" i="114"/>
  <c r="X718" i="114" s="1"/>
  <c r="W719" i="114"/>
  <c r="X719" i="114" s="1"/>
  <c r="W720" i="114"/>
  <c r="X720" i="114" s="1"/>
  <c r="W721" i="114"/>
  <c r="X721" i="114" s="1"/>
  <c r="W722" i="114"/>
  <c r="X722" i="114" s="1"/>
  <c r="W723" i="114"/>
  <c r="X723" i="114" s="1"/>
  <c r="W724" i="114"/>
  <c r="X724" i="114" s="1"/>
  <c r="W725" i="114"/>
  <c r="X725" i="114" s="1"/>
  <c r="W726" i="114"/>
  <c r="X726" i="114" s="1"/>
  <c r="W727" i="114"/>
  <c r="X727" i="114" s="1"/>
  <c r="W728" i="114"/>
  <c r="X728" i="114" s="1"/>
  <c r="W729" i="114"/>
  <c r="X729" i="114" s="1"/>
  <c r="W730" i="114"/>
  <c r="X730" i="114" s="1"/>
  <c r="W731" i="114"/>
  <c r="X731" i="114" s="1"/>
  <c r="W732" i="114"/>
  <c r="X732" i="114" s="1"/>
  <c r="W733" i="114"/>
  <c r="X733" i="114" s="1"/>
  <c r="W734" i="114"/>
  <c r="X734" i="114" s="1"/>
  <c r="W735" i="114"/>
  <c r="X735" i="114" s="1"/>
  <c r="W736" i="114"/>
  <c r="X736" i="114" s="1"/>
  <c r="W737" i="114"/>
  <c r="X737" i="114" s="1"/>
  <c r="W738" i="114"/>
  <c r="X738" i="114" s="1"/>
  <c r="W739" i="114"/>
  <c r="X739" i="114" s="1"/>
  <c r="W740" i="114"/>
  <c r="X740" i="114" s="1"/>
  <c r="W741" i="114"/>
  <c r="X741" i="114" s="1"/>
  <c r="W742" i="114"/>
  <c r="X742" i="114" s="1"/>
  <c r="W743" i="114"/>
  <c r="X743" i="114" s="1"/>
  <c r="W744" i="114"/>
  <c r="X744" i="114" s="1"/>
  <c r="W745" i="114"/>
  <c r="X745" i="114" s="1"/>
  <c r="W746" i="114"/>
  <c r="X746" i="114" s="1"/>
  <c r="W747" i="114"/>
  <c r="X747" i="114" s="1"/>
  <c r="W748" i="114"/>
  <c r="X748" i="114" s="1"/>
  <c r="W749" i="114"/>
  <c r="X749" i="114" s="1"/>
  <c r="W750" i="114"/>
  <c r="X750" i="114" s="1"/>
  <c r="W751" i="114"/>
  <c r="X751" i="114" s="1"/>
  <c r="W752" i="114"/>
  <c r="X752" i="114" s="1"/>
  <c r="W753" i="114"/>
  <c r="X753" i="114" s="1"/>
  <c r="W754" i="114"/>
  <c r="X754" i="114" s="1"/>
  <c r="W755" i="114"/>
  <c r="X755" i="114" s="1"/>
  <c r="W756" i="114"/>
  <c r="X756" i="114" s="1"/>
  <c r="W757" i="114"/>
  <c r="X757" i="114" s="1"/>
  <c r="W758" i="114"/>
  <c r="X758" i="114" s="1"/>
  <c r="W759" i="114"/>
  <c r="X759" i="114" s="1"/>
  <c r="W760" i="114"/>
  <c r="X760" i="114" s="1"/>
  <c r="W761" i="114"/>
  <c r="X761" i="114" s="1"/>
  <c r="W762" i="114"/>
  <c r="X762" i="114" s="1"/>
  <c r="W763" i="114"/>
  <c r="X763" i="114" s="1"/>
  <c r="W764" i="114"/>
  <c r="X764" i="114" s="1"/>
  <c r="W765" i="114"/>
  <c r="X765" i="114" s="1"/>
  <c r="W766" i="114"/>
  <c r="X766" i="114" s="1"/>
  <c r="W767" i="114"/>
  <c r="X767" i="114" s="1"/>
  <c r="W768" i="114"/>
  <c r="X768" i="114" s="1"/>
  <c r="W769" i="114"/>
  <c r="X769" i="114" s="1"/>
  <c r="W770" i="114"/>
  <c r="X770" i="114" s="1"/>
  <c r="W771" i="114"/>
  <c r="X771" i="114" s="1"/>
  <c r="W772" i="114"/>
  <c r="X772" i="114" s="1"/>
  <c r="W773" i="114"/>
  <c r="X773" i="114" s="1"/>
  <c r="W774" i="114"/>
  <c r="X774" i="114" s="1"/>
  <c r="W775" i="114"/>
  <c r="X775" i="114" s="1"/>
  <c r="W776" i="114"/>
  <c r="X776" i="114" s="1"/>
  <c r="W777" i="114"/>
  <c r="X777" i="114" s="1"/>
  <c r="W778" i="114"/>
  <c r="X778" i="114" s="1"/>
  <c r="W779" i="114"/>
  <c r="X779" i="114" s="1"/>
  <c r="W780" i="114"/>
  <c r="X780" i="114" s="1"/>
  <c r="W781" i="114"/>
  <c r="X781" i="114" s="1"/>
  <c r="W782" i="114"/>
  <c r="X782" i="114" s="1"/>
  <c r="W783" i="114"/>
  <c r="X783" i="114" s="1"/>
  <c r="W784" i="114"/>
  <c r="X784" i="114" s="1"/>
  <c r="W785" i="114"/>
  <c r="X785" i="114" s="1"/>
  <c r="W786" i="114"/>
  <c r="X786" i="114" s="1"/>
  <c r="W787" i="114"/>
  <c r="X787" i="114" s="1"/>
  <c r="W788" i="114"/>
  <c r="X788" i="114" s="1"/>
  <c r="W789" i="114"/>
  <c r="X789" i="114" s="1"/>
  <c r="W790" i="114"/>
  <c r="X790" i="114" s="1"/>
  <c r="W791" i="114"/>
  <c r="X791" i="114" s="1"/>
  <c r="W792" i="114"/>
  <c r="X792" i="114" s="1"/>
  <c r="W793" i="114"/>
  <c r="X793" i="114" s="1"/>
  <c r="W794" i="114"/>
  <c r="X794" i="114" s="1"/>
  <c r="W795" i="114"/>
  <c r="X795" i="114" s="1"/>
  <c r="W796" i="114"/>
  <c r="X796" i="114" s="1"/>
  <c r="W797" i="114"/>
  <c r="X797" i="114" s="1"/>
  <c r="W798" i="114"/>
  <c r="X798" i="114" s="1"/>
  <c r="W799" i="114"/>
  <c r="X799" i="114" s="1"/>
  <c r="W800" i="114"/>
  <c r="X800" i="114" s="1"/>
  <c r="W801" i="114"/>
  <c r="X801" i="114" s="1"/>
  <c r="W802" i="114"/>
  <c r="X802" i="114" s="1"/>
  <c r="W803" i="114"/>
  <c r="X803" i="114" s="1"/>
  <c r="W804" i="114"/>
  <c r="X804" i="114" s="1"/>
  <c r="W805" i="114"/>
  <c r="X805" i="114" s="1"/>
  <c r="W806" i="114"/>
  <c r="X806" i="114" s="1"/>
  <c r="W807" i="114"/>
  <c r="X807" i="114" s="1"/>
  <c r="W808" i="114"/>
  <c r="X808" i="114" s="1"/>
  <c r="W809" i="114"/>
  <c r="X809" i="114" s="1"/>
  <c r="W810" i="114"/>
  <c r="X810" i="114" s="1"/>
  <c r="W811" i="114"/>
  <c r="X811" i="114" s="1"/>
  <c r="W812" i="114"/>
  <c r="X812" i="114" s="1"/>
  <c r="W813" i="114"/>
  <c r="X813" i="114" s="1"/>
  <c r="W814" i="114"/>
  <c r="X814" i="114" s="1"/>
  <c r="W815" i="114"/>
  <c r="X815" i="114" s="1"/>
  <c r="W816" i="114"/>
  <c r="X816" i="114" s="1"/>
  <c r="W817" i="114"/>
  <c r="X817" i="114" s="1"/>
  <c r="W818" i="114"/>
  <c r="X818" i="114" s="1"/>
  <c r="W819" i="114"/>
  <c r="X819" i="114" s="1"/>
  <c r="W820" i="114"/>
  <c r="X820" i="114" s="1"/>
  <c r="W821" i="114"/>
  <c r="X821" i="114" s="1"/>
  <c r="W822" i="114"/>
  <c r="X822" i="114" s="1"/>
  <c r="W823" i="114"/>
  <c r="X823" i="114" s="1"/>
  <c r="W824" i="114"/>
  <c r="X824" i="114" s="1"/>
  <c r="W825" i="114"/>
  <c r="X825" i="114" s="1"/>
  <c r="W826" i="114"/>
  <c r="X826" i="114" s="1"/>
  <c r="W827" i="114"/>
  <c r="X827" i="114" s="1"/>
  <c r="W828" i="114"/>
  <c r="X828" i="114" s="1"/>
  <c r="W829" i="114"/>
  <c r="X829" i="114" s="1"/>
  <c r="W830" i="114"/>
  <c r="X830" i="114" s="1"/>
  <c r="W831" i="114"/>
  <c r="X831" i="114" s="1"/>
  <c r="W832" i="114"/>
  <c r="X832" i="114" s="1"/>
  <c r="W833" i="114"/>
  <c r="X833" i="114" s="1"/>
  <c r="W834" i="114"/>
  <c r="X834" i="114" s="1"/>
  <c r="W835" i="114"/>
  <c r="X835" i="114" s="1"/>
  <c r="W836" i="114"/>
  <c r="X836" i="114" s="1"/>
  <c r="W837" i="114"/>
  <c r="X837" i="114" s="1"/>
  <c r="W838" i="114"/>
  <c r="X838" i="114" s="1"/>
  <c r="W839" i="114"/>
  <c r="X839" i="114" s="1"/>
  <c r="W840" i="114"/>
  <c r="X840" i="114" s="1"/>
  <c r="W841" i="114"/>
  <c r="X841" i="114" s="1"/>
  <c r="W842" i="114"/>
  <c r="X842" i="114" s="1"/>
  <c r="W843" i="114"/>
  <c r="X843" i="114" s="1"/>
  <c r="W844" i="114"/>
  <c r="X844" i="114" s="1"/>
  <c r="W845" i="114"/>
  <c r="X845" i="114" s="1"/>
  <c r="W846" i="114"/>
  <c r="X846" i="114" s="1"/>
  <c r="W847" i="114"/>
  <c r="X847" i="114" s="1"/>
  <c r="W848" i="114"/>
  <c r="X848" i="114" s="1"/>
  <c r="W849" i="114"/>
  <c r="X849" i="114" s="1"/>
  <c r="W850" i="114"/>
  <c r="X850" i="114" s="1"/>
  <c r="W851" i="114"/>
  <c r="X851" i="114" s="1"/>
  <c r="W852" i="114"/>
  <c r="X852" i="114" s="1"/>
  <c r="W853" i="114"/>
  <c r="X853" i="114" s="1"/>
  <c r="W854" i="114"/>
  <c r="X854" i="114" s="1"/>
  <c r="W855" i="114"/>
  <c r="X855" i="114" s="1"/>
  <c r="W856" i="114"/>
  <c r="X856" i="114" s="1"/>
  <c r="W857" i="114"/>
  <c r="X857" i="114" s="1"/>
  <c r="W858" i="114"/>
  <c r="X858" i="114" s="1"/>
  <c r="W859" i="114"/>
  <c r="X859" i="114" s="1"/>
  <c r="W860" i="114"/>
  <c r="X860" i="114" s="1"/>
  <c r="W861" i="114"/>
  <c r="X861" i="114" s="1"/>
  <c r="W862" i="114"/>
  <c r="X862" i="114" s="1"/>
  <c r="W863" i="114"/>
  <c r="X863" i="114" s="1"/>
  <c r="W864" i="114"/>
  <c r="X864" i="114" s="1"/>
  <c r="W865" i="114"/>
  <c r="X865" i="114" s="1"/>
  <c r="W866" i="114"/>
  <c r="X866" i="114" s="1"/>
  <c r="W867" i="114"/>
  <c r="X867" i="114" s="1"/>
  <c r="W868" i="114"/>
  <c r="X868" i="114" s="1"/>
  <c r="W869" i="114"/>
  <c r="X869" i="114" s="1"/>
  <c r="W870" i="114"/>
  <c r="X870" i="114" s="1"/>
  <c r="W871" i="114"/>
  <c r="X871" i="114" s="1"/>
  <c r="W872" i="114"/>
  <c r="X872" i="114" s="1"/>
  <c r="W873" i="114"/>
  <c r="X873" i="114" s="1"/>
  <c r="W874" i="114"/>
  <c r="X874" i="114" s="1"/>
  <c r="W875" i="114"/>
  <c r="X875" i="114" s="1"/>
  <c r="W876" i="114"/>
  <c r="X876" i="114" s="1"/>
  <c r="W877" i="114"/>
  <c r="X877" i="114" s="1"/>
  <c r="W878" i="114"/>
  <c r="X878" i="114" s="1"/>
  <c r="W879" i="114"/>
  <c r="X879" i="114" s="1"/>
  <c r="W880" i="114"/>
  <c r="X880" i="114" s="1"/>
  <c r="W881" i="114"/>
  <c r="X881" i="114" s="1"/>
  <c r="W882" i="114"/>
  <c r="X882" i="114" s="1"/>
  <c r="W883" i="114"/>
  <c r="X883" i="114" s="1"/>
  <c r="W884" i="114"/>
  <c r="X884" i="114" s="1"/>
  <c r="W885" i="114"/>
  <c r="X885" i="114" s="1"/>
  <c r="W886" i="114"/>
  <c r="X886" i="114" s="1"/>
  <c r="W887" i="114"/>
  <c r="X887" i="114" s="1"/>
  <c r="W888" i="114"/>
  <c r="X888" i="114" s="1"/>
  <c r="W889" i="114"/>
  <c r="X889" i="114" s="1"/>
  <c r="W890" i="114"/>
  <c r="X890" i="114" s="1"/>
  <c r="W891" i="114"/>
  <c r="X891" i="114" s="1"/>
  <c r="W892" i="114"/>
  <c r="X892" i="114" s="1"/>
  <c r="W893" i="114"/>
  <c r="X893" i="114" s="1"/>
  <c r="W894" i="114"/>
  <c r="X894" i="114" s="1"/>
  <c r="W895" i="114"/>
  <c r="X895" i="114" s="1"/>
  <c r="W896" i="114"/>
  <c r="X896" i="114" s="1"/>
  <c r="W897" i="114"/>
  <c r="X897" i="114" s="1"/>
  <c r="W898" i="114"/>
  <c r="X898" i="114" s="1"/>
  <c r="W899" i="114"/>
  <c r="X899" i="114" s="1"/>
  <c r="W900" i="114"/>
  <c r="X900" i="114" s="1"/>
  <c r="W901" i="114"/>
  <c r="X901" i="114" s="1"/>
  <c r="W902" i="114"/>
  <c r="X902" i="114" s="1"/>
  <c r="W903" i="114"/>
  <c r="X903" i="114" s="1"/>
  <c r="W904" i="114"/>
  <c r="X904" i="114" s="1"/>
  <c r="W905" i="114"/>
  <c r="X905" i="114" s="1"/>
  <c r="W906" i="114"/>
  <c r="X906" i="114" s="1"/>
  <c r="W907" i="114"/>
  <c r="X907" i="114" s="1"/>
  <c r="W908" i="114"/>
  <c r="X908" i="114" s="1"/>
  <c r="W909" i="114"/>
  <c r="X909" i="114" s="1"/>
  <c r="W910" i="114"/>
  <c r="X910" i="114" s="1"/>
  <c r="W911" i="114"/>
  <c r="X911" i="114" s="1"/>
  <c r="W912" i="114"/>
  <c r="X912" i="114" s="1"/>
  <c r="W913" i="114"/>
  <c r="X913" i="114" s="1"/>
  <c r="W914" i="114"/>
  <c r="X914" i="114" s="1"/>
  <c r="W915" i="114"/>
  <c r="X915" i="114" s="1"/>
  <c r="W916" i="114"/>
  <c r="X916" i="114" s="1"/>
  <c r="W917" i="114"/>
  <c r="X917" i="114" s="1"/>
  <c r="W918" i="114"/>
  <c r="X918" i="114" s="1"/>
  <c r="W919" i="114"/>
  <c r="X919" i="114" s="1"/>
  <c r="W920" i="114"/>
  <c r="X920" i="114" s="1"/>
  <c r="W921" i="114"/>
  <c r="X921" i="114" s="1"/>
  <c r="W922" i="114"/>
  <c r="X922" i="114" s="1"/>
  <c r="W923" i="114"/>
  <c r="X923" i="114" s="1"/>
  <c r="W924" i="114"/>
  <c r="X924" i="114" s="1"/>
  <c r="W925" i="114"/>
  <c r="X925" i="114" s="1"/>
  <c r="W926" i="114"/>
  <c r="X926" i="114" s="1"/>
  <c r="W927" i="114"/>
  <c r="X927" i="114" s="1"/>
  <c r="W928" i="114"/>
  <c r="X928" i="114" s="1"/>
  <c r="W929" i="114"/>
  <c r="X929" i="114" s="1"/>
  <c r="W930" i="114"/>
  <c r="X930" i="114" s="1"/>
  <c r="W931" i="114"/>
  <c r="X931" i="114" s="1"/>
  <c r="W932" i="114"/>
  <c r="X932" i="114" s="1"/>
  <c r="W933" i="114"/>
  <c r="X933" i="114" s="1"/>
  <c r="W934" i="114"/>
  <c r="X934" i="114" s="1"/>
  <c r="W935" i="114"/>
  <c r="X935" i="114" s="1"/>
  <c r="W936" i="114"/>
  <c r="X936" i="114" s="1"/>
  <c r="W937" i="114"/>
  <c r="X937" i="114" s="1"/>
  <c r="W938" i="114"/>
  <c r="X938" i="114" s="1"/>
  <c r="W939" i="114"/>
  <c r="X939" i="114" s="1"/>
  <c r="W940" i="114"/>
  <c r="X940" i="114" s="1"/>
  <c r="W941" i="114"/>
  <c r="X941" i="114" s="1"/>
  <c r="W942" i="114"/>
  <c r="X942" i="114" s="1"/>
  <c r="W943" i="114"/>
  <c r="X943" i="114" s="1"/>
  <c r="W944" i="114"/>
  <c r="X944" i="114" s="1"/>
  <c r="W945" i="114"/>
  <c r="X945" i="114" s="1"/>
  <c r="W946" i="114"/>
  <c r="X946" i="114" s="1"/>
  <c r="W947" i="114"/>
  <c r="X947" i="114" s="1"/>
  <c r="W948" i="114"/>
  <c r="X948" i="114" s="1"/>
  <c r="W949" i="114"/>
  <c r="X949" i="114" s="1"/>
  <c r="W950" i="114"/>
  <c r="X950" i="114" s="1"/>
  <c r="W951" i="114"/>
  <c r="X951" i="114" s="1"/>
  <c r="W952" i="114"/>
  <c r="X952" i="114" s="1"/>
  <c r="W953" i="114"/>
  <c r="X953" i="114" s="1"/>
  <c r="W954" i="114"/>
  <c r="X954" i="114" s="1"/>
  <c r="W955" i="114"/>
  <c r="X955" i="114" s="1"/>
  <c r="W956" i="114"/>
  <c r="X956" i="114" s="1"/>
  <c r="W957" i="114"/>
  <c r="X957" i="114" s="1"/>
  <c r="W958" i="114"/>
  <c r="X958" i="114" s="1"/>
  <c r="W959" i="114"/>
  <c r="X959" i="114" s="1"/>
  <c r="W960" i="114"/>
  <c r="X960" i="114" s="1"/>
  <c r="W961" i="114"/>
  <c r="X961" i="114" s="1"/>
  <c r="W962" i="114"/>
  <c r="X962" i="114" s="1"/>
  <c r="W963" i="114"/>
  <c r="X963" i="114" s="1"/>
  <c r="W964" i="114"/>
  <c r="X964" i="114" s="1"/>
  <c r="W965" i="114"/>
  <c r="X965" i="114" s="1"/>
  <c r="W966" i="114"/>
  <c r="X966" i="114" s="1"/>
  <c r="W967" i="114"/>
  <c r="X967" i="114" s="1"/>
  <c r="W968" i="114"/>
  <c r="X968" i="114" s="1"/>
  <c r="W969" i="114"/>
  <c r="X969" i="114" s="1"/>
  <c r="W970" i="114"/>
  <c r="X970" i="114" s="1"/>
  <c r="W971" i="114"/>
  <c r="X971" i="114" s="1"/>
  <c r="W972" i="114"/>
  <c r="X972" i="114" s="1"/>
  <c r="W973" i="114"/>
  <c r="X973" i="114" s="1"/>
  <c r="W974" i="114"/>
  <c r="X974" i="114" s="1"/>
  <c r="W975" i="114"/>
  <c r="X975" i="114" s="1"/>
  <c r="W976" i="114"/>
  <c r="X976" i="114" s="1"/>
  <c r="W977" i="114"/>
  <c r="X977" i="114" s="1"/>
  <c r="W978" i="114"/>
  <c r="X978" i="114" s="1"/>
  <c r="W979" i="114"/>
  <c r="X979" i="114" s="1"/>
  <c r="W980" i="114"/>
  <c r="X980" i="114" s="1"/>
  <c r="W981" i="114"/>
  <c r="X981" i="114" s="1"/>
  <c r="W982" i="114"/>
  <c r="X982" i="114" s="1"/>
  <c r="W983" i="114"/>
  <c r="X983" i="114" s="1"/>
  <c r="W984" i="114"/>
  <c r="X984" i="114" s="1"/>
  <c r="W985" i="114"/>
  <c r="X985" i="114" s="1"/>
  <c r="W986" i="114"/>
  <c r="X986" i="114" s="1"/>
  <c r="W987" i="114"/>
  <c r="X987" i="114" s="1"/>
  <c r="W988" i="114"/>
  <c r="X988" i="114" s="1"/>
  <c r="W989" i="114"/>
  <c r="X989" i="114" s="1"/>
  <c r="W990" i="114"/>
  <c r="X990" i="114" s="1"/>
  <c r="W991" i="114"/>
  <c r="X991" i="114" s="1"/>
  <c r="W992" i="114"/>
  <c r="X992" i="114" s="1"/>
  <c r="W993" i="114"/>
  <c r="X993" i="114" s="1"/>
  <c r="W994" i="114"/>
  <c r="X994" i="114" s="1"/>
  <c r="W995" i="114"/>
  <c r="X995" i="114" s="1"/>
  <c r="W996" i="114"/>
  <c r="X996" i="114" s="1"/>
  <c r="W997" i="114"/>
  <c r="X997" i="114" s="1"/>
  <c r="W998" i="114"/>
  <c r="X998" i="114" s="1"/>
  <c r="W999" i="114"/>
  <c r="X999" i="114" s="1"/>
  <c r="W1000" i="114"/>
  <c r="X1000" i="114" s="1"/>
  <c r="W1001" i="114"/>
  <c r="X1001" i="114" s="1"/>
  <c r="W1002" i="114"/>
  <c r="X1002" i="114" s="1"/>
  <c r="W1003" i="114"/>
  <c r="X1003" i="114" s="1"/>
  <c r="W1004" i="114"/>
  <c r="X1004" i="114" s="1"/>
  <c r="W1005" i="114"/>
  <c r="X1005" i="114" s="1"/>
  <c r="W1006" i="114"/>
  <c r="X1006" i="114" s="1"/>
  <c r="W1007" i="114"/>
  <c r="X1007" i="114" s="1"/>
  <c r="W1008" i="114"/>
  <c r="X1008" i="114" s="1"/>
  <c r="W1009" i="114"/>
  <c r="X1009" i="114" s="1"/>
  <c r="W1010" i="114"/>
  <c r="X1010" i="114" s="1"/>
  <c r="W1011" i="114"/>
  <c r="X1011" i="114" s="1"/>
  <c r="W1012" i="114"/>
  <c r="X1012" i="114" s="1"/>
  <c r="W1013" i="114"/>
  <c r="X1013" i="114" s="1"/>
  <c r="W1014" i="114"/>
  <c r="X1014" i="114" s="1"/>
  <c r="W1015" i="114"/>
  <c r="X1015" i="114" s="1"/>
  <c r="W1016" i="114"/>
  <c r="X1016" i="114" s="1"/>
  <c r="W1017" i="114"/>
  <c r="X1017" i="114" s="1"/>
  <c r="W1018" i="114"/>
  <c r="X1018" i="114" s="1"/>
  <c r="W1019" i="114"/>
  <c r="X1019" i="114" s="1"/>
  <c r="W1020" i="114"/>
  <c r="X1020" i="114" s="1"/>
  <c r="W1021" i="114"/>
  <c r="X1021" i="114" s="1"/>
  <c r="W1022" i="114"/>
  <c r="X1022" i="114" s="1"/>
  <c r="W1023" i="114"/>
  <c r="X1023" i="114" s="1"/>
  <c r="W1024" i="114"/>
  <c r="X1024" i="114" s="1"/>
  <c r="W1025" i="114"/>
  <c r="X1025" i="114" s="1"/>
  <c r="W1026" i="114"/>
  <c r="X1026" i="114" s="1"/>
  <c r="W1027" i="114"/>
  <c r="X1027" i="114" s="1"/>
  <c r="W1028" i="114"/>
  <c r="X1028" i="114" s="1"/>
  <c r="W1029" i="114"/>
  <c r="X1029" i="114" s="1"/>
  <c r="W1030" i="114"/>
  <c r="X1030" i="114" s="1"/>
  <c r="W1031" i="114"/>
  <c r="X1031" i="114" s="1"/>
  <c r="W1032" i="114"/>
  <c r="X1032" i="114" s="1"/>
  <c r="W1033" i="114"/>
  <c r="X1033" i="114" s="1"/>
  <c r="W1034" i="114"/>
  <c r="X1034" i="114" s="1"/>
  <c r="W1035" i="114"/>
  <c r="X1035" i="114" s="1"/>
  <c r="W1036" i="114"/>
  <c r="X1036" i="114" s="1"/>
  <c r="W1037" i="114"/>
  <c r="X1037" i="114" s="1"/>
  <c r="W1038" i="114"/>
  <c r="X1038" i="114" s="1"/>
  <c r="W1039" i="114"/>
  <c r="X1039" i="114" s="1"/>
  <c r="W1040" i="114"/>
  <c r="X1040" i="114" s="1"/>
  <c r="W1041" i="114"/>
  <c r="X1041" i="114" s="1"/>
  <c r="W1042" i="114"/>
  <c r="X1042" i="114" s="1"/>
  <c r="W1043" i="114"/>
  <c r="X1043" i="114" s="1"/>
  <c r="W1044" i="114"/>
  <c r="X1044" i="114" s="1"/>
  <c r="W1045" i="114"/>
  <c r="X1045" i="114" s="1"/>
  <c r="W1046" i="114"/>
  <c r="X1046" i="114" s="1"/>
  <c r="W1047" i="114"/>
  <c r="X1047" i="114" s="1"/>
  <c r="W1048" i="114"/>
  <c r="X1048" i="114" s="1"/>
  <c r="W1049" i="114"/>
  <c r="X1049" i="114" s="1"/>
  <c r="W1050" i="114"/>
  <c r="X1050" i="114" s="1"/>
  <c r="W1051" i="114"/>
  <c r="X1051" i="114" s="1"/>
  <c r="W1052" i="114"/>
  <c r="X1052" i="114" s="1"/>
  <c r="W1053" i="114"/>
  <c r="X1053" i="114" s="1"/>
  <c r="W1054" i="114"/>
  <c r="X1054" i="114" s="1"/>
  <c r="W1055" i="114"/>
  <c r="X1055" i="114" s="1"/>
  <c r="W1056" i="114"/>
  <c r="X1056" i="114" s="1"/>
  <c r="W1057" i="114"/>
  <c r="X1057" i="114" s="1"/>
  <c r="W1058" i="114"/>
  <c r="X1058" i="114" s="1"/>
  <c r="W1059" i="114"/>
  <c r="X1059" i="114" s="1"/>
  <c r="W1060" i="114"/>
  <c r="X1060" i="114" s="1"/>
  <c r="W1061" i="114"/>
  <c r="X1061" i="114" s="1"/>
  <c r="W1062" i="114"/>
  <c r="X1062" i="114" s="1"/>
  <c r="W1063" i="114"/>
  <c r="X1063" i="114" s="1"/>
  <c r="W1064" i="114"/>
  <c r="X1064" i="114" s="1"/>
  <c r="W1065" i="114"/>
  <c r="X1065" i="114" s="1"/>
  <c r="W1066" i="114"/>
  <c r="X1066" i="114" s="1"/>
  <c r="W1067" i="114"/>
  <c r="X1067" i="114" s="1"/>
  <c r="W1068" i="114"/>
  <c r="X1068" i="114" s="1"/>
  <c r="W1069" i="114"/>
  <c r="X1069" i="114" s="1"/>
  <c r="W1070" i="114"/>
  <c r="X1070" i="114" s="1"/>
  <c r="W1071" i="114"/>
  <c r="X1071" i="114" s="1"/>
  <c r="W1072" i="114"/>
  <c r="X1072" i="114" s="1"/>
  <c r="W1073" i="114"/>
  <c r="X1073" i="114" s="1"/>
  <c r="W1074" i="114"/>
  <c r="X1074" i="114" s="1"/>
  <c r="W1075" i="114"/>
  <c r="X1075" i="114" s="1"/>
  <c r="W1076" i="114"/>
  <c r="X1076" i="114" s="1"/>
  <c r="W1077" i="114"/>
  <c r="X1077" i="114" s="1"/>
  <c r="W1078" i="114"/>
  <c r="X1078" i="114" s="1"/>
  <c r="W1079" i="114"/>
  <c r="X1079" i="114" s="1"/>
  <c r="W1080" i="114"/>
  <c r="X1080" i="114" s="1"/>
  <c r="W1081" i="114"/>
  <c r="X1081" i="114" s="1"/>
  <c r="W1082" i="114"/>
  <c r="X1082" i="114" s="1"/>
  <c r="W1083" i="114"/>
  <c r="X1083" i="114" s="1"/>
  <c r="W1084" i="114"/>
  <c r="X1084" i="114" s="1"/>
  <c r="W1085" i="114"/>
  <c r="X1085" i="114" s="1"/>
  <c r="W1086" i="114"/>
  <c r="X1086" i="114" s="1"/>
  <c r="W1087" i="114"/>
  <c r="X1087" i="114" s="1"/>
  <c r="W1088" i="114"/>
  <c r="X1088" i="114" s="1"/>
  <c r="W1089" i="114"/>
  <c r="X1089" i="114" s="1"/>
  <c r="W1090" i="114"/>
  <c r="X1090" i="114" s="1"/>
  <c r="W1091" i="114"/>
  <c r="X1091" i="114" s="1"/>
  <c r="W1092" i="114"/>
  <c r="X1092" i="114" s="1"/>
  <c r="W1093" i="114"/>
  <c r="X1093" i="114" s="1"/>
  <c r="W1094" i="114"/>
  <c r="X1094" i="114" s="1"/>
  <c r="W1095" i="114"/>
  <c r="X1095" i="114" s="1"/>
  <c r="W1096" i="114"/>
  <c r="X1096" i="114" s="1"/>
  <c r="W1097" i="114"/>
  <c r="X1097" i="114" s="1"/>
  <c r="W1098" i="114"/>
  <c r="X1098" i="114" s="1"/>
  <c r="W1099" i="114"/>
  <c r="X1099" i="114" s="1"/>
  <c r="W1100" i="114"/>
  <c r="X1100" i="114" s="1"/>
  <c r="W1101" i="114"/>
  <c r="X1101" i="114" s="1"/>
  <c r="W1102" i="114"/>
  <c r="X1102" i="114" s="1"/>
  <c r="W1103" i="114"/>
  <c r="X1103" i="114" s="1"/>
  <c r="W1104" i="114"/>
  <c r="X1104" i="114" s="1"/>
  <c r="W1105" i="114"/>
  <c r="X1105" i="114" s="1"/>
  <c r="W1106" i="114"/>
  <c r="X1106" i="114" s="1"/>
  <c r="W1107" i="114"/>
  <c r="X1107" i="114" s="1"/>
  <c r="W1108" i="114"/>
  <c r="X1108" i="114" s="1"/>
  <c r="W1109" i="114"/>
  <c r="X1109" i="114" s="1"/>
  <c r="W1110" i="114"/>
  <c r="X1110" i="114" s="1"/>
  <c r="W1111" i="114"/>
  <c r="X1111" i="114" s="1"/>
  <c r="W1112" i="114"/>
  <c r="X1112" i="114" s="1"/>
  <c r="W1113" i="114"/>
  <c r="X1113" i="114" s="1"/>
  <c r="W1114" i="114"/>
  <c r="X1114" i="114" s="1"/>
  <c r="W1115" i="114"/>
  <c r="X1115" i="114" s="1"/>
  <c r="W1116" i="114"/>
  <c r="X1116" i="114" s="1"/>
  <c r="W1117" i="114"/>
  <c r="X1117" i="114" s="1"/>
  <c r="W1118" i="114"/>
  <c r="X1118" i="114" s="1"/>
  <c r="W1119" i="114"/>
  <c r="X1119" i="114" s="1"/>
  <c r="W1120" i="114"/>
  <c r="X1120" i="114" s="1"/>
  <c r="W1121" i="114"/>
  <c r="X1121" i="114" s="1"/>
  <c r="W1122" i="114"/>
  <c r="X1122" i="114" s="1"/>
  <c r="W1123" i="114"/>
  <c r="X1123" i="114" s="1"/>
  <c r="W1124" i="114"/>
  <c r="X1124" i="114" s="1"/>
  <c r="W1125" i="114"/>
  <c r="X1125" i="114" s="1"/>
  <c r="W1126" i="114"/>
  <c r="X1126" i="114" s="1"/>
  <c r="W1127" i="114"/>
  <c r="X1127" i="114" s="1"/>
  <c r="W1128" i="114"/>
  <c r="X1128" i="114" s="1"/>
  <c r="W1129" i="114"/>
  <c r="X1129" i="114" s="1"/>
  <c r="W1130" i="114"/>
  <c r="X1130" i="114" s="1"/>
  <c r="W1131" i="114"/>
  <c r="X1131" i="114" s="1"/>
  <c r="W1132" i="114"/>
  <c r="X1132" i="114" s="1"/>
  <c r="W1133" i="114"/>
  <c r="X1133" i="114" s="1"/>
  <c r="W1134" i="114"/>
  <c r="X1134" i="114" s="1"/>
  <c r="W1135" i="114"/>
  <c r="X1135" i="114" s="1"/>
  <c r="W1136" i="114"/>
  <c r="X1136" i="114" s="1"/>
  <c r="W1137" i="114"/>
  <c r="X1137" i="114" s="1"/>
  <c r="W1138" i="114"/>
  <c r="X1138" i="114" s="1"/>
  <c r="W1139" i="114"/>
  <c r="X1139" i="114" s="1"/>
  <c r="W1140" i="114"/>
  <c r="X1140" i="114" s="1"/>
  <c r="W1141" i="114"/>
  <c r="X1141" i="114" s="1"/>
  <c r="W1142" i="114"/>
  <c r="X1142" i="114" s="1"/>
  <c r="W1143" i="114"/>
  <c r="X1143" i="114" s="1"/>
  <c r="W1144" i="114"/>
  <c r="X1144" i="114" s="1"/>
  <c r="W1145" i="114"/>
  <c r="X1145" i="114" s="1"/>
  <c r="W1146" i="114"/>
  <c r="X1146" i="114" s="1"/>
  <c r="W1147" i="114"/>
  <c r="X1147" i="114" s="1"/>
  <c r="W1148" i="114"/>
  <c r="X1148" i="114" s="1"/>
  <c r="W1149" i="114"/>
  <c r="X1149" i="114" s="1"/>
  <c r="W1150" i="114"/>
  <c r="X1150" i="114" s="1"/>
  <c r="W1151" i="114"/>
  <c r="X1151" i="114" s="1"/>
  <c r="W1152" i="114"/>
  <c r="X1152" i="114" s="1"/>
  <c r="W1153" i="114"/>
  <c r="X1153" i="114" s="1"/>
  <c r="W1154" i="114"/>
  <c r="X1154" i="114" s="1"/>
  <c r="W1155" i="114"/>
  <c r="X1155" i="114" s="1"/>
  <c r="W1156" i="114"/>
  <c r="X1156" i="114" s="1"/>
  <c r="W1157" i="114"/>
  <c r="X1157" i="114" s="1"/>
  <c r="W1158" i="114"/>
  <c r="X1158" i="114" s="1"/>
  <c r="W1159" i="114"/>
  <c r="X1159" i="114" s="1"/>
  <c r="W1160" i="114"/>
  <c r="X1160" i="114" s="1"/>
  <c r="W1161" i="114"/>
  <c r="X1161" i="114" s="1"/>
  <c r="W1162" i="114"/>
  <c r="X1162" i="114" s="1"/>
  <c r="W1163" i="114"/>
  <c r="X1163" i="114" s="1"/>
  <c r="W1164" i="114"/>
  <c r="X1164" i="114" s="1"/>
  <c r="W1165" i="114"/>
  <c r="X1165" i="114" s="1"/>
  <c r="W1166" i="114"/>
  <c r="X1166" i="114" s="1"/>
  <c r="W1167" i="114"/>
  <c r="X1167" i="114" s="1"/>
  <c r="W1168" i="114"/>
  <c r="X1168" i="114" s="1"/>
  <c r="W1169" i="114"/>
  <c r="X1169" i="114" s="1"/>
  <c r="W1170" i="114"/>
  <c r="X1170" i="114" s="1"/>
  <c r="W1171" i="114"/>
  <c r="X1171" i="114" s="1"/>
  <c r="W1172" i="114"/>
  <c r="X1172" i="114" s="1"/>
  <c r="W1173" i="114"/>
  <c r="X1173" i="114" s="1"/>
  <c r="W1174" i="114"/>
  <c r="X1174" i="114" s="1"/>
  <c r="W1175" i="114"/>
  <c r="X1175" i="114" s="1"/>
  <c r="W1176" i="114"/>
  <c r="X1176" i="114" s="1"/>
  <c r="W1177" i="114"/>
  <c r="X1177" i="114" s="1"/>
  <c r="W1178" i="114"/>
  <c r="X1178" i="114" s="1"/>
  <c r="W1179" i="114"/>
  <c r="X1179" i="114" s="1"/>
  <c r="W1180" i="114"/>
  <c r="X1180" i="114" s="1"/>
  <c r="W1181" i="114"/>
  <c r="X1181" i="114" s="1"/>
  <c r="W1182" i="114"/>
  <c r="X1182" i="114" s="1"/>
  <c r="W1183" i="114"/>
  <c r="X1183" i="114" s="1"/>
  <c r="W1184" i="114"/>
  <c r="X1184" i="114" s="1"/>
  <c r="W1185" i="114"/>
  <c r="X1185" i="114" s="1"/>
  <c r="W1186" i="114"/>
  <c r="X1186" i="114" s="1"/>
  <c r="W1187" i="114"/>
  <c r="X1187" i="114" s="1"/>
  <c r="W1188" i="114"/>
  <c r="X1188" i="114" s="1"/>
  <c r="W1189" i="114"/>
  <c r="X1189" i="114" s="1"/>
  <c r="W1190" i="114"/>
  <c r="X1190" i="114" s="1"/>
  <c r="W1191" i="114"/>
  <c r="X1191" i="114" s="1"/>
  <c r="W1192" i="114"/>
  <c r="X1192" i="114" s="1"/>
  <c r="W1193" i="114"/>
  <c r="X1193" i="114" s="1"/>
  <c r="W1194" i="114"/>
  <c r="X1194" i="114" s="1"/>
  <c r="W1195" i="114"/>
  <c r="X1195" i="114" s="1"/>
  <c r="W1196" i="114"/>
  <c r="X1196" i="114" s="1"/>
  <c r="W1197" i="114"/>
  <c r="X1197" i="114" s="1"/>
  <c r="W1198" i="114"/>
  <c r="X1198" i="114" s="1"/>
  <c r="W1199" i="114"/>
  <c r="X1199" i="114" s="1"/>
  <c r="W1200" i="114"/>
  <c r="X1200" i="114" s="1"/>
  <c r="W1201" i="114"/>
  <c r="X1201" i="114" s="1"/>
  <c r="W1202" i="114"/>
  <c r="X1202" i="114" s="1"/>
  <c r="W1203" i="114"/>
  <c r="X1203" i="114" s="1"/>
  <c r="W1204" i="114"/>
  <c r="X1204" i="114" s="1"/>
  <c r="W1205" i="114"/>
  <c r="X1205" i="114" s="1"/>
  <c r="W1206" i="114"/>
  <c r="X1206" i="114" s="1"/>
  <c r="W1207" i="114"/>
  <c r="X1207" i="114" s="1"/>
  <c r="W1208" i="114"/>
  <c r="X1208" i="114" s="1"/>
  <c r="W1209" i="114"/>
  <c r="X1209" i="114" s="1"/>
  <c r="W1210" i="114"/>
  <c r="X1210" i="114" s="1"/>
  <c r="W1211" i="114"/>
  <c r="X1211" i="114" s="1"/>
  <c r="W1212" i="114"/>
  <c r="X1212" i="114" s="1"/>
  <c r="W1213" i="114"/>
  <c r="X1213" i="114" s="1"/>
  <c r="W1214" i="114"/>
  <c r="X1214" i="114" s="1"/>
  <c r="W1215" i="114"/>
  <c r="X1215" i="114" s="1"/>
  <c r="W1216" i="114"/>
  <c r="X1216" i="114" s="1"/>
  <c r="W1217" i="114"/>
  <c r="X1217" i="114" s="1"/>
  <c r="W1218" i="114"/>
  <c r="X1218" i="114" s="1"/>
  <c r="W1219" i="114"/>
  <c r="X1219" i="114" s="1"/>
  <c r="W1220" i="114"/>
  <c r="X1220" i="114" s="1"/>
  <c r="W1221" i="114"/>
  <c r="X1221" i="114" s="1"/>
  <c r="W1222" i="114"/>
  <c r="X1222" i="114" s="1"/>
  <c r="W1223" i="114"/>
  <c r="X1223" i="114" s="1"/>
  <c r="W1224" i="114"/>
  <c r="X1224" i="114" s="1"/>
  <c r="W1225" i="114"/>
  <c r="X1225" i="114" s="1"/>
  <c r="W1226" i="114"/>
  <c r="X1226" i="114" s="1"/>
  <c r="W1227" i="114"/>
  <c r="X1227" i="114" s="1"/>
  <c r="W1228" i="114"/>
  <c r="X1228" i="114" s="1"/>
  <c r="W1229" i="114"/>
  <c r="X1229" i="114" s="1"/>
  <c r="W1230" i="114"/>
  <c r="X1230" i="114" s="1"/>
  <c r="W1231" i="114"/>
  <c r="X1231" i="114" s="1"/>
  <c r="W1232" i="114"/>
  <c r="X1232" i="114" s="1"/>
  <c r="W1233" i="114"/>
  <c r="X1233" i="114" s="1"/>
  <c r="W1234" i="114"/>
  <c r="X1234" i="114" s="1"/>
  <c r="W1235" i="114"/>
  <c r="X1235" i="114" s="1"/>
  <c r="W1236" i="114"/>
  <c r="X1236" i="114" s="1"/>
  <c r="W1237" i="114"/>
  <c r="X1237" i="114" s="1"/>
  <c r="W1238" i="114"/>
  <c r="X1238" i="114" s="1"/>
  <c r="W1239" i="114"/>
  <c r="X1239" i="114" s="1"/>
  <c r="W1240" i="114"/>
  <c r="X1240" i="114" s="1"/>
  <c r="W1241" i="114"/>
  <c r="X1241" i="114" s="1"/>
  <c r="W1242" i="114"/>
  <c r="X1242" i="114" s="1"/>
  <c r="W1243" i="114"/>
  <c r="X1243" i="114" s="1"/>
  <c r="W1244" i="114"/>
  <c r="X1244" i="114" s="1"/>
  <c r="W1245" i="114"/>
  <c r="X1245" i="114" s="1"/>
  <c r="W1246" i="114"/>
  <c r="X1246" i="114" s="1"/>
  <c r="W1247" i="114"/>
  <c r="X1247" i="114" s="1"/>
  <c r="W1248" i="114"/>
  <c r="X1248" i="114" s="1"/>
  <c r="W1249" i="114"/>
  <c r="X1249" i="114" s="1"/>
  <c r="W1250" i="114"/>
  <c r="X1250" i="114" s="1"/>
  <c r="W1251" i="114"/>
  <c r="X1251" i="114" s="1"/>
  <c r="W1252" i="114"/>
  <c r="X1252" i="114" s="1"/>
  <c r="W1253" i="114"/>
  <c r="X1253" i="114" s="1"/>
  <c r="W1254" i="114"/>
  <c r="X1254" i="114" s="1"/>
  <c r="W1255" i="114"/>
  <c r="X1255" i="114" s="1"/>
  <c r="W1256" i="114"/>
  <c r="X1256" i="114" s="1"/>
  <c r="W1257" i="114"/>
  <c r="X1257" i="114" s="1"/>
  <c r="W1258" i="114"/>
  <c r="X1258" i="114" s="1"/>
  <c r="W1259" i="114"/>
  <c r="X1259" i="114" s="1"/>
  <c r="W1260" i="114"/>
  <c r="X1260" i="114" s="1"/>
  <c r="W1261" i="114"/>
  <c r="X1261" i="114" s="1"/>
  <c r="W1262" i="114"/>
  <c r="X1262" i="114" s="1"/>
  <c r="W1263" i="114"/>
  <c r="X1263" i="114" s="1"/>
  <c r="W1264" i="114"/>
  <c r="X1264" i="114" s="1"/>
  <c r="W1265" i="114"/>
  <c r="X1265" i="114" s="1"/>
  <c r="W1266" i="114"/>
  <c r="X1266" i="114" s="1"/>
  <c r="W1267" i="114"/>
  <c r="X1267" i="114" s="1"/>
  <c r="W1268" i="114"/>
  <c r="X1268" i="114" s="1"/>
  <c r="W1269" i="114"/>
  <c r="X1269" i="114" s="1"/>
  <c r="W1270" i="114"/>
  <c r="X1270" i="114" s="1"/>
  <c r="W1271" i="114"/>
  <c r="X1271" i="114" s="1"/>
  <c r="W1272" i="114"/>
  <c r="X1272" i="114" s="1"/>
  <c r="W1273" i="114"/>
  <c r="X1273" i="114" s="1"/>
  <c r="W1274" i="114"/>
  <c r="X1274" i="114" s="1"/>
  <c r="W1275" i="114"/>
  <c r="X1275" i="114" s="1"/>
  <c r="W1276" i="114"/>
  <c r="X1276" i="114" s="1"/>
  <c r="W1277" i="114"/>
  <c r="X1277" i="114" s="1"/>
  <c r="W1278" i="114"/>
  <c r="X1278" i="114" s="1"/>
  <c r="W1279" i="114"/>
  <c r="X1279" i="114" s="1"/>
  <c r="W1280" i="114"/>
  <c r="X1280" i="114" s="1"/>
  <c r="W1281" i="114"/>
  <c r="X1281" i="114" s="1"/>
  <c r="W1282" i="114"/>
  <c r="X1282" i="114" s="1"/>
  <c r="W1283" i="114"/>
  <c r="X1283" i="114" s="1"/>
  <c r="W1284" i="114"/>
  <c r="X1284" i="114" s="1"/>
  <c r="W1285" i="114"/>
  <c r="X1285" i="114" s="1"/>
  <c r="W1286" i="114"/>
  <c r="X1286" i="114" s="1"/>
  <c r="W1287" i="114"/>
  <c r="X1287" i="114" s="1"/>
  <c r="W1288" i="114"/>
  <c r="X1288" i="114" s="1"/>
  <c r="W1289" i="114"/>
  <c r="X1289" i="114" s="1"/>
  <c r="W1290" i="114"/>
  <c r="X1290" i="114" s="1"/>
  <c r="W1291" i="114"/>
  <c r="X1291" i="114" s="1"/>
  <c r="W1292" i="114"/>
  <c r="X1292" i="114" s="1"/>
  <c r="W1293" i="114"/>
  <c r="X1293" i="114" s="1"/>
  <c r="W1294" i="114"/>
  <c r="X1294" i="114" s="1"/>
  <c r="W1295" i="114"/>
  <c r="X1295" i="114" s="1"/>
  <c r="W1296" i="114"/>
  <c r="X1296" i="114" s="1"/>
  <c r="W1297" i="114"/>
  <c r="X1297" i="114" s="1"/>
  <c r="W1298" i="114"/>
  <c r="X1298" i="114" s="1"/>
  <c r="W1299" i="114"/>
  <c r="X1299" i="114" s="1"/>
  <c r="W1300" i="114"/>
  <c r="X1300" i="114" s="1"/>
  <c r="W1301" i="114"/>
  <c r="X1301" i="114" s="1"/>
  <c r="W1302" i="114"/>
  <c r="X1302" i="114" s="1"/>
  <c r="W1303" i="114"/>
  <c r="X1303" i="114" s="1"/>
  <c r="W1304" i="114"/>
  <c r="X1304" i="114" s="1"/>
  <c r="W1305" i="114"/>
  <c r="X1305" i="114" s="1"/>
  <c r="W1306" i="114"/>
  <c r="X1306" i="114" s="1"/>
  <c r="W1307" i="114"/>
  <c r="X1307" i="114" s="1"/>
  <c r="W1308" i="114"/>
  <c r="X1308" i="114" s="1"/>
  <c r="W1309" i="114"/>
  <c r="X1309" i="114" s="1"/>
  <c r="W1310" i="114"/>
  <c r="X1310" i="114" s="1"/>
  <c r="W1311" i="114"/>
  <c r="X1311" i="114" s="1"/>
  <c r="W1312" i="114"/>
  <c r="X1312" i="114" s="1"/>
  <c r="W1313" i="114"/>
  <c r="X1313" i="114" s="1"/>
  <c r="W1314" i="114"/>
  <c r="X1314" i="114" s="1"/>
  <c r="W1315" i="114"/>
  <c r="X1315" i="114" s="1"/>
  <c r="W1316" i="114"/>
  <c r="X1316" i="114" s="1"/>
  <c r="W1317" i="114"/>
  <c r="X1317" i="114" s="1"/>
  <c r="W1318" i="114"/>
  <c r="X1318" i="114" s="1"/>
  <c r="W1319" i="114"/>
  <c r="X1319" i="114" s="1"/>
  <c r="W1320" i="114"/>
  <c r="X1320" i="114" s="1"/>
  <c r="W1321" i="114"/>
  <c r="X1321" i="114" s="1"/>
  <c r="W1322" i="114"/>
  <c r="X1322" i="114" s="1"/>
  <c r="W1323" i="114"/>
  <c r="X1323" i="114" s="1"/>
  <c r="W1324" i="114"/>
  <c r="X1324" i="114" s="1"/>
  <c r="W1325" i="114"/>
  <c r="X1325" i="114" s="1"/>
  <c r="W1326" i="114"/>
  <c r="X1326" i="114" s="1"/>
  <c r="W1327" i="114"/>
  <c r="X1327" i="114" s="1"/>
  <c r="W1328" i="114"/>
  <c r="X1328" i="114" s="1"/>
  <c r="W1329" i="114"/>
  <c r="X1329" i="114" s="1"/>
  <c r="X1450" i="114" l="1"/>
  <c r="W1450" i="114"/>
  <c r="AV3" i="114"/>
  <c r="AO5" i="83" l="1"/>
  <c r="AM5" i="83"/>
  <c r="AK5" i="83"/>
  <c r="U377" i="114" l="1"/>
  <c r="AF35" i="114" l="1"/>
  <c r="AF33" i="114"/>
  <c r="AF34" i="114"/>
  <c r="AF36" i="114"/>
  <c r="AF37" i="114"/>
  <c r="AF38" i="114"/>
  <c r="AF39" i="114"/>
  <c r="AF40" i="114"/>
  <c r="AF41" i="114"/>
  <c r="AF42" i="114"/>
  <c r="AF43" i="114"/>
  <c r="AF44" i="114"/>
  <c r="AF45" i="114"/>
  <c r="AF46" i="114"/>
  <c r="AF47" i="114"/>
  <c r="AF32" i="114"/>
  <c r="U10" i="114" l="1"/>
  <c r="U9" i="114" l="1"/>
  <c r="U11" i="114"/>
  <c r="U12" i="114"/>
  <c r="U13" i="114"/>
  <c r="U14" i="114"/>
  <c r="U15" i="114"/>
  <c r="U16" i="114"/>
  <c r="U17" i="114"/>
  <c r="U18" i="114"/>
  <c r="U19" i="114"/>
  <c r="U20" i="114"/>
  <c r="U21" i="114"/>
  <c r="U36" i="114"/>
  <c r="U37" i="114"/>
  <c r="U38" i="114"/>
  <c r="U39" i="114"/>
  <c r="U40" i="114"/>
  <c r="U41" i="114"/>
  <c r="U42" i="114"/>
  <c r="U43" i="114"/>
  <c r="U44" i="114"/>
  <c r="U45" i="114"/>
  <c r="U46" i="114"/>
  <c r="U47" i="114"/>
  <c r="U48" i="114"/>
  <c r="U49" i="114"/>
  <c r="U50" i="114"/>
  <c r="U51" i="114"/>
  <c r="U52" i="114"/>
  <c r="U53" i="114"/>
  <c r="U54" i="114"/>
  <c r="U55" i="114"/>
  <c r="U56" i="114"/>
  <c r="U57" i="114"/>
  <c r="U58" i="114"/>
  <c r="U59" i="114"/>
  <c r="U60" i="114"/>
  <c r="U61" i="114"/>
  <c r="U62" i="114"/>
  <c r="U63" i="114"/>
  <c r="U64" i="114"/>
  <c r="U65" i="114"/>
  <c r="U66" i="114"/>
  <c r="U67" i="114"/>
  <c r="U68" i="114"/>
  <c r="U69" i="114"/>
  <c r="U70" i="114"/>
  <c r="U71" i="114"/>
  <c r="U72" i="114"/>
  <c r="U73" i="114"/>
  <c r="U74" i="114"/>
  <c r="U75" i="114"/>
  <c r="U76" i="114"/>
  <c r="U77" i="114"/>
  <c r="U78" i="114"/>
  <c r="U79" i="114"/>
  <c r="U80" i="114"/>
  <c r="U81" i="114"/>
  <c r="U82" i="114"/>
  <c r="U83" i="114"/>
  <c r="U84" i="114"/>
  <c r="U85" i="114"/>
  <c r="U86" i="114"/>
  <c r="U87" i="114"/>
  <c r="U88" i="114"/>
  <c r="U89" i="114"/>
  <c r="U90" i="114"/>
  <c r="U91" i="114"/>
  <c r="U92" i="114"/>
  <c r="U93" i="114"/>
  <c r="U94" i="114"/>
  <c r="U95" i="114"/>
  <c r="U96" i="114"/>
  <c r="U97" i="114"/>
  <c r="U98" i="114"/>
  <c r="U99" i="114"/>
  <c r="U100" i="114"/>
  <c r="U101" i="114"/>
  <c r="U102" i="114"/>
  <c r="U103" i="114"/>
  <c r="U104" i="114"/>
  <c r="U105" i="114"/>
  <c r="U106" i="114"/>
  <c r="U107" i="114"/>
  <c r="U108" i="114"/>
  <c r="U109" i="114"/>
  <c r="U110" i="114"/>
  <c r="U111" i="114"/>
  <c r="U112" i="114"/>
  <c r="U113" i="114"/>
  <c r="U114" i="114"/>
  <c r="U115" i="114"/>
  <c r="U116" i="114"/>
  <c r="U117" i="114"/>
  <c r="U118" i="114"/>
  <c r="U119" i="114"/>
  <c r="U120" i="114"/>
  <c r="U121" i="114"/>
  <c r="U122" i="114"/>
  <c r="U123" i="114"/>
  <c r="U124" i="114"/>
  <c r="U125" i="114"/>
  <c r="U126" i="114"/>
  <c r="U127" i="114"/>
  <c r="U128" i="114"/>
  <c r="U129" i="114"/>
  <c r="U130" i="114"/>
  <c r="U131" i="114"/>
  <c r="U132" i="114"/>
  <c r="U133" i="114"/>
  <c r="U134" i="114"/>
  <c r="U135" i="114"/>
  <c r="U136" i="114"/>
  <c r="U137" i="114"/>
  <c r="U138" i="114"/>
  <c r="U139" i="114"/>
  <c r="U140" i="114"/>
  <c r="U141" i="114"/>
  <c r="U142" i="114"/>
  <c r="U143" i="114"/>
  <c r="U144" i="114"/>
  <c r="U145" i="114"/>
  <c r="U146" i="114"/>
  <c r="U147" i="114"/>
  <c r="U148" i="114"/>
  <c r="U149" i="114"/>
  <c r="U150" i="114"/>
  <c r="U151" i="114"/>
  <c r="U152" i="114"/>
  <c r="U153" i="114"/>
  <c r="U154" i="114"/>
  <c r="U155" i="114"/>
  <c r="U156" i="114"/>
  <c r="U157" i="114"/>
  <c r="U158" i="114"/>
  <c r="U159" i="114"/>
  <c r="U160" i="114"/>
  <c r="U161" i="114"/>
  <c r="U162" i="114"/>
  <c r="U163" i="114"/>
  <c r="U164" i="114"/>
  <c r="U165" i="114"/>
  <c r="U166" i="114"/>
  <c r="U167" i="114"/>
  <c r="U168" i="114"/>
  <c r="U169" i="114"/>
  <c r="U170" i="114"/>
  <c r="U171" i="114"/>
  <c r="U172" i="114"/>
  <c r="U173" i="114"/>
  <c r="U174" i="114"/>
  <c r="U175" i="114"/>
  <c r="U176" i="114"/>
  <c r="U177" i="114"/>
  <c r="U178" i="114"/>
  <c r="U179" i="114"/>
  <c r="U180" i="114"/>
  <c r="U181" i="114"/>
  <c r="U182" i="114"/>
  <c r="U183" i="114"/>
  <c r="U184" i="114"/>
  <c r="U185" i="114"/>
  <c r="U186" i="114"/>
  <c r="U187" i="114"/>
  <c r="U188" i="114"/>
  <c r="U189" i="114"/>
  <c r="U190" i="114"/>
  <c r="U191" i="114"/>
  <c r="U192" i="114"/>
  <c r="U193" i="114"/>
  <c r="U194" i="114"/>
  <c r="U195" i="114"/>
  <c r="U196" i="114"/>
  <c r="U197" i="114"/>
  <c r="U198" i="114"/>
  <c r="U199" i="114"/>
  <c r="U200" i="114"/>
  <c r="U201" i="114"/>
  <c r="U202" i="114"/>
  <c r="U203" i="114"/>
  <c r="U204" i="114"/>
  <c r="U205" i="114"/>
  <c r="U206" i="114"/>
  <c r="U207" i="114"/>
  <c r="U208" i="114"/>
  <c r="U209" i="114"/>
  <c r="U210" i="114"/>
  <c r="U211" i="114"/>
  <c r="U212" i="114"/>
  <c r="U213" i="114"/>
  <c r="U214" i="114"/>
  <c r="U215" i="114"/>
  <c r="U216" i="114"/>
  <c r="U217" i="114"/>
  <c r="U218" i="114"/>
  <c r="U219" i="114"/>
  <c r="U220" i="114"/>
  <c r="U221" i="114"/>
  <c r="U222" i="114"/>
  <c r="U223" i="114"/>
  <c r="U224" i="114"/>
  <c r="U225" i="114"/>
  <c r="U226" i="114"/>
  <c r="U227" i="114"/>
  <c r="U228" i="114"/>
  <c r="U229" i="114"/>
  <c r="U230" i="114"/>
  <c r="U231" i="114"/>
  <c r="U232" i="114"/>
  <c r="U233" i="114"/>
  <c r="U234" i="114"/>
  <c r="U235" i="114"/>
  <c r="U236" i="114"/>
  <c r="U237" i="114"/>
  <c r="U238" i="114"/>
  <c r="U239" i="114"/>
  <c r="U240" i="114"/>
  <c r="U241" i="114"/>
  <c r="U242" i="114"/>
  <c r="U243" i="114"/>
  <c r="U244" i="114"/>
  <c r="U245" i="114"/>
  <c r="U246" i="114"/>
  <c r="U247" i="114"/>
  <c r="U248" i="114"/>
  <c r="U249" i="114"/>
  <c r="U250" i="114"/>
  <c r="U251" i="114"/>
  <c r="U252" i="114"/>
  <c r="U253" i="114"/>
  <c r="U254" i="114"/>
  <c r="U255" i="114"/>
  <c r="U256" i="114"/>
  <c r="U257" i="114"/>
  <c r="U258" i="114"/>
  <c r="U259" i="114"/>
  <c r="U260" i="114"/>
  <c r="U261" i="114"/>
  <c r="U262" i="114"/>
  <c r="U263" i="114"/>
  <c r="U264" i="114"/>
  <c r="U265" i="114"/>
  <c r="U266" i="114"/>
  <c r="U267" i="114"/>
  <c r="U268" i="114"/>
  <c r="U269" i="114"/>
  <c r="U270" i="114"/>
  <c r="U271" i="114"/>
  <c r="U272" i="114"/>
  <c r="U273" i="114"/>
  <c r="U274" i="114"/>
  <c r="U275" i="114"/>
  <c r="U276" i="114"/>
  <c r="U277" i="114"/>
  <c r="U278" i="114"/>
  <c r="U279" i="114"/>
  <c r="U280" i="114"/>
  <c r="U281" i="114"/>
  <c r="U282" i="114"/>
  <c r="U283" i="114"/>
  <c r="U284" i="114"/>
  <c r="U285" i="114"/>
  <c r="U286" i="114"/>
  <c r="U287" i="114"/>
  <c r="U288" i="114"/>
  <c r="U289" i="114"/>
  <c r="U290" i="114"/>
  <c r="U291" i="114"/>
  <c r="U292" i="114"/>
  <c r="U293" i="114"/>
  <c r="U294" i="114"/>
  <c r="U295" i="114"/>
  <c r="U296" i="114"/>
  <c r="U297" i="114"/>
  <c r="U298" i="114"/>
  <c r="U299" i="114"/>
  <c r="U300" i="114"/>
  <c r="U301" i="114"/>
  <c r="U302" i="114"/>
  <c r="U303" i="114"/>
  <c r="U304" i="114"/>
  <c r="U305" i="114"/>
  <c r="U306" i="114"/>
  <c r="U307" i="114"/>
  <c r="U308" i="114"/>
  <c r="U309" i="114"/>
  <c r="U310" i="114"/>
  <c r="U311" i="114"/>
  <c r="U312" i="114"/>
  <c r="U313" i="114"/>
  <c r="U314" i="114"/>
  <c r="U315" i="114"/>
  <c r="U316" i="114"/>
  <c r="U317" i="114"/>
  <c r="U318" i="114"/>
  <c r="U319" i="114"/>
  <c r="U320" i="114"/>
  <c r="U321" i="114"/>
  <c r="U322" i="114"/>
  <c r="U323" i="114"/>
  <c r="U324" i="114"/>
  <c r="U325" i="114"/>
  <c r="U326" i="114"/>
  <c r="U327" i="114"/>
  <c r="U328" i="114"/>
  <c r="U329" i="114"/>
  <c r="U330" i="114"/>
  <c r="U331" i="114"/>
  <c r="U332" i="114"/>
  <c r="U333" i="114"/>
  <c r="U334" i="114"/>
  <c r="U335" i="114"/>
  <c r="U336" i="114"/>
  <c r="U337" i="114"/>
  <c r="U338" i="114"/>
  <c r="U339" i="114"/>
  <c r="U340" i="114"/>
  <c r="U341" i="114"/>
  <c r="U342" i="114"/>
  <c r="U343" i="114"/>
  <c r="U344" i="114"/>
  <c r="U345" i="114"/>
  <c r="U346" i="114"/>
  <c r="U347" i="114"/>
  <c r="U348" i="114"/>
  <c r="U349" i="114"/>
  <c r="U350" i="114"/>
  <c r="U351" i="114"/>
  <c r="U352" i="114"/>
  <c r="U353" i="114"/>
  <c r="U354" i="114"/>
  <c r="U355" i="114"/>
  <c r="U356" i="114"/>
  <c r="U357" i="114"/>
  <c r="U358" i="114"/>
  <c r="U359" i="114"/>
  <c r="U360" i="114"/>
  <c r="U361" i="114"/>
  <c r="U362" i="114"/>
  <c r="U363" i="114"/>
  <c r="U364" i="114"/>
  <c r="U365" i="114"/>
  <c r="U366" i="114"/>
  <c r="U367" i="114"/>
  <c r="U368" i="114"/>
  <c r="U369" i="114"/>
  <c r="U370" i="114"/>
  <c r="U371" i="114"/>
  <c r="U372" i="114"/>
  <c r="U373" i="114"/>
  <c r="U374" i="114"/>
  <c r="U375" i="114"/>
  <c r="U376" i="114"/>
  <c r="U378" i="114"/>
  <c r="U379" i="114"/>
  <c r="U380" i="114"/>
  <c r="U381" i="114"/>
  <c r="U382" i="114"/>
  <c r="U383" i="114"/>
  <c r="U384" i="114"/>
  <c r="U385" i="114"/>
  <c r="U386" i="114"/>
  <c r="U387" i="114"/>
  <c r="U388" i="114"/>
  <c r="U389" i="114"/>
  <c r="U390" i="114"/>
  <c r="U391" i="114"/>
  <c r="U392" i="114"/>
  <c r="U393" i="114"/>
  <c r="U394" i="114"/>
  <c r="U395" i="114"/>
  <c r="U396" i="114"/>
  <c r="U397" i="114"/>
  <c r="U398" i="114"/>
  <c r="U399" i="114"/>
  <c r="U400" i="114"/>
  <c r="U401" i="114"/>
  <c r="U402" i="114"/>
  <c r="U403" i="114"/>
  <c r="U404" i="114"/>
  <c r="U405" i="114"/>
  <c r="U406" i="114"/>
  <c r="U407" i="114"/>
  <c r="U408" i="114"/>
  <c r="U409" i="114"/>
  <c r="U410" i="114"/>
  <c r="U411" i="114"/>
  <c r="U412" i="114"/>
  <c r="U413" i="114"/>
  <c r="U414" i="114"/>
  <c r="U415" i="114"/>
  <c r="U416" i="114"/>
  <c r="U417" i="114"/>
  <c r="U418" i="114"/>
  <c r="U419" i="114"/>
  <c r="U420" i="114"/>
  <c r="U421" i="114"/>
  <c r="U422" i="114"/>
  <c r="U423" i="114"/>
  <c r="U424" i="114"/>
  <c r="U425" i="114"/>
  <c r="U426" i="114"/>
  <c r="U427" i="114"/>
  <c r="U428" i="114"/>
  <c r="U429" i="114"/>
  <c r="U430" i="114"/>
  <c r="U431" i="114"/>
  <c r="U432" i="114"/>
  <c r="U433" i="114"/>
  <c r="U434" i="114"/>
  <c r="U435" i="114"/>
  <c r="U436" i="114"/>
  <c r="U437" i="114"/>
  <c r="U438" i="114"/>
  <c r="U439" i="114"/>
  <c r="U440" i="114"/>
  <c r="U441" i="114"/>
  <c r="U442" i="114"/>
  <c r="U443" i="114"/>
  <c r="U444" i="114"/>
  <c r="U445" i="114"/>
  <c r="U446" i="114"/>
  <c r="U447" i="114"/>
  <c r="U448" i="114"/>
  <c r="U449" i="114"/>
  <c r="U450" i="114"/>
  <c r="U451" i="114"/>
  <c r="U452" i="114"/>
  <c r="U453" i="114"/>
  <c r="U454" i="114"/>
  <c r="U455" i="114"/>
  <c r="U456" i="114"/>
  <c r="U457" i="114"/>
  <c r="U458" i="114"/>
  <c r="U459" i="114"/>
  <c r="U460" i="114"/>
  <c r="U461" i="114"/>
  <c r="U462" i="114"/>
  <c r="U463" i="114"/>
  <c r="U464" i="114"/>
  <c r="U465" i="114"/>
  <c r="U466" i="114"/>
  <c r="U467" i="114"/>
  <c r="U468" i="114"/>
  <c r="U469" i="114"/>
  <c r="U470" i="114"/>
  <c r="U471" i="114"/>
  <c r="U472" i="114"/>
  <c r="U473" i="114"/>
  <c r="U474" i="114"/>
  <c r="U475" i="114"/>
  <c r="U476" i="114"/>
  <c r="U477" i="114"/>
  <c r="U478" i="114"/>
  <c r="U479" i="114"/>
  <c r="U480" i="114"/>
  <c r="U481" i="114"/>
  <c r="U482" i="114"/>
  <c r="U483" i="114"/>
  <c r="U484" i="114"/>
  <c r="U485" i="114"/>
  <c r="U486" i="114"/>
  <c r="U487" i="114"/>
  <c r="U488" i="114"/>
  <c r="U489" i="114"/>
  <c r="U490" i="114"/>
  <c r="U491" i="114"/>
  <c r="U492" i="114"/>
  <c r="U493" i="114"/>
  <c r="U494" i="114"/>
  <c r="U495" i="114"/>
  <c r="U496" i="114"/>
  <c r="U497" i="114"/>
  <c r="U498" i="114"/>
  <c r="U499" i="114"/>
  <c r="U500" i="114"/>
  <c r="U501" i="114"/>
  <c r="U502" i="114"/>
  <c r="U503" i="114"/>
  <c r="U504" i="114"/>
  <c r="U505" i="114"/>
  <c r="U506" i="114"/>
  <c r="U507" i="114"/>
  <c r="U508" i="114"/>
  <c r="U509" i="114"/>
  <c r="U510" i="114"/>
  <c r="U511" i="114"/>
  <c r="U512" i="114"/>
  <c r="U513" i="114"/>
  <c r="U514" i="114"/>
  <c r="U515" i="114"/>
  <c r="U516" i="114"/>
  <c r="U517" i="114"/>
  <c r="U518" i="114"/>
  <c r="U519" i="114"/>
  <c r="U520" i="114"/>
  <c r="U521" i="114"/>
  <c r="U522" i="114"/>
  <c r="U523" i="114"/>
  <c r="U524" i="114"/>
  <c r="U525" i="114"/>
  <c r="U526" i="114"/>
  <c r="U527" i="114"/>
  <c r="U528" i="114"/>
  <c r="U529" i="114"/>
  <c r="U530" i="114"/>
  <c r="U531" i="114"/>
  <c r="U532" i="114"/>
  <c r="U533" i="114"/>
  <c r="U534" i="114"/>
  <c r="U535" i="114"/>
  <c r="U536" i="114"/>
  <c r="U537" i="114"/>
  <c r="U538" i="114"/>
  <c r="U539" i="114"/>
  <c r="U540" i="114"/>
  <c r="U541" i="114"/>
  <c r="U542" i="114"/>
  <c r="U543" i="114"/>
  <c r="U544" i="114"/>
  <c r="U545" i="114"/>
  <c r="U546" i="114"/>
  <c r="U547" i="114"/>
  <c r="U548" i="114"/>
  <c r="U549" i="114"/>
  <c r="U550" i="114"/>
  <c r="U551" i="114"/>
  <c r="U552" i="114"/>
  <c r="U553" i="114"/>
  <c r="U554" i="114"/>
  <c r="U555" i="114"/>
  <c r="U556" i="114"/>
  <c r="U557" i="114"/>
  <c r="U558" i="114"/>
  <c r="U559" i="114"/>
  <c r="U560" i="114"/>
  <c r="U561" i="114"/>
  <c r="U562" i="114"/>
  <c r="U563" i="114"/>
  <c r="U564" i="114"/>
  <c r="U565" i="114"/>
  <c r="U566" i="114"/>
  <c r="U567" i="114"/>
  <c r="U568" i="114"/>
  <c r="U569" i="114"/>
  <c r="U570" i="114"/>
  <c r="U571" i="114"/>
  <c r="U572" i="114"/>
  <c r="U573" i="114"/>
  <c r="U574" i="114"/>
  <c r="U575" i="114"/>
  <c r="U576" i="114"/>
  <c r="U577" i="114"/>
  <c r="U578" i="114"/>
  <c r="U579" i="114"/>
  <c r="U580" i="114"/>
  <c r="U581" i="114"/>
  <c r="U582" i="114"/>
  <c r="U583" i="114"/>
  <c r="U584" i="114"/>
  <c r="U585" i="114"/>
  <c r="U586" i="114"/>
  <c r="U587" i="114"/>
  <c r="U588" i="114"/>
  <c r="U589" i="114"/>
  <c r="U590" i="114"/>
  <c r="U591" i="114"/>
  <c r="U592" i="114"/>
  <c r="U593" i="114"/>
  <c r="U594" i="114"/>
  <c r="U595" i="114"/>
  <c r="U596" i="114"/>
  <c r="U597" i="114"/>
  <c r="U598" i="114"/>
  <c r="U599" i="114"/>
  <c r="U600" i="114"/>
  <c r="U601" i="114"/>
  <c r="U602" i="114"/>
  <c r="U603" i="114"/>
  <c r="U604" i="114"/>
  <c r="U605" i="114"/>
  <c r="U606" i="114"/>
  <c r="U607" i="114"/>
  <c r="U608" i="114"/>
  <c r="U609" i="114"/>
  <c r="U610" i="114"/>
  <c r="U611" i="114"/>
  <c r="U612" i="114"/>
  <c r="U613" i="114"/>
  <c r="U614" i="114"/>
  <c r="U615" i="114"/>
  <c r="U616" i="114"/>
  <c r="U617" i="114"/>
  <c r="U618" i="114"/>
  <c r="U619" i="114"/>
  <c r="U620" i="114"/>
  <c r="U621" i="114"/>
  <c r="U622" i="114"/>
  <c r="U623" i="114"/>
  <c r="U624" i="114"/>
  <c r="U625" i="114"/>
  <c r="U626" i="114"/>
  <c r="U627" i="114"/>
  <c r="U628" i="114"/>
  <c r="U629" i="114"/>
  <c r="U630" i="114"/>
  <c r="U631" i="114"/>
  <c r="U632" i="114"/>
  <c r="U633" i="114"/>
  <c r="U634" i="114"/>
  <c r="U635" i="114"/>
  <c r="U636" i="114"/>
  <c r="U637" i="114"/>
  <c r="U638" i="114"/>
  <c r="U639" i="114"/>
  <c r="U640" i="114"/>
  <c r="U641" i="114"/>
  <c r="U642" i="114"/>
  <c r="U643" i="114"/>
  <c r="U644" i="114"/>
  <c r="U645" i="114"/>
  <c r="U646" i="114"/>
  <c r="U647" i="114"/>
  <c r="U648" i="114"/>
  <c r="U649" i="114"/>
  <c r="U650" i="114"/>
  <c r="U651" i="114"/>
  <c r="U652" i="114"/>
  <c r="U653" i="114"/>
  <c r="U654" i="114"/>
  <c r="U655" i="114"/>
  <c r="U656" i="114"/>
  <c r="U657" i="114"/>
  <c r="U658" i="114"/>
  <c r="U659" i="114"/>
  <c r="U660" i="114"/>
  <c r="U661" i="114"/>
  <c r="U662" i="114"/>
  <c r="U663" i="114"/>
  <c r="U664" i="114"/>
  <c r="U665" i="114"/>
  <c r="U666" i="114"/>
  <c r="U667" i="114"/>
  <c r="U668" i="114"/>
  <c r="U669" i="114"/>
  <c r="U670" i="114"/>
  <c r="U671" i="114"/>
  <c r="U672" i="114"/>
  <c r="U673" i="114"/>
  <c r="U674" i="114"/>
  <c r="U675" i="114"/>
  <c r="U676" i="114"/>
  <c r="U677" i="114"/>
  <c r="U678" i="114"/>
  <c r="U679" i="114"/>
  <c r="U680" i="114"/>
  <c r="U681" i="114"/>
  <c r="U682" i="114"/>
  <c r="U683" i="114"/>
  <c r="U684" i="114"/>
  <c r="U685" i="114"/>
  <c r="U686" i="114"/>
  <c r="U687" i="114"/>
  <c r="U688" i="114"/>
  <c r="U689" i="114"/>
  <c r="U690" i="114"/>
  <c r="U691" i="114"/>
  <c r="U692" i="114"/>
  <c r="U693" i="114"/>
  <c r="U694" i="114"/>
  <c r="U695" i="114"/>
  <c r="U696" i="114"/>
  <c r="U697" i="114"/>
  <c r="U698" i="114"/>
  <c r="U699" i="114"/>
  <c r="U700" i="114"/>
  <c r="U701" i="114"/>
  <c r="U702" i="114"/>
  <c r="U703" i="114"/>
  <c r="U704" i="114"/>
  <c r="U705" i="114"/>
  <c r="U706" i="114"/>
  <c r="U707" i="114"/>
  <c r="U708" i="114"/>
  <c r="U709" i="114"/>
  <c r="U710" i="114"/>
  <c r="U711" i="114"/>
  <c r="U712" i="114"/>
  <c r="U713" i="114"/>
  <c r="U714" i="114"/>
  <c r="U715" i="114"/>
  <c r="U716" i="114"/>
  <c r="U717" i="114"/>
  <c r="U718" i="114"/>
  <c r="U719" i="114"/>
  <c r="U720" i="114"/>
  <c r="U721" i="114"/>
  <c r="U722" i="114"/>
  <c r="U723" i="114"/>
  <c r="U724" i="114"/>
  <c r="U725" i="114"/>
  <c r="U726" i="114"/>
  <c r="U727" i="114"/>
  <c r="U728" i="114"/>
  <c r="U729" i="114"/>
  <c r="U730" i="114"/>
  <c r="U731" i="114"/>
  <c r="U732" i="114"/>
  <c r="U733" i="114"/>
  <c r="U734" i="114"/>
  <c r="U735" i="114"/>
  <c r="U736" i="114"/>
  <c r="U737" i="114"/>
  <c r="U738" i="114"/>
  <c r="U739" i="114"/>
  <c r="U740" i="114"/>
  <c r="U741" i="114"/>
  <c r="U742" i="114"/>
  <c r="U743" i="114"/>
  <c r="U744" i="114"/>
  <c r="U745" i="114"/>
  <c r="U746" i="114"/>
  <c r="U747" i="114"/>
  <c r="U748" i="114"/>
  <c r="U749" i="114"/>
  <c r="U750" i="114"/>
  <c r="U751" i="114"/>
  <c r="U752" i="114"/>
  <c r="U753" i="114"/>
  <c r="U754" i="114"/>
  <c r="U755" i="114"/>
  <c r="U756" i="114"/>
  <c r="U757" i="114"/>
  <c r="U758" i="114"/>
  <c r="U759" i="114"/>
  <c r="U760" i="114"/>
  <c r="U761" i="114"/>
  <c r="U762" i="114"/>
  <c r="U763" i="114"/>
  <c r="U764" i="114"/>
  <c r="U765" i="114"/>
  <c r="U766" i="114"/>
  <c r="U767" i="114"/>
  <c r="U768" i="114"/>
  <c r="U769" i="114"/>
  <c r="U770" i="114"/>
  <c r="U771" i="114"/>
  <c r="U772" i="114"/>
  <c r="U773" i="114"/>
  <c r="U774" i="114"/>
  <c r="U775" i="114"/>
  <c r="U776" i="114"/>
  <c r="U777" i="114"/>
  <c r="U778" i="114"/>
  <c r="U779" i="114"/>
  <c r="U780" i="114"/>
  <c r="U781" i="114"/>
  <c r="U782" i="114"/>
  <c r="U783" i="114"/>
  <c r="U784" i="114"/>
  <c r="U785" i="114"/>
  <c r="U786" i="114"/>
  <c r="U787" i="114"/>
  <c r="U788" i="114"/>
  <c r="U789" i="114"/>
  <c r="U790" i="114"/>
  <c r="U791" i="114"/>
  <c r="U792" i="114"/>
  <c r="U793" i="114"/>
  <c r="U794" i="114"/>
  <c r="U795" i="114"/>
  <c r="U796" i="114"/>
  <c r="U797" i="114"/>
  <c r="U798" i="114"/>
  <c r="U799" i="114"/>
  <c r="U800" i="114"/>
  <c r="U801" i="114"/>
  <c r="U802" i="114"/>
  <c r="U803" i="114"/>
  <c r="U804" i="114"/>
  <c r="U805" i="114"/>
  <c r="U806" i="114"/>
  <c r="U807" i="114"/>
  <c r="U808" i="114"/>
  <c r="U809" i="114"/>
  <c r="U810" i="114"/>
  <c r="U811" i="114"/>
  <c r="U812" i="114"/>
  <c r="U813" i="114"/>
  <c r="U814" i="114"/>
  <c r="U815" i="114"/>
  <c r="U816" i="114"/>
  <c r="U817" i="114"/>
  <c r="U818" i="114"/>
  <c r="U819" i="114"/>
  <c r="U820" i="114"/>
  <c r="U821" i="114"/>
  <c r="U822" i="114"/>
  <c r="U823" i="114"/>
  <c r="U824" i="114"/>
  <c r="U825" i="114"/>
  <c r="U826" i="114"/>
  <c r="U827" i="114"/>
  <c r="U828" i="114"/>
  <c r="U829" i="114"/>
  <c r="U830" i="114"/>
  <c r="U831" i="114"/>
  <c r="U832" i="114"/>
  <c r="U833" i="114"/>
  <c r="U834" i="114"/>
  <c r="U835" i="114"/>
  <c r="U836" i="114"/>
  <c r="U837" i="114"/>
  <c r="U838" i="114"/>
  <c r="U839" i="114"/>
  <c r="U840" i="114"/>
  <c r="U841" i="114"/>
  <c r="U842" i="114"/>
  <c r="U843" i="114"/>
  <c r="U844" i="114"/>
  <c r="U845" i="114"/>
  <c r="U846" i="114"/>
  <c r="U847" i="114"/>
  <c r="U848" i="114"/>
  <c r="U849" i="114"/>
  <c r="U850" i="114"/>
  <c r="U851" i="114"/>
  <c r="U852" i="114"/>
  <c r="U853" i="114"/>
  <c r="U854" i="114"/>
  <c r="U855" i="114"/>
  <c r="U856" i="114"/>
  <c r="U857" i="114"/>
  <c r="U858" i="114"/>
  <c r="U859" i="114"/>
  <c r="U860" i="114"/>
  <c r="U861" i="114"/>
  <c r="U862" i="114"/>
  <c r="U863" i="114"/>
  <c r="U864" i="114"/>
  <c r="U865" i="114"/>
  <c r="U866" i="114"/>
  <c r="U867" i="114"/>
  <c r="U868" i="114"/>
  <c r="U869" i="114"/>
  <c r="U870" i="114"/>
  <c r="U871" i="114"/>
  <c r="U872" i="114"/>
  <c r="U873" i="114"/>
  <c r="U874" i="114"/>
  <c r="U875" i="114"/>
  <c r="U876" i="114"/>
  <c r="U877" i="114"/>
  <c r="U878" i="114"/>
  <c r="U879" i="114"/>
  <c r="U880" i="114"/>
  <c r="U881" i="114"/>
  <c r="U882" i="114"/>
  <c r="U883" i="114"/>
  <c r="U884" i="114"/>
  <c r="U885" i="114"/>
  <c r="U886" i="114"/>
  <c r="U887" i="114"/>
  <c r="U888" i="114"/>
  <c r="U889" i="114"/>
  <c r="U890" i="114"/>
  <c r="U891" i="114"/>
  <c r="U892" i="114"/>
  <c r="U893" i="114"/>
  <c r="U894" i="114"/>
  <c r="U895" i="114"/>
  <c r="U896" i="114"/>
  <c r="U897" i="114"/>
  <c r="U898" i="114"/>
  <c r="U899" i="114"/>
  <c r="U900" i="114"/>
  <c r="U901" i="114"/>
  <c r="U902" i="114"/>
  <c r="U903" i="114"/>
  <c r="U904" i="114"/>
  <c r="U905" i="114"/>
  <c r="U906" i="114"/>
  <c r="U907" i="114"/>
  <c r="U908" i="114"/>
  <c r="U909" i="114"/>
  <c r="U910" i="114"/>
  <c r="U911" i="114"/>
  <c r="U912" i="114"/>
  <c r="U913" i="114"/>
  <c r="U914" i="114"/>
  <c r="U915" i="114"/>
  <c r="U916" i="114"/>
  <c r="U917" i="114"/>
  <c r="U918" i="114"/>
  <c r="U919" i="114"/>
  <c r="U920" i="114"/>
  <c r="U921" i="114"/>
  <c r="U922" i="114"/>
  <c r="U923" i="114"/>
  <c r="U924" i="114"/>
  <c r="U925" i="114"/>
  <c r="U926" i="114"/>
  <c r="U927" i="114"/>
  <c r="U928" i="114"/>
  <c r="U929" i="114"/>
  <c r="U930" i="114"/>
  <c r="U931" i="114"/>
  <c r="U932" i="114"/>
  <c r="U933" i="114"/>
  <c r="U934" i="114"/>
  <c r="U935" i="114"/>
  <c r="U936" i="114"/>
  <c r="U937" i="114"/>
  <c r="U938" i="114"/>
  <c r="U939" i="114"/>
  <c r="U940" i="114"/>
  <c r="U941" i="114"/>
  <c r="U942" i="114"/>
  <c r="U943" i="114"/>
  <c r="U944" i="114"/>
  <c r="U945" i="114"/>
  <c r="U946" i="114"/>
  <c r="U947" i="114"/>
  <c r="U948" i="114"/>
  <c r="U949" i="114"/>
  <c r="U950" i="114"/>
  <c r="U951" i="114"/>
  <c r="U952" i="114"/>
  <c r="U953" i="114"/>
  <c r="U954" i="114"/>
  <c r="U955" i="114"/>
  <c r="U956" i="114"/>
  <c r="U957" i="114"/>
  <c r="U958" i="114"/>
  <c r="U959" i="114"/>
  <c r="U960" i="114"/>
  <c r="U961" i="114"/>
  <c r="U962" i="114"/>
  <c r="U963" i="114"/>
  <c r="U964" i="114"/>
  <c r="U965" i="114"/>
  <c r="U966" i="114"/>
  <c r="U967" i="114"/>
  <c r="U968" i="114"/>
  <c r="U969" i="114"/>
  <c r="U970" i="114"/>
  <c r="U971" i="114"/>
  <c r="U972" i="114"/>
  <c r="U973" i="114"/>
  <c r="U974" i="114"/>
  <c r="U975" i="114"/>
  <c r="U976" i="114"/>
  <c r="U977" i="114"/>
  <c r="U978" i="114"/>
  <c r="U979" i="114"/>
  <c r="U980" i="114"/>
  <c r="U981" i="114"/>
  <c r="U982" i="114"/>
  <c r="U983" i="114"/>
  <c r="U984" i="114"/>
  <c r="U985" i="114"/>
  <c r="U986" i="114"/>
  <c r="U987" i="114"/>
  <c r="U988" i="114"/>
  <c r="U989" i="114"/>
  <c r="U990" i="114"/>
  <c r="U991" i="114"/>
  <c r="U992" i="114"/>
  <c r="U993" i="114"/>
  <c r="U994" i="114"/>
  <c r="U995" i="114"/>
  <c r="U996" i="114"/>
  <c r="U997" i="114"/>
  <c r="U998" i="114"/>
  <c r="U999" i="114"/>
  <c r="U1000" i="114"/>
  <c r="U1001" i="114"/>
  <c r="U1002" i="114"/>
  <c r="U1003" i="114"/>
  <c r="U1004" i="114"/>
  <c r="U1005" i="114"/>
  <c r="U1006" i="114"/>
  <c r="U1007" i="114"/>
  <c r="U1008" i="114"/>
  <c r="U1009" i="114"/>
  <c r="U1010" i="114"/>
  <c r="U1011" i="114"/>
  <c r="U1012" i="114"/>
  <c r="U1013" i="114"/>
  <c r="U1014" i="114"/>
  <c r="U1015" i="114"/>
  <c r="U1016" i="114"/>
  <c r="U1017" i="114"/>
  <c r="U1018" i="114"/>
  <c r="U1019" i="114"/>
  <c r="U1020" i="114"/>
  <c r="U1021" i="114"/>
  <c r="U1022" i="114"/>
  <c r="U1023" i="114"/>
  <c r="U1024" i="114"/>
  <c r="U1025" i="114"/>
  <c r="U1026" i="114"/>
  <c r="U1027" i="114"/>
  <c r="U1028" i="114"/>
  <c r="U1029" i="114"/>
  <c r="U1030" i="114"/>
  <c r="U1031" i="114"/>
  <c r="U1032" i="114"/>
  <c r="U1033" i="114"/>
  <c r="U1034" i="114"/>
  <c r="U1035" i="114"/>
  <c r="U1036" i="114"/>
  <c r="U1037" i="114"/>
  <c r="U1038" i="114"/>
  <c r="U1039" i="114"/>
  <c r="U1040" i="114"/>
  <c r="U1041" i="114"/>
  <c r="U1042" i="114"/>
  <c r="U1043" i="114"/>
  <c r="U1044" i="114"/>
  <c r="U1045" i="114"/>
  <c r="U1046" i="114"/>
  <c r="U1047" i="114"/>
  <c r="U1048" i="114"/>
  <c r="U1049" i="114"/>
  <c r="U1050" i="114"/>
  <c r="U1051" i="114"/>
  <c r="U1052" i="114"/>
  <c r="U1053" i="114"/>
  <c r="U1054" i="114"/>
  <c r="U1055" i="114"/>
  <c r="U1056" i="114"/>
  <c r="U1057" i="114"/>
  <c r="U1058" i="114"/>
  <c r="U1059" i="114"/>
  <c r="U1060" i="114"/>
  <c r="U1061" i="114"/>
  <c r="U1062" i="114"/>
  <c r="U1063" i="114"/>
  <c r="U1064" i="114"/>
  <c r="U1065" i="114"/>
  <c r="U1066" i="114"/>
  <c r="U1067" i="114"/>
  <c r="U1068" i="114"/>
  <c r="U1069" i="114"/>
  <c r="U1070" i="114"/>
  <c r="U1071" i="114"/>
  <c r="U1072" i="114"/>
  <c r="U1073" i="114"/>
  <c r="U1074" i="114"/>
  <c r="U1075" i="114"/>
  <c r="U1076" i="114"/>
  <c r="U1077" i="114"/>
  <c r="U1078" i="114"/>
  <c r="U1079" i="114"/>
  <c r="U1080" i="114"/>
  <c r="U1081" i="114"/>
  <c r="U1082" i="114"/>
  <c r="U1083" i="114"/>
  <c r="U1084" i="114"/>
  <c r="U1085" i="114"/>
  <c r="U1086" i="114"/>
  <c r="U1087" i="114"/>
  <c r="U1088" i="114"/>
  <c r="U1089" i="114"/>
  <c r="U1090" i="114"/>
  <c r="U1091" i="114"/>
  <c r="U1092" i="114"/>
  <c r="U1093" i="114"/>
  <c r="U1094" i="114"/>
  <c r="U1095" i="114"/>
  <c r="U1096" i="114"/>
  <c r="U1097" i="114"/>
  <c r="U1098" i="114"/>
  <c r="U1099" i="114"/>
  <c r="U1100" i="114"/>
  <c r="U1101" i="114"/>
  <c r="U1102" i="114"/>
  <c r="U1103" i="114"/>
  <c r="U1104" i="114"/>
  <c r="U1105" i="114"/>
  <c r="U1106" i="114"/>
  <c r="U1107" i="114"/>
  <c r="U1108" i="114"/>
  <c r="U1109" i="114"/>
  <c r="U1110" i="114"/>
  <c r="U1111" i="114"/>
  <c r="U1112" i="114"/>
  <c r="U1113" i="114"/>
  <c r="U1114" i="114"/>
  <c r="U1115" i="114"/>
  <c r="U1116" i="114"/>
  <c r="U1117" i="114"/>
  <c r="U1118" i="114"/>
  <c r="U1119" i="114"/>
  <c r="U1120" i="114"/>
  <c r="U1121" i="114"/>
  <c r="U1122" i="114"/>
  <c r="U1123" i="114"/>
  <c r="U1124" i="114"/>
  <c r="U1125" i="114"/>
  <c r="U1126" i="114"/>
  <c r="U1127" i="114"/>
  <c r="U1128" i="114"/>
  <c r="U1129" i="114"/>
  <c r="U1130" i="114"/>
  <c r="U1131" i="114"/>
  <c r="U1132" i="114"/>
  <c r="U1133" i="114"/>
  <c r="U1134" i="114"/>
  <c r="U1135" i="114"/>
  <c r="U1136" i="114"/>
  <c r="U1137" i="114"/>
  <c r="U1138" i="114"/>
  <c r="U1139" i="114"/>
  <c r="U1140" i="114"/>
  <c r="U1141" i="114"/>
  <c r="U1142" i="114"/>
  <c r="U1143" i="114"/>
  <c r="U1144" i="114"/>
  <c r="U1145" i="114"/>
  <c r="U1146" i="114"/>
  <c r="U1147" i="114"/>
  <c r="U1148" i="114"/>
  <c r="U1149" i="114"/>
  <c r="U1150" i="114"/>
  <c r="U1151" i="114"/>
  <c r="U1152" i="114"/>
  <c r="U1153" i="114"/>
  <c r="U1154" i="114"/>
  <c r="U1155" i="114"/>
  <c r="U1156" i="114"/>
  <c r="U1157" i="114"/>
  <c r="U1158" i="114"/>
  <c r="U1159" i="114"/>
  <c r="U1160" i="114"/>
  <c r="U1161" i="114"/>
  <c r="U1162" i="114"/>
  <c r="U1163" i="114"/>
  <c r="U1164" i="114"/>
  <c r="U1165" i="114"/>
  <c r="U1166" i="114"/>
  <c r="U1167" i="114"/>
  <c r="U1168" i="114"/>
  <c r="U1169" i="114"/>
  <c r="U1170" i="114"/>
  <c r="U1171" i="114"/>
  <c r="U1172" i="114"/>
  <c r="U1173" i="114"/>
  <c r="U1174" i="114"/>
  <c r="U1175" i="114"/>
  <c r="U1176" i="114"/>
  <c r="U1177" i="114"/>
  <c r="U1178" i="114"/>
  <c r="U1179" i="114"/>
  <c r="U1180" i="114"/>
  <c r="U1181" i="114"/>
  <c r="U1182" i="114"/>
  <c r="U1183" i="114"/>
  <c r="U1184" i="114"/>
  <c r="U1185" i="114"/>
  <c r="U1186" i="114"/>
  <c r="U1187" i="114"/>
  <c r="U1188" i="114"/>
  <c r="U1189" i="114"/>
  <c r="U1190" i="114"/>
  <c r="U1191" i="114"/>
  <c r="U1192" i="114"/>
  <c r="U1193" i="114"/>
  <c r="U1194" i="114"/>
  <c r="U1195" i="114"/>
  <c r="U1196" i="114"/>
  <c r="U1197" i="114"/>
  <c r="U1198" i="114"/>
  <c r="U1199" i="114"/>
  <c r="U1200" i="114"/>
  <c r="U1201" i="114"/>
  <c r="U1202" i="114"/>
  <c r="U1203" i="114"/>
  <c r="U1204" i="114"/>
  <c r="U1205" i="114"/>
  <c r="U1206" i="114"/>
  <c r="U1207" i="114"/>
  <c r="U1208" i="114"/>
  <c r="U1209" i="114"/>
  <c r="U1210" i="114"/>
  <c r="U1211" i="114"/>
  <c r="U1212" i="114"/>
  <c r="U1213" i="114"/>
  <c r="U1214" i="114"/>
  <c r="U1215" i="114"/>
  <c r="U1216" i="114"/>
  <c r="U1217" i="114"/>
  <c r="U1218" i="114"/>
  <c r="U1219" i="114"/>
  <c r="U1220" i="114"/>
  <c r="U1221" i="114"/>
  <c r="U1222" i="114"/>
  <c r="U1223" i="114"/>
  <c r="U1224" i="114"/>
  <c r="U1225" i="114"/>
  <c r="U1226" i="114"/>
  <c r="U1227" i="114"/>
  <c r="U1228" i="114"/>
  <c r="U1229" i="114"/>
  <c r="U1230" i="114"/>
  <c r="U1231" i="114"/>
  <c r="U1232" i="114"/>
  <c r="U1233" i="114"/>
  <c r="U1234" i="114"/>
  <c r="U1235" i="114"/>
  <c r="U1236" i="114"/>
  <c r="U1237" i="114"/>
  <c r="U1238" i="114"/>
  <c r="U1239" i="114"/>
  <c r="U1240" i="114"/>
  <c r="U1241" i="114"/>
  <c r="U1242" i="114"/>
  <c r="U1243" i="114"/>
  <c r="U1244" i="114"/>
  <c r="U1245" i="114"/>
  <c r="U1246" i="114"/>
  <c r="U1247" i="114"/>
  <c r="U1248" i="114"/>
  <c r="U1249" i="114"/>
  <c r="U1250" i="114"/>
  <c r="U1251" i="114"/>
  <c r="U1252" i="114"/>
  <c r="U1253" i="114"/>
  <c r="U1254" i="114"/>
  <c r="U1255" i="114"/>
  <c r="U1256" i="114"/>
  <c r="U1257" i="114"/>
  <c r="U1258" i="114"/>
  <c r="U1259" i="114"/>
  <c r="U1260" i="114"/>
  <c r="U1261" i="114"/>
  <c r="U1262" i="114"/>
  <c r="U1263" i="114"/>
  <c r="U1264" i="114"/>
  <c r="U1265" i="114"/>
  <c r="U1266" i="114"/>
  <c r="U1267" i="114"/>
  <c r="U1268" i="114"/>
  <c r="U1269" i="114"/>
  <c r="U1270" i="114"/>
  <c r="U1271" i="114"/>
  <c r="U1272" i="114"/>
  <c r="U1273" i="114"/>
  <c r="U1274" i="114"/>
  <c r="U1275" i="114"/>
  <c r="U1276" i="114"/>
  <c r="U1277" i="114"/>
  <c r="U1278" i="114"/>
  <c r="U1279" i="114"/>
  <c r="U1280" i="114"/>
  <c r="U1281" i="114"/>
  <c r="U1282" i="114"/>
  <c r="U1283" i="114"/>
  <c r="U1284" i="114"/>
  <c r="U1285" i="114"/>
  <c r="U1286" i="114"/>
  <c r="U1287" i="114"/>
  <c r="U1288" i="114"/>
  <c r="U1289" i="114"/>
  <c r="U1290" i="114"/>
  <c r="U1291" i="114"/>
  <c r="U1292" i="114"/>
  <c r="U1293" i="114"/>
  <c r="U1294" i="114"/>
  <c r="U1295" i="114"/>
  <c r="U1296" i="114"/>
  <c r="U1297" i="114"/>
  <c r="U1298" i="114"/>
  <c r="U1299" i="114"/>
  <c r="U1300" i="114"/>
  <c r="U1301" i="114"/>
  <c r="U1302" i="114"/>
  <c r="U1303" i="114"/>
  <c r="U1304" i="114"/>
  <c r="U1305" i="114"/>
  <c r="U1306" i="114"/>
  <c r="U1307" i="114"/>
  <c r="U1308" i="114"/>
  <c r="U1309" i="114"/>
  <c r="U1310" i="114"/>
  <c r="U1311" i="114"/>
  <c r="U1312" i="114"/>
  <c r="U1313" i="114"/>
  <c r="U1314" i="114"/>
  <c r="U1315" i="114"/>
  <c r="U1316" i="114"/>
  <c r="U1317" i="114"/>
  <c r="U1318" i="114"/>
  <c r="U1319" i="114"/>
  <c r="U1320" i="114"/>
  <c r="U1321" i="114"/>
  <c r="U1322" i="114"/>
  <c r="U1323" i="114"/>
  <c r="U1324" i="114"/>
  <c r="U1325" i="114"/>
  <c r="U1326" i="114"/>
  <c r="U1327" i="114"/>
  <c r="U1328" i="114"/>
  <c r="U1329" i="114"/>
  <c r="U1330" i="114"/>
  <c r="U1331" i="114"/>
  <c r="U1332" i="114"/>
  <c r="U1333" i="114"/>
  <c r="U1334" i="114"/>
  <c r="U1335" i="114"/>
  <c r="U1336" i="114"/>
  <c r="U1337" i="114"/>
  <c r="U1338" i="114"/>
  <c r="U1339" i="114"/>
  <c r="U1340" i="114"/>
  <c r="U1341" i="114"/>
  <c r="U1342" i="114"/>
  <c r="U1343" i="114"/>
  <c r="U1344" i="114"/>
  <c r="U1345" i="114"/>
  <c r="U1346" i="114"/>
  <c r="U1347" i="114"/>
  <c r="U1348" i="114"/>
  <c r="U1349" i="114"/>
  <c r="U1350" i="114"/>
  <c r="U1351" i="114"/>
  <c r="U1352" i="114"/>
  <c r="U1353" i="114"/>
  <c r="U1354" i="114"/>
  <c r="U1355" i="114"/>
  <c r="U1356" i="114"/>
  <c r="U1357" i="114"/>
  <c r="U1358" i="114"/>
  <c r="U1359" i="114"/>
  <c r="U1360" i="114"/>
  <c r="U1361" i="114"/>
  <c r="U1362" i="114"/>
  <c r="U1363" i="114"/>
  <c r="U1364" i="114"/>
  <c r="U1365" i="114"/>
  <c r="U1366" i="114"/>
  <c r="U1367" i="114"/>
  <c r="U1368" i="114"/>
  <c r="U1369" i="114"/>
  <c r="U1370" i="114"/>
  <c r="U1371" i="114"/>
  <c r="U1372" i="114"/>
  <c r="U1373" i="114"/>
  <c r="U1374" i="114"/>
  <c r="U1375" i="114"/>
  <c r="U1376" i="114"/>
  <c r="U1377" i="114"/>
  <c r="U1378" i="114"/>
  <c r="U1379" i="114"/>
  <c r="U1380" i="114"/>
  <c r="U1381" i="114"/>
  <c r="U1382" i="114"/>
  <c r="U1383" i="114"/>
  <c r="U1384" i="114"/>
  <c r="U1385" i="114"/>
  <c r="U1386" i="114"/>
  <c r="U1387" i="114"/>
  <c r="U1388" i="114"/>
  <c r="U1389" i="114"/>
  <c r="U1390" i="114"/>
  <c r="U1391" i="114"/>
  <c r="U1392" i="114"/>
  <c r="U1393" i="114"/>
  <c r="U1394" i="114"/>
  <c r="U1395" i="114"/>
  <c r="U1396" i="114"/>
  <c r="U1397" i="114"/>
  <c r="U1398" i="114"/>
  <c r="U1399" i="114"/>
  <c r="U1400" i="114"/>
  <c r="U1401" i="114"/>
  <c r="U1402" i="114"/>
  <c r="U1403" i="114"/>
  <c r="U1404" i="114"/>
  <c r="U1405" i="114"/>
  <c r="U1406" i="114"/>
  <c r="U1407" i="114"/>
  <c r="U1408" i="114"/>
  <c r="U1409" i="114"/>
  <c r="U1410" i="114"/>
  <c r="U1411" i="114"/>
  <c r="U1412" i="114"/>
  <c r="U1413" i="114"/>
  <c r="U1414" i="114"/>
  <c r="U1415" i="114"/>
  <c r="U1416" i="114"/>
  <c r="U1417" i="114"/>
  <c r="U1418" i="114"/>
  <c r="U1419" i="114"/>
  <c r="U1420" i="114"/>
  <c r="U1421" i="114"/>
  <c r="U1422" i="114"/>
  <c r="U1423" i="114"/>
  <c r="U1424" i="114"/>
  <c r="U1425" i="114"/>
  <c r="U1426" i="114"/>
  <c r="U1427" i="114"/>
  <c r="U1428" i="114"/>
  <c r="U1429" i="114"/>
  <c r="U1430" i="114"/>
  <c r="U1431" i="114"/>
  <c r="U1432" i="114"/>
  <c r="U1433" i="114"/>
  <c r="U1434" i="114"/>
  <c r="U1435" i="114"/>
  <c r="U1436" i="114"/>
  <c r="U1437" i="114"/>
  <c r="U1438" i="114"/>
  <c r="U1439" i="114"/>
  <c r="U1440" i="114"/>
  <c r="U1441" i="114"/>
  <c r="U1442" i="114"/>
  <c r="U1443" i="114"/>
  <c r="U1444" i="114"/>
  <c r="U1445" i="114"/>
  <c r="U1446" i="114"/>
  <c r="U1447" i="114"/>
  <c r="U1450" i="114" l="1"/>
  <c r="AQ6" i="114"/>
  <c r="AJ5" i="114"/>
  <c r="AF5" i="114"/>
  <c r="AH5" i="114" s="1"/>
  <c r="AB5" i="114"/>
  <c r="AD5" i="114" s="1"/>
  <c r="U5" i="114"/>
  <c r="N5" i="114"/>
  <c r="P5" i="114" s="1"/>
  <c r="K5" i="114"/>
  <c r="M5" i="114" s="1"/>
  <c r="H5" i="114"/>
  <c r="E5" i="114"/>
  <c r="G5" i="114" s="1"/>
  <c r="J5" i="114" l="1"/>
  <c r="AM5" i="114" l="1"/>
  <c r="AO6" i="114"/>
  <c r="AO5" i="114" s="1"/>
  <c r="AU6" i="114"/>
  <c r="AS6" i="114"/>
  <c r="I7" i="89" l="1"/>
  <c r="I9" i="89" l="1"/>
  <c r="I11" i="89" s="1"/>
  <c r="I16" i="89"/>
  <c r="I17" i="89" s="1"/>
  <c r="AF29" i="114" l="1"/>
  <c r="AB32" i="114" s="1"/>
  <c r="AS5" i="114" l="1"/>
  <c r="AD26" i="114" l="1"/>
  <c r="AD25" i="114"/>
  <c r="AD24" i="114"/>
  <c r="AD23" i="114"/>
  <c r="AD22" i="114"/>
  <c r="AD21" i="114"/>
  <c r="AD20" i="114"/>
  <c r="AD19" i="114"/>
  <c r="AD18" i="114"/>
  <c r="AD17" i="114"/>
  <c r="AD16" i="114"/>
  <c r="AD15" i="114"/>
  <c r="AD14" i="114"/>
  <c r="AD13" i="114"/>
  <c r="AD12" i="114"/>
  <c r="AD11" i="114"/>
  <c r="AB33" i="114" l="1"/>
  <c r="AB34" i="114"/>
  <c r="AB46" i="114"/>
  <c r="AB42" i="114"/>
  <c r="AB38" i="114"/>
  <c r="AB47" i="114"/>
  <c r="AB43" i="114"/>
  <c r="AB39" i="114"/>
  <c r="AB35" i="114"/>
  <c r="AB44" i="114"/>
  <c r="AB40" i="114"/>
  <c r="AB36" i="114"/>
  <c r="AB45" i="114"/>
  <c r="AB41" i="114"/>
  <c r="AB37" i="114"/>
  <c r="AB29" i="114" l="1"/>
  <c r="AD29" i="114"/>
  <c r="AD30" i="114" l="1"/>
  <c r="AD28" i="114" s="1"/>
  <c r="U5" i="83" l="1"/>
  <c r="AU3" i="83" l="1"/>
  <c r="E9" i="89"/>
  <c r="E7" i="89"/>
  <c r="I1" i="89" l="1"/>
  <c r="I3" i="89" s="1"/>
  <c r="I5" i="89" s="1"/>
  <c r="E11" i="89" l="1"/>
  <c r="AD3" i="83" l="1"/>
  <c r="D21" i="83" l="1"/>
  <c r="AV21" i="83" s="1"/>
  <c r="BB19" i="83"/>
  <c r="AE19" i="83"/>
  <c r="V19" i="83"/>
  <c r="C19" i="83"/>
  <c r="AV19" i="83"/>
  <c r="G21" i="89" l="1"/>
  <c r="D23" i="83"/>
  <c r="D25" i="83" s="1"/>
  <c r="AE21" i="83"/>
  <c r="BB21" i="83"/>
  <c r="V21" i="83"/>
  <c r="C21" i="83"/>
  <c r="BC19" i="83"/>
  <c r="AD19" i="83"/>
  <c r="U19" i="83"/>
  <c r="AU19" i="83"/>
  <c r="V23" i="83" l="1"/>
  <c r="BB23" i="83"/>
  <c r="AE23" i="83"/>
  <c r="AV23" i="83"/>
  <c r="C23" i="83"/>
  <c r="AU21" i="83"/>
  <c r="U21" i="83"/>
  <c r="AD21" i="83"/>
  <c r="BC21" i="83"/>
  <c r="BB25" i="83"/>
  <c r="AE25" i="83"/>
  <c r="V25" i="83"/>
  <c r="D27" i="83"/>
  <c r="AV25" i="83"/>
  <c r="C25" i="83"/>
  <c r="U23" i="83" l="1"/>
  <c r="AD23" i="83"/>
  <c r="AU23" i="83"/>
  <c r="BC23" i="83"/>
  <c r="D29" i="83"/>
  <c r="BB29" i="83" s="1"/>
  <c r="BC25" i="83"/>
  <c r="AD25" i="83"/>
  <c r="U25" i="83"/>
  <c r="AU25" i="83"/>
  <c r="C27" i="83"/>
  <c r="AV27" i="83"/>
  <c r="BB27" i="83"/>
  <c r="AE27" i="83"/>
  <c r="V27" i="83"/>
  <c r="V29" i="83" l="1"/>
  <c r="D31" i="83"/>
  <c r="D33" i="83" s="1"/>
  <c r="D35" i="83" s="1"/>
  <c r="AV29" i="83"/>
  <c r="AE29" i="83"/>
  <c r="C29" i="83"/>
  <c r="BC27" i="83"/>
  <c r="AD27" i="83"/>
  <c r="U27" i="83"/>
  <c r="AU27" i="83"/>
  <c r="D37" i="83" l="1"/>
  <c r="BB35" i="83"/>
  <c r="V35" i="83"/>
  <c r="AE35" i="83"/>
  <c r="C35" i="83"/>
  <c r="AV35" i="83"/>
  <c r="C33" i="83"/>
  <c r="AV33" i="83"/>
  <c r="AE33" i="83"/>
  <c r="V33" i="83"/>
  <c r="BB33" i="83"/>
  <c r="V31" i="83"/>
  <c r="H21" i="89" s="1"/>
  <c r="AV31" i="83"/>
  <c r="C31" i="83"/>
  <c r="AE31" i="83"/>
  <c r="BB31" i="83"/>
  <c r="U29" i="83"/>
  <c r="BC29" i="83"/>
  <c r="AD29" i="83"/>
  <c r="AU29" i="83"/>
  <c r="BC35" i="83" l="1"/>
  <c r="AD35" i="83"/>
  <c r="U35" i="83"/>
  <c r="AU35" i="83"/>
  <c r="AV37" i="83"/>
  <c r="C37" i="83"/>
  <c r="D39" i="83"/>
  <c r="D41" i="83" s="1"/>
  <c r="AE37" i="83"/>
  <c r="V37" i="83"/>
  <c r="BB37" i="83"/>
  <c r="AU33" i="83"/>
  <c r="AD33" i="83"/>
  <c r="U33" i="83"/>
  <c r="BC33" i="83"/>
  <c r="BC31" i="83"/>
  <c r="AU31" i="83"/>
  <c r="AD31" i="83"/>
  <c r="U31" i="83"/>
  <c r="AV41" i="83" l="1"/>
  <c r="D43" i="83"/>
  <c r="D45" i="83" s="1"/>
  <c r="BB41" i="83"/>
  <c r="V41" i="83"/>
  <c r="AE41" i="83"/>
  <c r="C41" i="83"/>
  <c r="BC37" i="83"/>
  <c r="AD37" i="83"/>
  <c r="U37" i="83"/>
  <c r="AU37" i="83"/>
  <c r="AV39" i="83"/>
  <c r="C39" i="83"/>
  <c r="AE39" i="83"/>
  <c r="V39" i="83"/>
  <c r="BB39" i="83"/>
  <c r="D47" i="83" l="1"/>
  <c r="BB45" i="83"/>
  <c r="AV45" i="83"/>
  <c r="C45" i="83"/>
  <c r="V45" i="83"/>
  <c r="AE45" i="83"/>
  <c r="BC41" i="83"/>
  <c r="AD41" i="83"/>
  <c r="U41" i="83"/>
  <c r="AU41" i="83"/>
  <c r="AV43" i="83"/>
  <c r="BB43" i="83"/>
  <c r="V43" i="83"/>
  <c r="AE43" i="83"/>
  <c r="C43" i="83"/>
  <c r="BC39" i="83"/>
  <c r="AD39" i="83"/>
  <c r="U39" i="83"/>
  <c r="AU39" i="83"/>
  <c r="AU45" i="83" l="1"/>
  <c r="BC45" i="83"/>
  <c r="AD45" i="83"/>
  <c r="U45" i="83"/>
  <c r="D49" i="83"/>
  <c r="D51" i="83" s="1"/>
  <c r="AE47" i="83"/>
  <c r="V47" i="83"/>
  <c r="C47" i="83"/>
  <c r="AV47" i="83"/>
  <c r="BB47" i="83"/>
  <c r="BC43" i="83"/>
  <c r="AD43" i="83"/>
  <c r="U43" i="83"/>
  <c r="AU43" i="83"/>
  <c r="BB51" i="83" l="1"/>
  <c r="C51" i="83"/>
  <c r="V51" i="83"/>
  <c r="AE51" i="83"/>
  <c r="AV51" i="83"/>
  <c r="D53" i="83"/>
  <c r="D55" i="83" s="1"/>
  <c r="AV49" i="83"/>
  <c r="BB49" i="83"/>
  <c r="AE49" i="83"/>
  <c r="V49" i="83"/>
  <c r="C49" i="83"/>
  <c r="BC47" i="83"/>
  <c r="AD47" i="83"/>
  <c r="U47" i="83"/>
  <c r="AU47" i="83"/>
  <c r="AV55" i="83" l="1"/>
  <c r="D57" i="83"/>
  <c r="D59" i="83" s="1"/>
  <c r="D61" i="83" s="1"/>
  <c r="D63" i="83" s="1"/>
  <c r="BB55" i="83"/>
  <c r="C55" i="83"/>
  <c r="AE55" i="83"/>
  <c r="V55" i="83"/>
  <c r="BB53" i="83"/>
  <c r="AV53" i="83"/>
  <c r="V53" i="83"/>
  <c r="AE53" i="83"/>
  <c r="C53" i="83"/>
  <c r="AU51" i="83"/>
  <c r="AD51" i="83"/>
  <c r="BC51" i="83"/>
  <c r="U51" i="83"/>
  <c r="BC49" i="83"/>
  <c r="AD49" i="83"/>
  <c r="U49" i="83"/>
  <c r="AU49" i="83"/>
  <c r="D65" i="83" l="1"/>
  <c r="C63" i="83"/>
  <c r="V63" i="83"/>
  <c r="AV63" i="83"/>
  <c r="BB63" i="83"/>
  <c r="AE63" i="83"/>
  <c r="AV61" i="83"/>
  <c r="C61" i="83"/>
  <c r="BB61" i="83"/>
  <c r="AE61" i="83"/>
  <c r="V61" i="83"/>
  <c r="D17" i="89"/>
  <c r="AV59" i="83"/>
  <c r="BB59" i="83"/>
  <c r="C59" i="83"/>
  <c r="V59" i="83"/>
  <c r="AE59" i="83"/>
  <c r="AU55" i="83"/>
  <c r="U55" i="83"/>
  <c r="BC55" i="83"/>
  <c r="AD55" i="83"/>
  <c r="BB57" i="83"/>
  <c r="C57" i="83"/>
  <c r="V57" i="83"/>
  <c r="AV57" i="83"/>
  <c r="AE57" i="83"/>
  <c r="AU53" i="83"/>
  <c r="U53" i="83"/>
  <c r="AD53" i="83"/>
  <c r="BC53" i="83"/>
  <c r="AU63" i="83" l="1"/>
  <c r="U63" i="83"/>
  <c r="BC63" i="83"/>
  <c r="AD63" i="83"/>
  <c r="AV65" i="83"/>
  <c r="V65" i="83"/>
  <c r="BB65" i="83"/>
  <c r="AE65" i="83"/>
  <c r="D67" i="83"/>
  <c r="C65" i="83"/>
  <c r="U61" i="83"/>
  <c r="AU61" i="83"/>
  <c r="AD61" i="83"/>
  <c r="BC61" i="83"/>
  <c r="AU59" i="83"/>
  <c r="BC59" i="83"/>
  <c r="AD59" i="83"/>
  <c r="U59" i="83"/>
  <c r="AU57" i="83"/>
  <c r="AD57" i="83"/>
  <c r="BC57" i="83"/>
  <c r="U57" i="83"/>
  <c r="BC65" i="83" l="1"/>
  <c r="AD65" i="83"/>
  <c r="AU65" i="83"/>
  <c r="U65" i="83"/>
  <c r="D69" i="83"/>
  <c r="D71" i="83" s="1"/>
  <c r="BB67" i="83"/>
  <c r="AV67" i="83"/>
  <c r="V67" i="83"/>
  <c r="C67" i="83"/>
  <c r="AE67" i="83"/>
  <c r="AV71" i="83" l="1"/>
  <c r="BB71" i="83"/>
  <c r="C71" i="83"/>
  <c r="V71" i="83"/>
  <c r="AE71" i="83"/>
  <c r="AU67" i="83"/>
  <c r="U67" i="83"/>
  <c r="BC67" i="83"/>
  <c r="AD67" i="83"/>
  <c r="C69" i="83"/>
  <c r="BB69" i="83"/>
  <c r="V69" i="83"/>
  <c r="AE69" i="83"/>
  <c r="AV69" i="83"/>
  <c r="AU71" i="83" l="1"/>
  <c r="BC71" i="83"/>
  <c r="U71" i="83"/>
  <c r="AD71" i="83"/>
  <c r="BC69" i="83"/>
  <c r="U69" i="83"/>
  <c r="AD69" i="83"/>
  <c r="AU69" i="83"/>
</calcChain>
</file>

<file path=xl/comments1.xml><?xml version="1.0" encoding="utf-8"?>
<comments xmlns="http://schemas.openxmlformats.org/spreadsheetml/2006/main">
  <authors>
    <author>Guy</author>
  </authors>
  <commentList>
    <comment ref="AK29" authorId="0">
      <text>
        <r>
          <rPr>
            <b/>
            <sz val="8"/>
            <color indexed="81"/>
            <rFont val="Arial"/>
            <family val="2"/>
          </rPr>
          <t xml:space="preserve">il a plu:
de 05h58 à 06h59
</t>
        </r>
      </text>
    </comment>
    <comment ref="AM29" authorId="0">
      <text>
        <r>
          <rPr>
            <b/>
            <sz val="8"/>
            <color indexed="81"/>
            <rFont val="Arial"/>
            <family val="2"/>
          </rPr>
          <t xml:space="preserve">il a plu:
de 07h00 à 07h13
de 10h37 à 11h43
</t>
        </r>
      </text>
    </comment>
    <comment ref="AM33" authorId="0">
      <text>
        <r>
          <rPr>
            <b/>
            <sz val="8"/>
            <color indexed="81"/>
            <rFont val="Arial"/>
            <family val="2"/>
          </rPr>
          <t xml:space="preserve">il a plu:
de 07h28 à 09h31
de 10h00 à 11h59
</t>
        </r>
      </text>
    </comment>
    <comment ref="AO33" authorId="0">
      <text>
        <r>
          <rPr>
            <b/>
            <sz val="8"/>
            <color indexed="81"/>
            <rFont val="Arial"/>
            <family val="2"/>
          </rPr>
          <t xml:space="preserve">il a plu:
de 12h00 à 12h06
de 12h10 à 14h25
</t>
        </r>
      </text>
    </comment>
    <comment ref="AK35" authorId="0">
      <text>
        <r>
          <rPr>
            <b/>
            <sz val="8"/>
            <color indexed="81"/>
            <rFont val="Arial"/>
            <family val="2"/>
          </rPr>
          <t xml:space="preserve">il a plu:
de 00h49 à 02h49
</t>
        </r>
      </text>
    </comment>
    <comment ref="AO35" authorId="0">
      <text>
        <r>
          <rPr>
            <b/>
            <sz val="8"/>
            <color indexed="81"/>
            <rFont val="Arial"/>
            <family val="2"/>
          </rPr>
          <t xml:space="preserve">il a plu:
de 18h18 à 18h59
</t>
        </r>
      </text>
    </comment>
    <comment ref="AQ35" authorId="0">
      <text>
        <r>
          <rPr>
            <b/>
            <sz val="8"/>
            <color indexed="81"/>
            <rFont val="Arial"/>
            <family val="2"/>
          </rPr>
          <t xml:space="preserve">il a plu:
de 19h00 à 20h19
de 22h02 à 22h58
de 23h15 à 23h58
</t>
        </r>
      </text>
    </comment>
    <comment ref="AK37" authorId="0">
      <text>
        <r>
          <rPr>
            <b/>
            <sz val="8"/>
            <color indexed="81"/>
            <rFont val="Arial"/>
            <family val="2"/>
          </rPr>
          <t xml:space="preserve">il a plu:
de 00h00 à 00h12
de 00h27 à 00h28
de 05h44 à 06h38
</t>
        </r>
      </text>
    </comment>
    <comment ref="AM41" authorId="0">
      <text>
        <r>
          <rPr>
            <b/>
            <sz val="8"/>
            <color indexed="81"/>
            <rFont val="Arial"/>
            <family val="2"/>
          </rPr>
          <t xml:space="preserve">il a plu:
de 11h49 à 11h59
</t>
        </r>
      </text>
    </comment>
    <comment ref="AO41" authorId="0">
      <text>
        <r>
          <rPr>
            <b/>
            <sz val="8"/>
            <color indexed="81"/>
            <rFont val="Arial"/>
            <family val="2"/>
          </rPr>
          <t xml:space="preserve">il a plu:
de 12h00 à 12h56
</t>
        </r>
      </text>
    </comment>
    <comment ref="AK43" authorId="0">
      <text>
        <r>
          <rPr>
            <b/>
            <sz val="8"/>
            <color indexed="81"/>
            <rFont val="Arial"/>
            <family val="2"/>
          </rPr>
          <t xml:space="preserve">il a plu:
de 01h44 à 03h30
de 04h15 à 05h55
</t>
        </r>
      </text>
    </comment>
    <comment ref="AM43" authorId="0">
      <text>
        <r>
          <rPr>
            <b/>
            <sz val="8"/>
            <color indexed="81"/>
            <rFont val="Arial"/>
            <family val="2"/>
          </rPr>
          <t xml:space="preserve">il a plu:
de 11h02 à 11h59
</t>
        </r>
      </text>
    </comment>
    <comment ref="AO43" authorId="0">
      <text>
        <r>
          <rPr>
            <b/>
            <sz val="8"/>
            <color indexed="81"/>
            <rFont val="Arial"/>
            <family val="2"/>
          </rPr>
          <t xml:space="preserve">il a plu:
de 12h00 à 12h00
</t>
        </r>
      </text>
    </comment>
    <comment ref="AM47" authorId="0">
      <text>
        <r>
          <rPr>
            <b/>
            <sz val="8"/>
            <color indexed="81"/>
            <rFont val="Arial"/>
            <family val="2"/>
          </rPr>
          <t xml:space="preserve">il a plu:
de 07h48 à 11h33
</t>
        </r>
      </text>
    </comment>
    <comment ref="AQ49" authorId="0">
      <text>
        <r>
          <rPr>
            <b/>
            <sz val="8"/>
            <color indexed="81"/>
            <rFont val="Arial"/>
            <family val="2"/>
          </rPr>
          <t xml:space="preserve">il a plu:
de 23h42 à 23h58
</t>
        </r>
      </text>
    </comment>
    <comment ref="AK51" authorId="0">
      <text>
        <r>
          <rPr>
            <b/>
            <sz val="8"/>
            <color indexed="81"/>
            <rFont val="Arial"/>
            <family val="2"/>
          </rPr>
          <t xml:space="preserve">il a plu:
de 00h00 à 00h12
de 00h27 à 02h11
</t>
        </r>
      </text>
    </comment>
    <comment ref="AK53" authorId="0">
      <text>
        <r>
          <rPr>
            <b/>
            <sz val="8"/>
            <color indexed="81"/>
            <rFont val="Arial"/>
            <family val="2"/>
          </rPr>
          <t xml:space="preserve">il a plu:
de 05h39 à 06h59
</t>
        </r>
      </text>
    </comment>
    <comment ref="AM53" authorId="0">
      <text>
        <r>
          <rPr>
            <b/>
            <sz val="8"/>
            <color indexed="81"/>
            <rFont val="Arial"/>
            <family val="2"/>
          </rPr>
          <t xml:space="preserve">il a plu:
de 07h00 à 07h15
</t>
        </r>
      </text>
    </comment>
    <comment ref="AO65" authorId="0">
      <text>
        <r>
          <rPr>
            <b/>
            <sz val="8"/>
            <color indexed="81"/>
            <rFont val="Arial"/>
            <family val="2"/>
          </rPr>
          <t xml:space="preserve">il a plu:
de 15h43 à 16h39
</t>
        </r>
      </text>
    </comment>
    <comment ref="AQ65" authorId="0">
      <text>
        <r>
          <rPr>
            <b/>
            <sz val="8"/>
            <color indexed="81"/>
            <rFont val="Arial"/>
            <family val="2"/>
          </rPr>
          <t xml:space="preserve">il a plu:
de 21h13 à 22h33
</t>
        </r>
      </text>
    </comment>
    <comment ref="AK67" authorId="0">
      <text>
        <r>
          <rPr>
            <b/>
            <sz val="8"/>
            <color indexed="81"/>
            <rFont val="Arial"/>
            <family val="2"/>
          </rPr>
          <t xml:space="preserve">il a plu:
de 01h06 à 02h38
de 03h55 à 04h53
</t>
        </r>
      </text>
    </comment>
  </commentList>
</comments>
</file>

<file path=xl/sharedStrings.xml><?xml version="1.0" encoding="utf-8"?>
<sst xmlns="http://schemas.openxmlformats.org/spreadsheetml/2006/main" count="289" uniqueCount="146">
  <si>
    <t>Date</t>
  </si>
  <si>
    <t>Mini</t>
  </si>
  <si>
    <t>Heure</t>
  </si>
  <si>
    <t>Maxi</t>
  </si>
  <si>
    <t>Vent</t>
  </si>
  <si>
    <t>Sens</t>
  </si>
  <si>
    <t>Pluie</t>
  </si>
  <si>
    <t>Soleil</t>
  </si>
  <si>
    <t>mm</t>
  </si>
  <si>
    <t>NE</t>
  </si>
  <si>
    <t>OSO</t>
  </si>
  <si>
    <t>SSE</t>
  </si>
  <si>
    <t>ENE</t>
  </si>
  <si>
    <t>S</t>
  </si>
  <si>
    <t>SSO</t>
  </si>
  <si>
    <t>N</t>
  </si>
  <si>
    <t>O</t>
  </si>
  <si>
    <t>ESE</t>
  </si>
  <si>
    <t>ONO</t>
  </si>
  <si>
    <t>NNO</t>
  </si>
  <si>
    <t>NO</t>
  </si>
  <si>
    <t>SO</t>
  </si>
  <si>
    <t>mini</t>
  </si>
  <si>
    <t>heure</t>
  </si>
  <si>
    <t>maxi</t>
  </si>
  <si>
    <t>Pression</t>
  </si>
  <si>
    <t>NNE</t>
  </si>
  <si>
    <t>E</t>
  </si>
  <si>
    <t>SE</t>
  </si>
  <si>
    <t>Pluie AM</t>
  </si>
  <si>
    <t>Pluie AP</t>
  </si>
  <si>
    <t>Moyenne</t>
  </si>
  <si>
    <t>Jour</t>
  </si>
  <si>
    <t>Ressentie</t>
  </si>
  <si>
    <t>AX</t>
  </si>
  <si>
    <t>Moy</t>
  </si>
  <si>
    <t>Vent en Km/h</t>
  </si>
  <si>
    <t>Hauteur de pluie en mm</t>
  </si>
  <si>
    <t xml:space="preserve">__40   </t>
  </si>
  <si>
    <t>5</t>
  </si>
  <si>
    <t>6</t>
  </si>
  <si>
    <t>8</t>
  </si>
  <si>
    <t>9</t>
  </si>
  <si>
    <t>10</t>
  </si>
  <si>
    <t>11</t>
  </si>
  <si>
    <t>13</t>
  </si>
  <si>
    <t>14</t>
  </si>
  <si>
    <t>15</t>
  </si>
  <si>
    <t>16</t>
  </si>
  <si>
    <t>Mois</t>
  </si>
  <si>
    <t xml:space="preserve">__200    </t>
  </si>
  <si>
    <t xml:space="preserve">__180    </t>
  </si>
  <si>
    <t xml:space="preserve">__160    </t>
  </si>
  <si>
    <t xml:space="preserve">__140    </t>
  </si>
  <si>
    <t xml:space="preserve">__120    </t>
  </si>
  <si>
    <t xml:space="preserve">__100    </t>
  </si>
  <si>
    <t xml:space="preserve">__80   </t>
  </si>
  <si>
    <t xml:space="preserve">__60   </t>
  </si>
  <si>
    <t xml:space="preserve">_20 </t>
  </si>
  <si>
    <t>Températures Mini et Maxi</t>
  </si>
  <si>
    <t>Vent maxi</t>
  </si>
  <si>
    <t>W</t>
  </si>
  <si>
    <t>AG</t>
  </si>
  <si>
    <t>Vitesse du vent</t>
  </si>
  <si>
    <t>J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</si>
  <si>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</si>
  <si>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</si>
  <si>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</si>
  <si>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</si>
  <si>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</si>
  <si>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</si>
  <si>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Rafale</t>
  </si>
  <si>
    <t>T° Ext</t>
  </si>
  <si>
    <t>H% Ext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</si>
  <si>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</si>
  <si>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</si>
  <si>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</si>
  <si>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</si>
  <si>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</si>
  <si>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</si>
  <si>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</si>
  <si>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http://www.meteociel.fr/previsions/31439/la_tranche_sur_mer.htm</t>
  </si>
  <si>
    <t>Mise à jour</t>
  </si>
  <si>
    <t>Températures</t>
  </si>
  <si>
    <t>Temps de précipitations par 1/4 de journée</t>
  </si>
  <si>
    <t>Température ressentie</t>
  </si>
  <si>
    <t>Température mini</t>
  </si>
  <si>
    <t>Pluie Maxi Jour et total mois</t>
  </si>
  <si>
    <t>Soleil maxi</t>
  </si>
  <si>
    <t>Semaine</t>
  </si>
  <si>
    <t>Lux</t>
  </si>
  <si>
    <t>Année</t>
  </si>
  <si>
    <t>Mai</t>
  </si>
  <si>
    <t>Juin</t>
  </si>
  <si>
    <t>Juillet</t>
  </si>
  <si>
    <t>Août</t>
  </si>
  <si>
    <t>Septembre</t>
  </si>
  <si>
    <t>Octobre</t>
  </si>
  <si>
    <t>Novembre</t>
  </si>
  <si>
    <t>AK</t>
  </si>
  <si>
    <t>Humidité H%</t>
  </si>
  <si>
    <t>Décembre</t>
  </si>
  <si>
    <t>La Rochelle</t>
  </si>
  <si>
    <t>Soleil de l'Année</t>
  </si>
  <si>
    <t>²</t>
  </si>
  <si>
    <t>le</t>
  </si>
  <si>
    <t>Fin</t>
  </si>
  <si>
    <t>https://www.wunderground.com/dashboard/pws/ILATRA6</t>
  </si>
  <si>
    <t>CH2</t>
  </si>
  <si>
    <t>CH1</t>
  </si>
  <si>
    <t>Début</t>
  </si>
  <si>
    <t>Ch1/2</t>
  </si>
  <si>
    <t>https://marine.meteoconsult.fr/meteo-marine/horaires-maree-la-tranche-sur-mer-1083-0.php</t>
  </si>
  <si>
    <t>Prévisions</t>
  </si>
  <si>
    <t>meteofloralies</t>
  </si>
  <si>
    <t>Ephéméride</t>
  </si>
  <si>
    <t>Marées</t>
  </si>
  <si>
    <t>Chaleur solaire</t>
  </si>
  <si>
    <t>Sonde Soleil</t>
  </si>
  <si>
    <t>T° Mini</t>
  </si>
  <si>
    <t>T° Maxi</t>
  </si>
  <si>
    <t>Janvier</t>
  </si>
  <si>
    <t>Février</t>
  </si>
  <si>
    <t>Mars</t>
  </si>
  <si>
    <t>Avril</t>
  </si>
  <si>
    <t>11h à 23h59</t>
  </si>
  <si>
    <t>http://www.meteociel.fr/climatologie/villes.php?code2=7306&amp;mois=6&amp;annee=2020</t>
  </si>
  <si>
    <t>La Roche / Yon</t>
  </si>
  <si>
    <t>Hourly</t>
  </si>
  <si>
    <t>=SUBSTITUE(TEXTE(MAX(CNUM(SUBSTITUE(U14;".";","));CNUM(SUBSTITUE(V14;".";",")));"standard");",";".")</t>
  </si>
  <si>
    <t>https://www.meteocity.com/france/plage/la-tranche-sur-mer_p85294/</t>
  </si>
  <si>
    <t>T° de l'eau</t>
  </si>
  <si>
    <t>H-Marées</t>
  </si>
  <si>
    <t>Relevés</t>
  </si>
  <si>
    <t>Météofloralies</t>
  </si>
  <si>
    <t>http://www.meteociel.fr/climatologie/villes.php?code=7316&amp;mois=7&amp;annee=2020</t>
  </si>
  <si>
    <t>Aout_2020</t>
  </si>
  <si>
    <t>=SUBSTITUE(TEXTE(MAX(CNUM(SUBSTITUE(U16;".";","));CNUM(SUBSTITUE(V16;".";",")));"standard");",";".")</t>
  </si>
  <si>
    <t>16h42</t>
  </si>
  <si>
    <t>Janv</t>
  </si>
  <si>
    <t>Fév</t>
  </si>
  <si>
    <t>Sept</t>
  </si>
  <si>
    <t>Oct</t>
  </si>
  <si>
    <t>Nov</t>
  </si>
  <si>
    <t>Déc</t>
  </si>
  <si>
    <t>20200831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</si>
</sst>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4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General&quot; kw&quot;"/>
    <numFmt numFmtId="177" formatCode="dddd\ dd\ "/>
    <numFmt numFmtId="178" formatCode="General&quot; C°&quot;"/>
    <numFmt numFmtId="179" formatCode="0.00\ &quot;mm&quot;"/>
    <numFmt numFmtId="180" formatCode="[$-40C]d\-mmm;@"/>
    <numFmt numFmtId="181" formatCode="&quot;à&quot;\ hh&quot;h&quot;mm&quot;mn&quot;"/>
    <numFmt numFmtId="182" formatCode="dddd\ dd\ mmmm\ \à\ hh&quot;h&quot;mm&quot;mn&quot;"/>
    <numFmt numFmtId="183" formatCode="dddd\ dd\ mmmm\ yyyy\ &quot;à 23h59&quot;"/>
    <numFmt numFmtId="184" formatCode="dddd\ dd\ mmmm\ yyyy\ &quot;à 00h00&quot;"/>
    <numFmt numFmtId="185" formatCode="[h]:mm&quot; h&quot;\ &quot;mn&quot;"/>
    <numFmt numFmtId="186" formatCode="dd\-mmmm\-yyyy"/>
  </numFmts>
  <fonts count="7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b/>
      <sz val="10"/>
      <color indexed="10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b/>
      <u/>
      <sz val="10"/>
      <color indexed="12"/>
      <name val="Arial"/>
      <family val="2"/>
    </font>
    <font>
      <b/>
      <sz val="10"/>
      <color indexed="12"/>
      <name val="Arial"/>
      <family val="2"/>
    </font>
    <font>
      <b/>
      <sz val="10"/>
      <color indexed="9"/>
      <name val="Arial"/>
      <family val="2"/>
    </font>
    <font>
      <sz val="10"/>
      <color indexed="12"/>
      <name val="Arial"/>
      <family val="2"/>
    </font>
    <font>
      <b/>
      <u/>
      <sz val="10"/>
      <color indexed="9"/>
      <name val="Arial"/>
      <family val="2"/>
    </font>
    <font>
      <sz val="8"/>
      <name val="Arial"/>
      <family val="2"/>
    </font>
    <font>
      <b/>
      <sz val="10"/>
      <color indexed="13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b/>
      <sz val="10"/>
      <color theme="0"/>
      <name val="Arial"/>
      <family val="2"/>
    </font>
    <font>
      <sz val="10"/>
      <color theme="0"/>
      <name val="Arial"/>
      <family val="2"/>
    </font>
    <font>
      <sz val="10"/>
      <color rgb="FFFF0000"/>
      <name val="Arial"/>
      <family val="2"/>
    </font>
    <font>
      <b/>
      <u/>
      <sz val="10"/>
      <color rgb="FF0000FF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rgb="FF0000FF"/>
      <name val="Arial"/>
      <family val="2"/>
    </font>
    <font>
      <sz val="10"/>
      <color rgb="FF0066FF"/>
      <name val="Arial"/>
      <family val="2"/>
    </font>
    <font>
      <sz val="10"/>
      <color rgb="FF00B050"/>
      <name val="Arial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8"/>
      <color rgb="FFFF0000"/>
      <name val="Arial"/>
      <family val="2"/>
    </font>
    <font>
      <sz val="10"/>
      <color theme="4"/>
      <name val="Arial"/>
      <family val="2"/>
    </font>
    <font>
      <sz val="11"/>
      <color theme="4"/>
      <name val="Calibri"/>
      <family val="2"/>
      <scheme val="minor"/>
    </font>
    <font>
      <sz val="11"/>
      <color theme="0"/>
      <name val="Arial"/>
      <family val="2"/>
    </font>
    <font>
      <b/>
      <sz val="10"/>
      <color rgb="FFFF0000"/>
      <name val="Arial"/>
      <family val="2"/>
    </font>
    <font>
      <b/>
      <sz val="8"/>
      <name val="Calibri"/>
      <family val="2"/>
    </font>
    <font>
      <b/>
      <sz val="12"/>
      <name val="Calibri"/>
      <family val="2"/>
    </font>
    <font>
      <sz val="12"/>
      <name val="Calibri"/>
      <family val="2"/>
    </font>
    <font>
      <b/>
      <sz val="12"/>
      <color theme="0"/>
      <name val="Calibri"/>
      <family val="2"/>
      <scheme val="minor"/>
    </font>
    <font>
      <sz val="10"/>
      <color rgb="FF000000"/>
      <name val="Arial"/>
      <family val="2"/>
    </font>
    <font>
      <b/>
      <sz val="10"/>
      <color rgb="FF003399"/>
      <name val="Arial"/>
      <family val="2"/>
    </font>
    <font>
      <sz val="10"/>
      <color rgb="FF003399"/>
      <name val="Arial"/>
      <family val="2"/>
    </font>
    <font>
      <sz val="8"/>
      <color rgb="FF003399"/>
      <name val="Calibri"/>
      <family val="2"/>
    </font>
    <font>
      <b/>
      <sz val="12"/>
      <color rgb="FF003399"/>
      <name val="Calibri"/>
      <family val="2"/>
    </font>
    <font>
      <sz val="11"/>
      <color rgb="FF003399"/>
      <name val="Calibri"/>
      <family val="2"/>
      <scheme val="minor"/>
    </font>
    <font>
      <sz val="12"/>
      <color rgb="FF003399"/>
      <name val="Calibri"/>
      <family val="2"/>
    </font>
    <font>
      <sz val="10"/>
      <color rgb="FF003399"/>
      <name val="Calibri"/>
      <family val="2"/>
    </font>
    <font>
      <sz val="10"/>
      <color rgb="FF003399"/>
      <name val="Calibri"/>
      <family val="2"/>
      <scheme val="minor"/>
    </font>
    <font>
      <b/>
      <sz val="12"/>
      <color rgb="FF003399"/>
      <name val="Calibri"/>
      <family val="2"/>
      <scheme val="minor"/>
    </font>
    <font>
      <sz val="8"/>
      <color rgb="FF003399"/>
      <name val="Calibri"/>
      <family val="2"/>
      <scheme val="minor"/>
    </font>
    <font>
      <sz val="14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303030"/>
      <name val="Arial"/>
      <family val="2"/>
    </font>
    <font>
      <sz val="11"/>
      <name val="Calibri"/>
      <family val="2"/>
      <scheme val="minor"/>
    </font>
    <font>
      <b/>
      <sz val="12"/>
      <color rgb="FFFFFF00"/>
      <name val="Arial"/>
      <family val="2"/>
    </font>
    <font>
      <sz val="12"/>
      <name val="Times New Roman"/>
      <family val="1"/>
    </font>
    <font>
      <sz val="10"/>
      <color theme="1"/>
      <name val="Liberation Sans"/>
      <family val="2"/>
    </font>
    <font>
      <b/>
      <sz val="8"/>
      <color rgb="FFFF0000"/>
      <name val="Arial"/>
      <family val="2"/>
    </font>
    <font>
      <sz val="10"/>
      <color theme="1"/>
      <name val="Calibri"/>
      <family val="2"/>
      <scheme val="minor"/>
    </font>
    <font>
      <b/>
      <sz val="8"/>
      <name val="Arial"/>
      <family val="2"/>
    </font>
    <font>
      <b/>
      <sz val="8"/>
      <color indexed="12"/>
      <name val="Arial"/>
      <family val="2"/>
    </font>
    <font>
      <sz val="11"/>
      <color rgb="FF000000"/>
      <name val="Calibri"/>
      <family val="2"/>
    </font>
    <font>
      <b/>
      <sz val="8"/>
      <color indexed="81"/>
      <name val="Arial"/>
      <family val="2"/>
    </font>
    <font>
      <sz val="8"/>
      <color indexed="12"/>
      <name val="Arial"/>
      <family val="2"/>
    </font>
  </fonts>
  <fills count="5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1E468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0066FF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CC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4.9989318521683403E-2"/>
        <bgColor indexed="64"/>
      </patternFill>
    </fill>
  </fills>
  <borders count="81">
    <border>
      <left/>
      <right/>
      <top/>
      <bottom/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ck">
        <color indexed="9"/>
      </top>
      <bottom/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/>
      <top/>
      <bottom/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ck">
        <color indexed="9"/>
      </left>
      <right/>
      <top style="thick">
        <color theme="0"/>
      </top>
      <bottom/>
      <diagonal/>
    </border>
    <border>
      <left/>
      <right/>
      <top style="thick">
        <color theme="0"/>
      </top>
      <bottom style="thin">
        <color indexed="64"/>
      </bottom>
      <diagonal/>
    </border>
    <border>
      <left/>
      <right/>
      <top style="thick">
        <color theme="0"/>
      </top>
      <bottom/>
      <diagonal/>
    </border>
    <border>
      <left/>
      <right style="thick">
        <color indexed="23"/>
      </right>
      <top style="thick">
        <color theme="0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thick">
        <color theme="0" tint="-0.499984740745262"/>
      </right>
      <top/>
      <bottom/>
      <diagonal/>
    </border>
    <border>
      <left style="thin">
        <color theme="1" tint="4.9989318521683403E-2"/>
      </left>
      <right/>
      <top style="thin">
        <color theme="1" tint="4.9989318521683403E-2"/>
      </top>
      <bottom style="thin">
        <color theme="0"/>
      </bottom>
      <diagonal/>
    </border>
    <border>
      <left/>
      <right/>
      <top style="thin">
        <color theme="1" tint="4.9989318521683403E-2"/>
      </top>
      <bottom style="thin">
        <color theme="0"/>
      </bottom>
      <diagonal/>
    </border>
    <border>
      <left/>
      <right style="thin">
        <color theme="0"/>
      </right>
      <top style="thin">
        <color theme="1" tint="4.9989318521683403E-2"/>
      </top>
      <bottom style="thin">
        <color theme="0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ck">
        <color theme="0" tint="-0.499984740745262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9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uble">
        <color auto="1"/>
      </top>
      <bottom/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 style="thick">
        <color theme="0" tint="-0.14996795556505021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theme="0"/>
      </left>
      <right/>
      <top style="thick">
        <color theme="0"/>
      </top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/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 style="thick">
        <color theme="0" tint="-0.14996795556505021"/>
      </right>
      <top style="thin">
        <color indexed="64"/>
      </top>
      <bottom style="thin">
        <color indexed="9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8">
    <xf numFmtId="0" fontId="0" fillId="0" borderId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1" fillId="20" borderId="0" applyNumberFormat="0" applyBorder="0" applyAlignment="0" applyProtection="0"/>
    <xf numFmtId="0" fontId="1" fillId="24" borderId="0" applyNumberFormat="0" applyBorder="0" applyAlignment="0" applyProtection="0"/>
    <xf numFmtId="0" fontId="1" fillId="28" borderId="0" applyNumberFormat="0" applyBorder="0" applyAlignment="0" applyProtection="0"/>
    <xf numFmtId="0" fontId="1" fillId="32" borderId="0" applyNumberFormat="0" applyBorder="0" applyAlignment="0" applyProtection="0"/>
    <xf numFmtId="0" fontId="1" fillId="36" borderId="0" applyNumberFormat="0" applyBorder="0" applyAlignment="0" applyProtection="0"/>
    <xf numFmtId="0" fontId="1" fillId="40" borderId="0" applyNumberFormat="0" applyBorder="0" applyAlignment="0" applyProtection="0"/>
    <xf numFmtId="0" fontId="35" fillId="21" borderId="0" applyNumberFormat="0" applyBorder="0" applyAlignment="0" applyProtection="0"/>
    <xf numFmtId="0" fontId="35" fillId="25" borderId="0" applyNumberFormat="0" applyBorder="0" applyAlignment="0" applyProtection="0"/>
    <xf numFmtId="0" fontId="35" fillId="29" borderId="0" applyNumberFormat="0" applyBorder="0" applyAlignment="0" applyProtection="0"/>
    <xf numFmtId="0" fontId="35" fillId="33" borderId="0" applyNumberFormat="0" applyBorder="0" applyAlignment="0" applyProtection="0"/>
    <xf numFmtId="0" fontId="35" fillId="37" borderId="0" applyNumberFormat="0" applyBorder="0" applyAlignment="0" applyProtection="0"/>
    <xf numFmtId="0" fontId="35" fillId="41" borderId="0" applyNumberFormat="0" applyBorder="0" applyAlignment="0" applyProtection="0"/>
    <xf numFmtId="0" fontId="35" fillId="18" borderId="0" applyNumberFormat="0" applyBorder="0" applyAlignment="0" applyProtection="0"/>
    <xf numFmtId="0" fontId="35" fillId="22" borderId="0" applyNumberFormat="0" applyBorder="0" applyAlignment="0" applyProtection="0"/>
    <xf numFmtId="0" fontId="35" fillId="26" borderId="0" applyNumberFormat="0" applyBorder="0" applyAlignment="0" applyProtection="0"/>
    <xf numFmtId="0" fontId="35" fillId="30" borderId="0" applyNumberFormat="0" applyBorder="0" applyAlignment="0" applyProtection="0"/>
    <xf numFmtId="0" fontId="35" fillId="34" borderId="0" applyNumberFormat="0" applyBorder="0" applyAlignment="0" applyProtection="0"/>
    <xf numFmtId="0" fontId="35" fillId="38" borderId="0" applyNumberFormat="0" applyBorder="0" applyAlignment="0" applyProtection="0"/>
    <xf numFmtId="0" fontId="32" fillId="0" borderId="0" applyNumberFormat="0" applyFill="0" applyBorder="0" applyAlignment="0" applyProtection="0"/>
    <xf numFmtId="0" fontId="29" fillId="15" borderId="31" applyNumberFormat="0" applyAlignment="0" applyProtection="0"/>
    <xf numFmtId="0" fontId="30" fillId="0" borderId="33" applyNumberFormat="0" applyFill="0" applyAlignment="0" applyProtection="0"/>
    <xf numFmtId="0" fontId="1" fillId="17" borderId="35" applyNumberFormat="0" applyFont="0" applyAlignment="0" applyProtection="0"/>
    <xf numFmtId="0" fontId="27" fillId="14" borderId="31" applyNumberFormat="0" applyAlignment="0" applyProtection="0"/>
    <xf numFmtId="0" fontId="25" fillId="12" borderId="0" applyNumberFormat="0" applyBorder="0" applyAlignment="0" applyProtection="0"/>
    <xf numFmtId="0" fontId="3" fillId="0" borderId="0" applyNumberFormat="0" applyFill="0" applyBorder="0" applyAlignment="0" applyProtection="0">
      <alignment vertical="top"/>
      <protection locked="0"/>
    </xf>
    <xf numFmtId="0" fontId="26" fillId="13" borderId="0" applyNumberFormat="0" applyBorder="0" applyAlignment="0" applyProtection="0"/>
    <xf numFmtId="0" fontId="24" fillId="11" borderId="0" applyNumberFormat="0" applyBorder="0" applyAlignment="0" applyProtection="0"/>
    <xf numFmtId="0" fontId="28" fillId="15" borderId="32" applyNumberFormat="0" applyAlignment="0" applyProtection="0"/>
    <xf numFmtId="0" fontId="33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28" applyNumberFormat="0" applyFill="0" applyAlignment="0" applyProtection="0"/>
    <xf numFmtId="0" fontId="22" fillId="0" borderId="29" applyNumberFormat="0" applyFill="0" applyAlignment="0" applyProtection="0"/>
    <xf numFmtId="0" fontId="23" fillId="0" borderId="30" applyNumberFormat="0" applyFill="0" applyAlignment="0" applyProtection="0"/>
    <xf numFmtId="0" fontId="23" fillId="0" borderId="0" applyNumberFormat="0" applyFill="0" applyBorder="0" applyAlignment="0" applyProtection="0"/>
    <xf numFmtId="0" fontId="34" fillId="0" borderId="36" applyNumberFormat="0" applyFill="0" applyAlignment="0" applyProtection="0"/>
    <xf numFmtId="0" fontId="31" fillId="16" borderId="34" applyNumberFormat="0" applyAlignment="0" applyProtection="0"/>
    <xf numFmtId="0" fontId="62" fillId="0" borderId="0" applyNumberFormat="0" applyFill="0" applyBorder="0" applyAlignment="0" applyProtection="0"/>
    <xf numFmtId="0" fontId="2" fillId="0" borderId="0"/>
    <xf numFmtId="0" fontId="1" fillId="0" borderId="0"/>
    <xf numFmtId="44" fontId="2" fillId="0" borderId="0" applyFont="0" applyFill="0" applyBorder="0" applyAlignment="0" applyProtection="0"/>
    <xf numFmtId="0" fontId="66" fillId="0" borderId="0"/>
  </cellStyleXfs>
  <cellXfs count="547">
    <xf numFmtId="0" fontId="0" fillId="0" borderId="0" xfId="0"/>
    <xf numFmtId="164" fontId="7" fillId="2" borderId="9" xfId="0" applyNumberFormat="1" applyFont="1" applyFill="1" applyBorder="1" applyAlignment="1" applyProtection="1">
      <alignment horizontal="centerContinuous"/>
    </xf>
    <xf numFmtId="164" fontId="8" fillId="2" borderId="0" xfId="0" applyNumberFormat="1" applyFont="1" applyFill="1" applyBorder="1" applyAlignment="1" applyProtection="1">
      <alignment horizontal="center"/>
    </xf>
    <xf numFmtId="166" fontId="8" fillId="2" borderId="0" xfId="0" applyNumberFormat="1" applyFont="1" applyFill="1" applyBorder="1" applyAlignment="1" applyProtection="1">
      <alignment horizontal="center"/>
    </xf>
    <xf numFmtId="164" fontId="11" fillId="2" borderId="0" xfId="0" applyNumberFormat="1" applyFont="1" applyFill="1" applyBorder="1" applyAlignment="1" applyProtection="1">
      <alignment horizontal="center"/>
    </xf>
    <xf numFmtId="168" fontId="4" fillId="2" borderId="0" xfId="0" applyNumberFormat="1" applyFont="1" applyFill="1" applyBorder="1" applyAlignment="1" applyProtection="1">
      <alignment horizontal="center"/>
    </xf>
    <xf numFmtId="170" fontId="4" fillId="2" borderId="0" xfId="0" applyNumberFormat="1" applyFont="1" applyFill="1" applyBorder="1" applyAlignment="1" applyProtection="1">
      <alignment horizontal="center"/>
    </xf>
    <xf numFmtId="2" fontId="10" fillId="0" borderId="14" xfId="0" applyNumberFormat="1" applyFont="1" applyBorder="1" applyAlignment="1">
      <alignment horizontal="center"/>
    </xf>
    <xf numFmtId="2" fontId="5" fillId="0" borderId="22" xfId="0" applyNumberFormat="1" applyFont="1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2" xfId="0" applyBorder="1"/>
    <xf numFmtId="2" fontId="14" fillId="0" borderId="22" xfId="0" applyNumberFormat="1" applyFont="1" applyBorder="1" applyAlignment="1">
      <alignment horizontal="center"/>
    </xf>
    <xf numFmtId="165" fontId="10" fillId="0" borderId="14" xfId="0" applyNumberFormat="1" applyFont="1" applyBorder="1" applyAlignment="1">
      <alignment horizontal="center"/>
    </xf>
    <xf numFmtId="168" fontId="15" fillId="0" borderId="22" xfId="0" applyNumberFormat="1" applyFont="1" applyBorder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/>
    <xf numFmtId="9" fontId="0" fillId="6" borderId="0" xfId="0" applyNumberFormat="1" applyFill="1" applyAlignment="1">
      <alignment horizontal="right"/>
    </xf>
    <xf numFmtId="9" fontId="0" fillId="6" borderId="0" xfId="0" applyNumberFormat="1" applyFill="1" applyAlignment="1">
      <alignment horizontal="center"/>
    </xf>
    <xf numFmtId="1" fontId="0" fillId="6" borderId="0" xfId="0" applyNumberFormat="1" applyFill="1"/>
    <xf numFmtId="0" fontId="13" fillId="7" borderId="0" xfId="0" quotePrefix="1" applyFont="1" applyFill="1" applyAlignment="1">
      <alignment horizontal="center"/>
    </xf>
    <xf numFmtId="10" fontId="0" fillId="6" borderId="0" xfId="0" applyNumberFormat="1" applyFill="1"/>
    <xf numFmtId="1" fontId="0" fillId="6" borderId="0" xfId="0" applyNumberFormat="1" applyFill="1" applyBorder="1" applyAlignment="1">
      <alignment horizontal="center"/>
    </xf>
    <xf numFmtId="164" fontId="7" fillId="2" borderId="39" xfId="0" applyNumberFormat="1" applyFont="1" applyFill="1" applyBorder="1" applyAlignment="1" applyProtection="1">
      <alignment horizontal="centerContinuous"/>
    </xf>
    <xf numFmtId="166" fontId="7" fillId="2" borderId="39" xfId="0" applyNumberFormat="1" applyFont="1" applyFill="1" applyBorder="1" applyAlignment="1" applyProtection="1">
      <alignment horizontal="centerContinuous"/>
    </xf>
    <xf numFmtId="20" fontId="2" fillId="0" borderId="0" xfId="0" applyNumberFormat="1" applyFont="1" applyFill="1" applyBorder="1" applyAlignment="1">
      <alignment horizontal="center"/>
    </xf>
    <xf numFmtId="1" fontId="2" fillId="0" borderId="0" xfId="0" applyNumberFormat="1" applyFont="1" applyFill="1" applyBorder="1" applyAlignment="1" applyProtection="1">
      <alignment vertical="center"/>
    </xf>
    <xf numFmtId="169" fontId="2" fillId="0" borderId="22" xfId="0" applyNumberFormat="1" applyFont="1" applyFill="1" applyBorder="1" applyAlignment="1">
      <alignment horizontal="center"/>
    </xf>
    <xf numFmtId="2" fontId="0" fillId="0" borderId="18" xfId="0" applyNumberFormat="1" applyBorder="1" applyAlignment="1">
      <alignment horizontal="centerContinuous"/>
    </xf>
    <xf numFmtId="0" fontId="0" fillId="0" borderId="0" xfId="0"/>
    <xf numFmtId="0" fontId="0" fillId="0" borderId="0" xfId="0" applyAlignment="1">
      <alignment horizontal="center"/>
    </xf>
    <xf numFmtId="0" fontId="0" fillId="0" borderId="0" xfId="0" applyFill="1"/>
    <xf numFmtId="0" fontId="2" fillId="0" borderId="0" xfId="0" applyFont="1"/>
    <xf numFmtId="0" fontId="0" fillId="42" borderId="0" xfId="0" applyFill="1" applyBorder="1" applyAlignment="1">
      <alignment horizontal="left" indent="1"/>
    </xf>
    <xf numFmtId="0" fontId="0" fillId="42" borderId="0" xfId="0" applyFill="1" applyBorder="1"/>
    <xf numFmtId="0" fontId="0" fillId="42" borderId="0" xfId="0" applyFill="1" applyAlignment="1">
      <alignment horizontal="centerContinuous"/>
    </xf>
    <xf numFmtId="164" fontId="0" fillId="42" borderId="0" xfId="0" applyNumberFormat="1" applyFill="1"/>
    <xf numFmtId="0" fontId="0" fillId="42" borderId="0" xfId="0" applyFill="1"/>
    <xf numFmtId="0" fontId="0" fillId="42" borderId="0" xfId="0" applyFill="1" applyBorder="1" applyAlignment="1">
      <alignment horizontal="center" vertical="center"/>
    </xf>
    <xf numFmtId="0" fontId="0" fillId="42" borderId="0" xfId="0" applyFill="1" applyAlignment="1">
      <alignment horizontal="left" indent="1"/>
    </xf>
    <xf numFmtId="164" fontId="0" fillId="42" borderId="0" xfId="0" applyNumberFormat="1" applyFill="1" applyBorder="1"/>
    <xf numFmtId="166" fontId="0" fillId="42" borderId="0" xfId="0" applyNumberFormat="1" applyFill="1" applyBorder="1"/>
    <xf numFmtId="0" fontId="0" fillId="42" borderId="0" xfId="0" applyFill="1" applyBorder="1" applyAlignment="1">
      <alignment horizontal="left" vertical="center" indent="1"/>
    </xf>
    <xf numFmtId="0" fontId="0" fillId="2" borderId="1" xfId="0" applyFill="1" applyBorder="1"/>
    <xf numFmtId="1" fontId="2" fillId="2" borderId="3" xfId="0" applyNumberFormat="1" applyFont="1" applyFill="1" applyBorder="1" applyAlignment="1" applyProtection="1">
      <alignment horizontal="center" vertical="center"/>
    </xf>
    <xf numFmtId="0" fontId="0" fillId="2" borderId="3" xfId="0" applyFill="1" applyBorder="1"/>
    <xf numFmtId="0" fontId="0" fillId="2" borderId="16" xfId="0" applyFill="1" applyBorder="1"/>
    <xf numFmtId="0" fontId="0" fillId="2" borderId="7" xfId="0" applyFill="1" applyBorder="1"/>
    <xf numFmtId="0" fontId="0" fillId="2" borderId="0" xfId="0" applyFill="1" applyBorder="1" applyAlignment="1">
      <alignment horizontal="centerContinuous"/>
    </xf>
    <xf numFmtId="0" fontId="6" fillId="5" borderId="46" xfId="0" applyFont="1" applyFill="1" applyBorder="1" applyAlignment="1">
      <alignment horizontal="center" vertical="center"/>
    </xf>
    <xf numFmtId="0" fontId="0" fillId="2" borderId="17" xfId="0" applyFill="1" applyBorder="1"/>
    <xf numFmtId="0" fontId="0" fillId="2" borderId="2" xfId="0" applyFill="1" applyBorder="1" applyAlignment="1">
      <alignment horizontal="left" indent="1"/>
    </xf>
    <xf numFmtId="1" fontId="2" fillId="2" borderId="2" xfId="0" applyNumberFormat="1" applyFont="1" applyFill="1" applyBorder="1" applyAlignment="1" applyProtection="1">
      <alignment horizontal="center" vertical="center"/>
    </xf>
    <xf numFmtId="164" fontId="2" fillId="2" borderId="2" xfId="0" applyNumberFormat="1" applyFont="1" applyFill="1" applyBorder="1" applyAlignment="1" applyProtection="1">
      <alignment horizontal="center" vertical="center"/>
    </xf>
    <xf numFmtId="0" fontId="0" fillId="2" borderId="2" xfId="0" applyFill="1" applyBorder="1"/>
    <xf numFmtId="164" fontId="2" fillId="2" borderId="3" xfId="0" applyNumberFormat="1" applyFont="1" applyFill="1" applyBorder="1" applyAlignment="1" applyProtection="1">
      <alignment horizontal="center" vertical="center"/>
    </xf>
    <xf numFmtId="0" fontId="0" fillId="2" borderId="37" xfId="0" applyFill="1" applyBorder="1"/>
    <xf numFmtId="0" fontId="0" fillId="2" borderId="38" xfId="0" applyFill="1" applyBorder="1" applyAlignment="1">
      <alignment horizontal="left" indent="1"/>
    </xf>
    <xf numFmtId="1" fontId="2" fillId="2" borderId="38" xfId="0" applyNumberFormat="1" applyFont="1" applyFill="1" applyBorder="1" applyAlignment="1" applyProtection="1">
      <alignment horizontal="center" vertical="center"/>
    </xf>
    <xf numFmtId="0" fontId="0" fillId="2" borderId="39" xfId="0" applyFill="1" applyBorder="1"/>
    <xf numFmtId="0" fontId="0" fillId="2" borderId="40" xfId="0" applyFill="1" applyBorder="1"/>
    <xf numFmtId="0" fontId="0" fillId="2" borderId="0" xfId="0" applyFill="1"/>
    <xf numFmtId="0" fontId="0" fillId="2" borderId="0" xfId="0" applyFill="1" applyBorder="1"/>
    <xf numFmtId="1" fontId="2" fillId="2" borderId="8" xfId="0" applyNumberFormat="1" applyFont="1" applyFill="1" applyBorder="1" applyAlignment="1" applyProtection="1">
      <alignment horizontal="center" vertical="center"/>
    </xf>
    <xf numFmtId="0" fontId="6" fillId="2" borderId="0" xfId="0" applyFont="1" applyFill="1" applyBorder="1" applyAlignment="1">
      <alignment horizontal="center"/>
    </xf>
    <xf numFmtId="0" fontId="0" fillId="2" borderId="4" xfId="0" applyFill="1" applyBorder="1"/>
    <xf numFmtId="0" fontId="0" fillId="2" borderId="5" xfId="0" applyFill="1" applyBorder="1" applyAlignment="1"/>
    <xf numFmtId="0" fontId="0" fillId="2" borderId="0" xfId="0" applyFill="1" applyBorder="1" applyAlignment="1"/>
    <xf numFmtId="0" fontId="0" fillId="2" borderId="17" xfId="0" applyFill="1" applyBorder="1" applyAlignment="1">
      <alignment horizontal="centerContinuous"/>
    </xf>
    <xf numFmtId="168" fontId="4" fillId="0" borderId="46" xfId="0" applyNumberFormat="1" applyFont="1" applyFill="1" applyBorder="1" applyAlignment="1" applyProtection="1">
      <alignment horizontal="center"/>
    </xf>
    <xf numFmtId="170" fontId="4" fillId="0" borderId="46" xfId="0" applyNumberFormat="1" applyFont="1" applyFill="1" applyBorder="1" applyAlignment="1" applyProtection="1">
      <alignment horizontal="center"/>
    </xf>
    <xf numFmtId="14" fontId="8" fillId="2" borderId="8" xfId="0" applyNumberFormat="1" applyFont="1" applyFill="1" applyBorder="1" applyAlignment="1">
      <alignment horizontal="left" vertical="center" indent="1"/>
    </xf>
    <xf numFmtId="0" fontId="0" fillId="2" borderId="8" xfId="0" applyFill="1" applyBorder="1" applyAlignment="1"/>
    <xf numFmtId="0" fontId="0" fillId="2" borderId="9" xfId="0" applyFill="1" applyBorder="1"/>
    <xf numFmtId="165" fontId="9" fillId="3" borderId="46" xfId="0" applyNumberFormat="1" applyFont="1" applyFill="1" applyBorder="1" applyAlignment="1">
      <alignment horizontal="center"/>
    </xf>
    <xf numFmtId="167" fontId="9" fillId="3" borderId="46" xfId="0" applyNumberFormat="1" applyFont="1" applyFill="1" applyBorder="1" applyAlignment="1">
      <alignment horizontal="center"/>
    </xf>
    <xf numFmtId="14" fontId="8" fillId="0" borderId="44" xfId="0" applyNumberFormat="1" applyFont="1" applyFill="1" applyBorder="1" applyAlignment="1">
      <alignment horizontal="centerContinuous"/>
    </xf>
    <xf numFmtId="14" fontId="8" fillId="0" borderId="6" xfId="0" applyNumberFormat="1" applyFont="1" applyFill="1" applyBorder="1" applyAlignment="1">
      <alignment horizontal="centerContinuous"/>
    </xf>
    <xf numFmtId="165" fontId="9" fillId="2" borderId="0" xfId="0" applyNumberFormat="1" applyFont="1" applyFill="1" applyBorder="1" applyAlignment="1">
      <alignment horizontal="center"/>
    </xf>
    <xf numFmtId="16" fontId="6" fillId="2" borderId="0" xfId="0" quotePrefix="1" applyNumberFormat="1" applyFont="1" applyFill="1" applyBorder="1" applyAlignment="1">
      <alignment horizontal="center"/>
    </xf>
    <xf numFmtId="167" fontId="9" fillId="2" borderId="0" xfId="0" applyNumberFormat="1" applyFont="1" applyFill="1" applyBorder="1" applyAlignment="1">
      <alignment horizontal="center"/>
    </xf>
    <xf numFmtId="166" fontId="9" fillId="2" borderId="0" xfId="0" applyNumberFormat="1" applyFont="1" applyFill="1" applyBorder="1" applyAlignment="1">
      <alignment horizontal="center"/>
    </xf>
    <xf numFmtId="0" fontId="9" fillId="2" borderId="0" xfId="0" applyFont="1" applyFill="1" applyBorder="1" applyAlignment="1">
      <alignment horizontal="center"/>
    </xf>
    <xf numFmtId="16" fontId="9" fillId="2" borderId="0" xfId="0" quotePrefix="1" applyNumberFormat="1" applyFont="1" applyFill="1" applyBorder="1" applyAlignment="1">
      <alignment horizontal="center"/>
    </xf>
    <xf numFmtId="0" fontId="8" fillId="2" borderId="0" xfId="0" applyFont="1" applyFill="1" applyBorder="1" applyAlignment="1">
      <alignment horizontal="center"/>
    </xf>
    <xf numFmtId="164" fontId="16" fillId="44" borderId="46" xfId="0" applyNumberFormat="1" applyFont="1" applyFill="1" applyBorder="1" applyAlignment="1">
      <alignment horizontal="center"/>
    </xf>
    <xf numFmtId="164" fontId="16" fillId="10" borderId="46" xfId="0" applyNumberFormat="1" applyFont="1" applyFill="1" applyBorder="1" applyAlignment="1">
      <alignment horizontal="center"/>
    </xf>
    <xf numFmtId="168" fontId="9" fillId="3" borderId="46" xfId="0" applyNumberFormat="1" applyFont="1" applyFill="1" applyBorder="1" applyAlignment="1">
      <alignment horizontal="center"/>
    </xf>
    <xf numFmtId="170" fontId="9" fillId="3" borderId="46" xfId="0" applyNumberFormat="1" applyFont="1" applyFill="1" applyBorder="1" applyAlignment="1">
      <alignment horizontal="center"/>
    </xf>
    <xf numFmtId="170" fontId="9" fillId="3" borderId="44" xfId="0" applyNumberFormat="1" applyFont="1" applyFill="1" applyBorder="1" applyAlignment="1">
      <alignment horizontal="center"/>
    </xf>
    <xf numFmtId="0" fontId="2" fillId="2" borderId="17" xfId="0" applyFont="1" applyFill="1" applyBorder="1"/>
    <xf numFmtId="0" fontId="2" fillId="2" borderId="0" xfId="0" applyFont="1" applyFill="1" applyAlignment="1">
      <alignment horizontal="left" indent="1"/>
    </xf>
    <xf numFmtId="0" fontId="2" fillId="2" borderId="0" xfId="0" applyFont="1" applyFill="1"/>
    <xf numFmtId="172" fontId="2" fillId="2" borderId="0" xfId="0" applyNumberFormat="1" applyFont="1" applyFill="1"/>
    <xf numFmtId="0" fontId="2" fillId="42" borderId="0" xfId="0" applyFont="1" applyFill="1" applyAlignment="1">
      <alignment horizontal="center" vertical="center"/>
    </xf>
    <xf numFmtId="0" fontId="2" fillId="2" borderId="7" xfId="0" applyFont="1" applyFill="1" applyBorder="1"/>
    <xf numFmtId="0" fontId="2" fillId="42" borderId="0" xfId="0" applyFont="1" applyFill="1" applyBorder="1" applyAlignment="1">
      <alignment horizontal="center" vertical="center"/>
    </xf>
    <xf numFmtId="0" fontId="6" fillId="2" borderId="15" xfId="0" applyFont="1" applyFill="1" applyBorder="1" applyAlignment="1">
      <alignment horizontal="left" vertical="center" indent="1"/>
    </xf>
    <xf numFmtId="171" fontId="6" fillId="2" borderId="11" xfId="0" applyNumberFormat="1" applyFont="1" applyFill="1" applyBorder="1" applyAlignment="1">
      <alignment horizontal="center" vertical="center"/>
    </xf>
    <xf numFmtId="172" fontId="6" fillId="2" borderId="46" xfId="0" applyNumberFormat="1" applyFont="1" applyFill="1" applyBorder="1" applyAlignment="1">
      <alignment horizontal="center" vertical="center"/>
    </xf>
    <xf numFmtId="173" fontId="2" fillId="2" borderId="0" xfId="0" applyNumberFormat="1" applyFont="1" applyFill="1"/>
    <xf numFmtId="0" fontId="0" fillId="0" borderId="0" xfId="0" applyFill="1" applyBorder="1"/>
    <xf numFmtId="167" fontId="6" fillId="2" borderId="46" xfId="0" applyNumberFormat="1" applyFont="1" applyFill="1" applyBorder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170" fontId="0" fillId="0" borderId="0" xfId="0" applyNumberFormat="1" applyFill="1" applyBorder="1" applyAlignment="1">
      <alignment horizontal="center" vertical="top"/>
    </xf>
    <xf numFmtId="0" fontId="2" fillId="0" borderId="0" xfId="0" applyFont="1" applyAlignment="1"/>
    <xf numFmtId="0" fontId="12" fillId="0" borderId="0" xfId="0" applyFont="1"/>
    <xf numFmtId="1" fontId="2" fillId="0" borderId="0" xfId="0" applyNumberFormat="1" applyFont="1" applyFill="1" applyBorder="1" applyAlignment="1"/>
    <xf numFmtId="0" fontId="2" fillId="4" borderId="0" xfId="0" applyFont="1" applyFill="1" applyBorder="1" applyAlignment="1">
      <alignment vertical="center"/>
    </xf>
    <xf numFmtId="0" fontId="0" fillId="0" borderId="22" xfId="0" applyFill="1" applyBorder="1" applyAlignment="1">
      <alignment horizontal="center"/>
    </xf>
    <xf numFmtId="0" fontId="2" fillId="43" borderId="18" xfId="0" applyFont="1" applyFill="1" applyBorder="1" applyAlignment="1">
      <alignment horizontal="centerContinuous" vertical="center"/>
    </xf>
    <xf numFmtId="0" fontId="0" fillId="43" borderId="19" xfId="0" applyFill="1" applyBorder="1" applyAlignment="1">
      <alignment horizontal="centerContinuous" vertical="top"/>
    </xf>
    <xf numFmtId="2" fontId="10" fillId="0" borderId="0" xfId="0" applyNumberFormat="1" applyFont="1" applyBorder="1" applyAlignment="1">
      <alignment horizontal="center"/>
    </xf>
    <xf numFmtId="2" fontId="2" fillId="0" borderId="22" xfId="0" applyNumberFormat="1" applyFont="1" applyBorder="1" applyAlignment="1">
      <alignment horizontal="center"/>
    </xf>
    <xf numFmtId="0" fontId="0" fillId="0" borderId="19" xfId="0" applyBorder="1" applyAlignment="1">
      <alignment horizontal="centerContinuous"/>
    </xf>
    <xf numFmtId="0" fontId="6" fillId="43" borderId="25" xfId="0" applyFont="1" applyFill="1" applyBorder="1" applyAlignment="1">
      <alignment horizontal="centerContinuous"/>
    </xf>
    <xf numFmtId="165" fontId="10" fillId="0" borderId="0" xfId="0" applyNumberFormat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12" fillId="0" borderId="0" xfId="0" applyFont="1" applyBorder="1"/>
    <xf numFmtId="20" fontId="12" fillId="0" borderId="0" xfId="0" applyNumberFormat="1" applyFont="1" applyBorder="1" applyAlignment="1">
      <alignment horizontal="center"/>
    </xf>
    <xf numFmtId="0" fontId="2" fillId="0" borderId="0" xfId="0" quotePrefix="1" applyFont="1"/>
    <xf numFmtId="20" fontId="2" fillId="43" borderId="41" xfId="0" applyNumberFormat="1" applyFont="1" applyFill="1" applyBorder="1" applyAlignment="1">
      <alignment horizontal="center"/>
    </xf>
    <xf numFmtId="20" fontId="2" fillId="43" borderId="42" xfId="0" applyNumberFormat="1" applyFont="1" applyFill="1" applyBorder="1" applyAlignment="1">
      <alignment horizontal="center"/>
    </xf>
    <xf numFmtId="0" fontId="17" fillId="0" borderId="0" xfId="0" quotePrefix="1" applyFont="1" applyFill="1" applyBorder="1" applyAlignment="1">
      <alignment horizontal="center" vertical="center"/>
    </xf>
    <xf numFmtId="0" fontId="2" fillId="0" borderId="0" xfId="0" applyFont="1" applyFill="1" applyBorder="1"/>
    <xf numFmtId="0" fontId="0" fillId="0" borderId="0" xfId="0" applyNumberFormat="1"/>
    <xf numFmtId="165" fontId="9" fillId="45" borderId="46" xfId="0" applyNumberFormat="1" applyFont="1" applyFill="1" applyBorder="1" applyAlignment="1">
      <alignment horizontal="center"/>
    </xf>
    <xf numFmtId="0" fontId="0" fillId="0" borderId="14" xfId="0" applyBorder="1"/>
    <xf numFmtId="169" fontId="2" fillId="0" borderId="14" xfId="0" applyNumberFormat="1" applyFont="1" applyFill="1" applyBorder="1" applyAlignment="1">
      <alignment horizontal="center"/>
    </xf>
    <xf numFmtId="0" fontId="18" fillId="0" borderId="22" xfId="0" applyFont="1" applyBorder="1" applyAlignment="1">
      <alignment horizontal="center"/>
    </xf>
    <xf numFmtId="20" fontId="6" fillId="43" borderId="43" xfId="0" applyNumberFormat="1" applyFont="1" applyFill="1" applyBorder="1" applyAlignment="1">
      <alignment horizontal="centerContinuous"/>
    </xf>
    <xf numFmtId="2" fontId="10" fillId="0" borderId="22" xfId="0" applyNumberFormat="1" applyFont="1" applyBorder="1" applyAlignment="1">
      <alignment horizontal="center" vertical="center"/>
    </xf>
    <xf numFmtId="2" fontId="5" fillId="0" borderId="22" xfId="0" applyNumberFormat="1" applyFont="1" applyFill="1" applyBorder="1" applyAlignment="1">
      <alignment horizontal="center" vertical="center"/>
    </xf>
    <xf numFmtId="0" fontId="10" fillId="0" borderId="22" xfId="0" applyFont="1" applyBorder="1" applyAlignment="1">
      <alignment horizontal="center" vertical="center"/>
    </xf>
    <xf numFmtId="0" fontId="5" fillId="0" borderId="22" xfId="0" applyFont="1" applyFill="1" applyBorder="1" applyAlignment="1">
      <alignment horizontal="center" vertical="center"/>
    </xf>
    <xf numFmtId="2" fontId="10" fillId="0" borderId="22" xfId="0" applyNumberFormat="1" applyFont="1" applyFill="1" applyBorder="1" applyAlignment="1">
      <alignment horizontal="center" vertical="center"/>
    </xf>
    <xf numFmtId="165" fontId="10" fillId="0" borderId="22" xfId="0" applyNumberFormat="1" applyFont="1" applyFill="1" applyBorder="1" applyAlignment="1">
      <alignment horizontal="center" vertical="center"/>
    </xf>
    <xf numFmtId="165" fontId="5" fillId="0" borderId="22" xfId="0" applyNumberFormat="1" applyFont="1" applyFill="1" applyBorder="1" applyAlignment="1">
      <alignment horizontal="center" vertical="center"/>
    </xf>
    <xf numFmtId="16" fontId="12" fillId="0" borderId="51" xfId="0" applyNumberFormat="1" applyFont="1" applyFill="1" applyBorder="1" applyAlignment="1">
      <alignment horizontal="center" vertical="center"/>
    </xf>
    <xf numFmtId="1" fontId="2" fillId="4" borderId="52" xfId="0" applyNumberFormat="1" applyFont="1" applyFill="1" applyBorder="1" applyAlignment="1">
      <alignment horizontal="left" vertical="center"/>
    </xf>
    <xf numFmtId="0" fontId="2" fillId="0" borderId="0" xfId="0" applyFont="1" applyFill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6" fillId="0" borderId="0" xfId="0" applyFont="1" applyFill="1" applyBorder="1"/>
    <xf numFmtId="0" fontId="0" fillId="0" borderId="50" xfId="0" applyFill="1" applyBorder="1"/>
    <xf numFmtId="2" fontId="0" fillId="43" borderId="12" xfId="0" applyNumberFormat="1" applyFill="1" applyBorder="1" applyAlignment="1">
      <alignment horizontal="centerContinuous"/>
    </xf>
    <xf numFmtId="49" fontId="4" fillId="0" borderId="6" xfId="0" applyNumberFormat="1" applyFont="1" applyFill="1" applyBorder="1" applyAlignment="1">
      <alignment horizontal="centerContinuous"/>
    </xf>
    <xf numFmtId="49" fontId="4" fillId="0" borderId="0" xfId="0" applyNumberFormat="1" applyFont="1" applyFill="1" applyBorder="1" applyAlignment="1">
      <alignment horizontal="centerContinuous"/>
    </xf>
    <xf numFmtId="14" fontId="4" fillId="0" borderId="44" xfId="0" applyNumberFormat="1" applyFont="1" applyFill="1" applyBorder="1" applyAlignment="1">
      <alignment horizontal="centerContinuous"/>
    </xf>
    <xf numFmtId="49" fontId="4" fillId="0" borderId="45" xfId="0" applyNumberFormat="1" applyFont="1" applyFill="1" applyBorder="1" applyAlignment="1">
      <alignment horizontal="centerContinuous"/>
    </xf>
    <xf numFmtId="0" fontId="0" fillId="2" borderId="54" xfId="0" applyFill="1" applyBorder="1"/>
    <xf numFmtId="0" fontId="0" fillId="2" borderId="54" xfId="0" applyFill="1" applyBorder="1" applyAlignment="1"/>
    <xf numFmtId="0" fontId="2" fillId="2" borderId="54" xfId="0" applyFont="1" applyFill="1" applyBorder="1"/>
    <xf numFmtId="0" fontId="9" fillId="46" borderId="44" xfId="0" applyFont="1" applyFill="1" applyBorder="1" applyAlignment="1">
      <alignment horizontal="centerContinuous" vertical="center"/>
    </xf>
    <xf numFmtId="0" fontId="0" fillId="46" borderId="45" xfId="0" applyFill="1" applyBorder="1" applyAlignment="1">
      <alignment horizontal="centerContinuous" vertical="center"/>
    </xf>
    <xf numFmtId="0" fontId="9" fillId="46" borderId="10" xfId="0" applyFont="1" applyFill="1" applyBorder="1" applyAlignment="1">
      <alignment horizontal="centerContinuous" vertical="center"/>
    </xf>
    <xf numFmtId="0" fontId="0" fillId="0" borderId="0" xfId="0" applyBorder="1"/>
    <xf numFmtId="0" fontId="0" fillId="9" borderId="49" xfId="0" applyFill="1" applyBorder="1" applyAlignment="1">
      <alignment horizontal="center"/>
    </xf>
    <xf numFmtId="0" fontId="12" fillId="0" borderId="41" xfId="0" applyFont="1" applyBorder="1" applyAlignment="1">
      <alignment horizontal="center"/>
    </xf>
    <xf numFmtId="0" fontId="2" fillId="0" borderId="0" xfId="0" quotePrefix="1" applyFont="1" applyFill="1" applyAlignment="1">
      <alignment horizontal="center"/>
    </xf>
    <xf numFmtId="0" fontId="5" fillId="0" borderId="0" xfId="0" applyFont="1" applyFill="1" applyAlignment="1">
      <alignment horizontal="center"/>
    </xf>
    <xf numFmtId="0" fontId="17" fillId="0" borderId="0" xfId="0" applyFont="1"/>
    <xf numFmtId="177" fontId="16" fillId="10" borderId="46" xfId="0" quotePrefix="1" applyNumberFormat="1" applyFont="1" applyFill="1" applyBorder="1" applyAlignment="1">
      <alignment horizontal="center"/>
    </xf>
    <xf numFmtId="177" fontId="6" fillId="0" borderId="46" xfId="0" quotePrefix="1" applyNumberFormat="1" applyFont="1" applyFill="1" applyBorder="1" applyAlignment="1">
      <alignment horizontal="center"/>
    </xf>
    <xf numFmtId="177" fontId="6" fillId="0" borderId="44" xfId="0" quotePrefix="1" applyNumberFormat="1" applyFont="1" applyFill="1" applyBorder="1" applyAlignment="1">
      <alignment horizontal="center"/>
    </xf>
    <xf numFmtId="177" fontId="9" fillId="46" borderId="46" xfId="0" quotePrefix="1" applyNumberFormat="1" applyFont="1" applyFill="1" applyBorder="1" applyAlignment="1">
      <alignment horizontal="center"/>
    </xf>
    <xf numFmtId="177" fontId="6" fillId="5" borderId="46" xfId="0" quotePrefix="1" applyNumberFormat="1" applyFont="1" applyFill="1" applyBorder="1" applyAlignment="1">
      <alignment horizontal="center"/>
    </xf>
    <xf numFmtId="0" fontId="2" fillId="0" borderId="58" xfId="0" applyNumberFormat="1" applyFont="1" applyFill="1" applyBorder="1" applyAlignment="1">
      <alignment horizontal="center"/>
    </xf>
    <xf numFmtId="1" fontId="0" fillId="0" borderId="0" xfId="0" quotePrefix="1" applyNumberFormat="1"/>
    <xf numFmtId="0" fontId="12" fillId="0" borderId="49" xfId="0" applyFont="1" applyFill="1" applyBorder="1" applyAlignment="1">
      <alignment horizontal="center" vertical="center"/>
    </xf>
    <xf numFmtId="49" fontId="41" fillId="0" borderId="13" xfId="0" applyNumberFormat="1" applyFont="1" applyBorder="1" applyAlignment="1">
      <alignment horizontal="center" vertical="center"/>
    </xf>
    <xf numFmtId="49" fontId="41" fillId="0" borderId="0" xfId="0" applyNumberFormat="1" applyFont="1" applyBorder="1" applyAlignment="1">
      <alignment horizontal="center" vertical="center"/>
    </xf>
    <xf numFmtId="49" fontId="18" fillId="0" borderId="0" xfId="0" applyNumberFormat="1" applyFont="1" applyFill="1" applyBorder="1" applyAlignment="1">
      <alignment horizontal="center" vertical="center"/>
    </xf>
    <xf numFmtId="49" fontId="41" fillId="0" borderId="0" xfId="0" applyNumberFormat="1" applyFont="1" applyAlignment="1" applyProtection="1">
      <alignment horizontal="center" vertical="center"/>
    </xf>
    <xf numFmtId="49" fontId="41" fillId="0" borderId="0" xfId="0" applyNumberFormat="1" applyFont="1" applyAlignment="1">
      <alignment horizontal="center"/>
    </xf>
    <xf numFmtId="49" fontId="41" fillId="0" borderId="13" xfId="0" applyNumberFormat="1" applyFont="1" applyFill="1" applyBorder="1" applyAlignment="1">
      <alignment horizontal="center"/>
    </xf>
    <xf numFmtId="49" fontId="41" fillId="0" borderId="0" xfId="0" applyNumberFormat="1" applyFont="1"/>
    <xf numFmtId="2" fontId="10" fillId="48" borderId="22" xfId="0" applyNumberFormat="1" applyFont="1" applyFill="1" applyBorder="1" applyAlignment="1">
      <alignment horizontal="center" vertical="center"/>
    </xf>
    <xf numFmtId="2" fontId="10" fillId="48" borderId="26" xfId="0" applyNumberFormat="1" applyFont="1" applyFill="1" applyBorder="1" applyAlignment="1">
      <alignment horizontal="center" vertical="center"/>
    </xf>
    <xf numFmtId="2" fontId="37" fillId="48" borderId="24" xfId="0" applyNumberFormat="1" applyFont="1" applyFill="1" applyBorder="1" applyAlignment="1">
      <alignment horizontal="center" vertical="center"/>
    </xf>
    <xf numFmtId="2" fontId="37" fillId="48" borderId="25" xfId="0" applyNumberFormat="1" applyFont="1" applyFill="1" applyBorder="1" applyAlignment="1">
      <alignment horizontal="center" vertical="center"/>
    </xf>
    <xf numFmtId="20" fontId="37" fillId="48" borderId="25" xfId="0" applyNumberFormat="1" applyFont="1" applyFill="1" applyBorder="1" applyAlignment="1">
      <alignment horizontal="center" vertical="center"/>
    </xf>
    <xf numFmtId="0" fontId="36" fillId="9" borderId="20" xfId="0" applyFont="1" applyFill="1" applyBorder="1" applyAlignment="1">
      <alignment horizontal="center"/>
    </xf>
    <xf numFmtId="169" fontId="36" fillId="9" borderId="22" xfId="0" applyNumberFormat="1" applyFont="1" applyFill="1" applyBorder="1" applyAlignment="1">
      <alignment horizontal="center"/>
    </xf>
    <xf numFmtId="0" fontId="0" fillId="9" borderId="26" xfId="0" applyFill="1" applyBorder="1"/>
    <xf numFmtId="0" fontId="36" fillId="9" borderId="18" xfId="0" applyFont="1" applyFill="1" applyBorder="1" applyAlignment="1">
      <alignment horizontal="center"/>
    </xf>
    <xf numFmtId="20" fontId="37" fillId="9" borderId="22" xfId="0" applyNumberFormat="1" applyFont="1" applyFill="1" applyBorder="1" applyAlignment="1">
      <alignment horizontal="center"/>
    </xf>
    <xf numFmtId="0" fontId="18" fillId="9" borderId="18" xfId="0" applyFont="1" applyFill="1" applyBorder="1" applyAlignment="1">
      <alignment horizontal="center"/>
    </xf>
    <xf numFmtId="169" fontId="18" fillId="9" borderId="22" xfId="0" applyNumberFormat="1" applyFont="1" applyFill="1" applyBorder="1" applyAlignment="1">
      <alignment horizontal="center"/>
    </xf>
    <xf numFmtId="0" fontId="18" fillId="9" borderId="20" xfId="0" applyFont="1" applyFill="1" applyBorder="1" applyAlignment="1">
      <alignment horizontal="center"/>
    </xf>
    <xf numFmtId="20" fontId="18" fillId="9" borderId="22" xfId="0" applyNumberFormat="1" applyFont="1" applyFill="1" applyBorder="1" applyAlignment="1">
      <alignment horizontal="center"/>
    </xf>
    <xf numFmtId="0" fontId="0" fillId="0" borderId="0" xfId="0" quotePrefix="1"/>
    <xf numFmtId="0" fontId="2" fillId="6" borderId="47" xfId="0" applyFont="1" applyFill="1" applyBorder="1" applyAlignment="1">
      <alignment horizontal="center"/>
    </xf>
    <xf numFmtId="177" fontId="2" fillId="0" borderId="47" xfId="0" applyNumberFormat="1" applyFont="1" applyBorder="1" applyAlignment="1">
      <alignment horizontal="center" vertical="center"/>
    </xf>
    <xf numFmtId="0" fontId="2" fillId="0" borderId="0" xfId="0" applyFont="1" applyFill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Alignment="1">
      <alignment horizontal="left"/>
    </xf>
    <xf numFmtId="0" fontId="2" fillId="0" borderId="0" xfId="0" applyFont="1"/>
    <xf numFmtId="1" fontId="0" fillId="0" borderId="0" xfId="0" applyNumberFormat="1" applyAlignment="1">
      <alignment horizontal="center"/>
    </xf>
    <xf numFmtId="0" fontId="0" fillId="0" borderId="0" xfId="0" applyFill="1" applyBorder="1" applyAlignment="1">
      <alignment horizontal="center"/>
    </xf>
    <xf numFmtId="20" fontId="0" fillId="0" borderId="0" xfId="0" applyNumberFormat="1"/>
    <xf numFmtId="20" fontId="0" fillId="0" borderId="0" xfId="0" applyNumberFormat="1" applyAlignment="1">
      <alignment horizontal="center"/>
    </xf>
    <xf numFmtId="2" fontId="5" fillId="43" borderId="20" xfId="0" applyNumberFormat="1" applyFont="1" applyFill="1" applyBorder="1" applyAlignment="1">
      <alignment horizontal="center"/>
    </xf>
    <xf numFmtId="2" fontId="14" fillId="43" borderId="22" xfId="0" applyNumberFormat="1" applyFont="1" applyFill="1" applyBorder="1" applyAlignment="1">
      <alignment horizontal="center"/>
    </xf>
    <xf numFmtId="168" fontId="15" fillId="43" borderId="22" xfId="0" applyNumberFormat="1" applyFont="1" applyFill="1" applyBorder="1" applyAlignment="1">
      <alignment horizontal="center"/>
    </xf>
    <xf numFmtId="2" fontId="14" fillId="43" borderId="26" xfId="0" applyNumberFormat="1" applyFont="1" applyFill="1" applyBorder="1" applyAlignment="1">
      <alignment horizontal="center"/>
    </xf>
    <xf numFmtId="2" fontId="5" fillId="43" borderId="24" xfId="0" applyNumberFormat="1" applyFont="1" applyFill="1" applyBorder="1" applyAlignment="1">
      <alignment horizontal="center"/>
    </xf>
    <xf numFmtId="2" fontId="14" fillId="43" borderId="25" xfId="0" applyNumberFormat="1" applyFont="1" applyFill="1" applyBorder="1" applyAlignment="1">
      <alignment horizontal="center"/>
    </xf>
    <xf numFmtId="20" fontId="15" fillId="43" borderId="25" xfId="0" applyNumberFormat="1" applyFont="1" applyFill="1" applyBorder="1" applyAlignment="1">
      <alignment horizontal="center"/>
    </xf>
    <xf numFmtId="2" fontId="10" fillId="47" borderId="21" xfId="0" applyNumberFormat="1" applyFont="1" applyFill="1" applyBorder="1" applyAlignment="1">
      <alignment horizontal="center" vertical="center"/>
    </xf>
    <xf numFmtId="2" fontId="10" fillId="47" borderId="14" xfId="0" applyNumberFormat="1" applyFont="1" applyFill="1" applyBorder="1" applyAlignment="1">
      <alignment horizontal="center" vertical="center"/>
    </xf>
    <xf numFmtId="2" fontId="36" fillId="47" borderId="23" xfId="0" applyNumberFormat="1" applyFont="1" applyFill="1" applyBorder="1" applyAlignment="1">
      <alignment horizontal="center" vertical="center"/>
    </xf>
    <xf numFmtId="2" fontId="0" fillId="47" borderId="0" xfId="0" applyNumberFormat="1" applyFill="1" applyBorder="1" applyAlignment="1">
      <alignment horizontal="center" vertical="center"/>
    </xf>
    <xf numFmtId="20" fontId="36" fillId="47" borderId="0" xfId="0" applyNumberFormat="1" applyFont="1" applyFill="1" applyBorder="1" applyAlignment="1">
      <alignment horizontal="center" vertical="center"/>
    </xf>
    <xf numFmtId="2" fontId="5" fillId="47" borderId="26" xfId="0" applyNumberFormat="1" applyFont="1" applyFill="1" applyBorder="1" applyAlignment="1">
      <alignment horizontal="center" vertical="center"/>
    </xf>
    <xf numFmtId="2" fontId="5" fillId="47" borderId="22" xfId="0" applyNumberFormat="1" applyFont="1" applyFill="1" applyBorder="1" applyAlignment="1">
      <alignment horizontal="center" vertical="center"/>
    </xf>
    <xf numFmtId="2" fontId="18" fillId="47" borderId="24" xfId="0" applyNumberFormat="1" applyFont="1" applyFill="1" applyBorder="1" applyAlignment="1">
      <alignment horizontal="center" vertical="center"/>
    </xf>
    <xf numFmtId="2" fontId="18" fillId="47" borderId="25" xfId="0" applyNumberFormat="1" applyFont="1" applyFill="1" applyBorder="1" applyAlignment="1">
      <alignment horizontal="center" vertical="center"/>
    </xf>
    <xf numFmtId="20" fontId="18" fillId="47" borderId="25" xfId="0" applyNumberFormat="1" applyFont="1" applyFill="1" applyBorder="1" applyAlignment="1">
      <alignment horizontal="center" vertical="center"/>
    </xf>
    <xf numFmtId="0" fontId="0" fillId="0" borderId="0" xfId="0" applyAlignment="1"/>
    <xf numFmtId="180" fontId="0" fillId="0" borderId="50" xfId="0" applyNumberFormat="1" applyFill="1" applyBorder="1"/>
    <xf numFmtId="0" fontId="0" fillId="0" borderId="0" xfId="0" applyAlignment="1" applyProtection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Fill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47" xfId="0" applyBorder="1" applyAlignment="1">
      <alignment horizontal="center"/>
    </xf>
    <xf numFmtId="0" fontId="12" fillId="0" borderId="0" xfId="0" applyFont="1" applyFill="1" applyBorder="1" applyAlignment="1">
      <alignment horizontal="center"/>
    </xf>
    <xf numFmtId="0" fontId="0" fillId="0" borderId="0" xfId="0" applyFill="1" applyBorder="1" applyAlignment="1">
      <alignment horizontal="center" vertical="top"/>
    </xf>
    <xf numFmtId="0" fontId="2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0" fillId="0" borderId="0" xfId="0" applyFill="1" applyAlignment="1">
      <alignment horizontal="center"/>
    </xf>
    <xf numFmtId="174" fontId="0" fillId="0" borderId="0" xfId="0" applyNumberFormat="1" applyAlignment="1">
      <alignment horizontal="center"/>
    </xf>
    <xf numFmtId="170" fontId="6" fillId="0" borderId="46" xfId="0" applyNumberFormat="1" applyFont="1" applyFill="1" applyBorder="1" applyAlignment="1">
      <alignment horizontal="center"/>
    </xf>
    <xf numFmtId="0" fontId="0" fillId="2" borderId="59" xfId="0" applyFill="1" applyBorder="1"/>
    <xf numFmtId="0" fontId="4" fillId="0" borderId="44" xfId="0" applyNumberFormat="1" applyFont="1" applyFill="1" applyBorder="1" applyAlignment="1">
      <alignment horizontal="centerContinuous"/>
    </xf>
    <xf numFmtId="0" fontId="0" fillId="9" borderId="3" xfId="0" applyFill="1" applyBorder="1"/>
    <xf numFmtId="0" fontId="0" fillId="2" borderId="7" xfId="0" applyFill="1" applyBorder="1" applyAlignment="1">
      <alignment vertical="center"/>
    </xf>
    <xf numFmtId="0" fontId="0" fillId="2" borderId="7" xfId="0" applyFill="1" applyBorder="1" applyAlignment="1">
      <alignment horizontal="centerContinuous"/>
    </xf>
    <xf numFmtId="0" fontId="2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left" vertical="center" indent="1"/>
    </xf>
    <xf numFmtId="0" fontId="38" fillId="9" borderId="20" xfId="0" applyFont="1" applyFill="1" applyBorder="1" applyAlignment="1">
      <alignment horizontal="center"/>
    </xf>
    <xf numFmtId="169" fontId="38" fillId="9" borderId="22" xfId="0" applyNumberFormat="1" applyFont="1" applyFill="1" applyBorder="1" applyAlignment="1">
      <alignment horizontal="center"/>
    </xf>
    <xf numFmtId="2" fontId="5" fillId="0" borderId="60" xfId="0" applyNumberFormat="1" applyFont="1" applyFill="1" applyBorder="1" applyAlignment="1">
      <alignment horizontal="center"/>
    </xf>
    <xf numFmtId="2" fontId="14" fillId="0" borderId="22" xfId="0" applyNumberFormat="1" applyFont="1" applyFill="1" applyBorder="1" applyAlignment="1">
      <alignment horizontal="center"/>
    </xf>
    <xf numFmtId="20" fontId="15" fillId="0" borderId="22" xfId="0" applyNumberFormat="1" applyFont="1" applyFill="1" applyBorder="1" applyAlignment="1">
      <alignment horizontal="center"/>
    </xf>
    <xf numFmtId="2" fontId="14" fillId="0" borderId="26" xfId="0" applyNumberFormat="1" applyFont="1" applyFill="1" applyBorder="1" applyAlignment="1">
      <alignment horizontal="center"/>
    </xf>
    <xf numFmtId="0" fontId="0" fillId="43" borderId="12" xfId="0" applyFill="1" applyBorder="1" applyAlignment="1">
      <alignment horizontal="centerContinuous" vertical="top"/>
    </xf>
    <xf numFmtId="0" fontId="2" fillId="43" borderId="12" xfId="0" applyFont="1" applyFill="1" applyBorder="1" applyAlignment="1">
      <alignment horizontal="centerContinuous" vertical="center"/>
    </xf>
    <xf numFmtId="0" fontId="12" fillId="0" borderId="0" xfId="0" applyNumberFormat="1" applyFont="1" applyAlignment="1">
      <alignment horizontal="center"/>
    </xf>
    <xf numFmtId="0" fontId="12" fillId="0" borderId="47" xfId="0" applyFont="1" applyFill="1" applyBorder="1" applyAlignment="1">
      <alignment horizontal="center" vertical="center"/>
    </xf>
    <xf numFmtId="0" fontId="0" fillId="9" borderId="22" xfId="0" applyFill="1" applyBorder="1" applyAlignment="1">
      <alignment horizontal="center"/>
    </xf>
    <xf numFmtId="0" fontId="0" fillId="9" borderId="14" xfId="0" applyFill="1" applyBorder="1" applyAlignment="1">
      <alignment horizontal="center"/>
    </xf>
    <xf numFmtId="0" fontId="12" fillId="0" borderId="42" xfId="0" applyFont="1" applyBorder="1" applyAlignment="1">
      <alignment horizontal="center"/>
    </xf>
    <xf numFmtId="1" fontId="7" fillId="2" borderId="9" xfId="0" applyNumberFormat="1" applyFont="1" applyFill="1" applyBorder="1" applyAlignment="1" applyProtection="1">
      <alignment horizontal="center"/>
    </xf>
    <xf numFmtId="164" fontId="7" fillId="2" borderId="0" xfId="0" applyNumberFormat="1" applyFont="1" applyFill="1" applyBorder="1" applyAlignment="1" applyProtection="1">
      <alignment horizontal="center" vertical="center"/>
    </xf>
    <xf numFmtId="164" fontId="7" fillId="2" borderId="9" xfId="0" applyNumberFormat="1" applyFont="1" applyFill="1" applyBorder="1" applyAlignment="1" applyProtection="1">
      <alignment horizontal="center"/>
    </xf>
    <xf numFmtId="0" fontId="6" fillId="2" borderId="8" xfId="0" applyFont="1" applyFill="1" applyBorder="1" applyAlignment="1">
      <alignment horizontal="center"/>
    </xf>
    <xf numFmtId="168" fontId="6" fillId="2" borderId="46" xfId="0" applyNumberFormat="1" applyFont="1" applyFill="1" applyBorder="1" applyAlignment="1">
      <alignment horizontal="center" vertical="center"/>
    </xf>
    <xf numFmtId="0" fontId="2" fillId="51" borderId="0" xfId="0" applyFont="1" applyFill="1"/>
    <xf numFmtId="0" fontId="52" fillId="51" borderId="0" xfId="0" applyFont="1" applyFill="1"/>
    <xf numFmtId="0" fontId="2" fillId="51" borderId="0" xfId="0" applyFont="1" applyFill="1" applyAlignment="1"/>
    <xf numFmtId="0" fontId="42" fillId="51" borderId="0" xfId="0" applyFont="1" applyFill="1"/>
    <xf numFmtId="0" fontId="17" fillId="51" borderId="0" xfId="0" applyFont="1" applyFill="1"/>
    <xf numFmtId="0" fontId="52" fillId="51" borderId="0" xfId="0" quotePrefix="1" applyFont="1" applyFill="1"/>
    <xf numFmtId="177" fontId="52" fillId="51" borderId="0" xfId="0" applyNumberFormat="1" applyFont="1" applyFill="1" applyBorder="1" applyAlignment="1">
      <alignment horizontal="right" vertical="center"/>
    </xf>
    <xf numFmtId="1" fontId="56" fillId="51" borderId="0" xfId="0" applyNumberFormat="1" applyFont="1" applyFill="1" applyBorder="1" applyAlignment="1">
      <alignment horizontal="right"/>
    </xf>
    <xf numFmtId="167" fontId="54" fillId="51" borderId="0" xfId="0" applyNumberFormat="1" applyFont="1" applyFill="1" applyBorder="1" applyAlignment="1">
      <alignment horizontal="right"/>
    </xf>
    <xf numFmtId="173" fontId="59" fillId="51" borderId="0" xfId="0" applyNumberFormat="1" applyFont="1" applyFill="1" applyBorder="1" applyAlignment="1">
      <alignment horizontal="right" vertical="center"/>
    </xf>
    <xf numFmtId="0" fontId="17" fillId="0" borderId="0" xfId="0" applyFont="1" applyFill="1"/>
    <xf numFmtId="172" fontId="6" fillId="0" borderId="46" xfId="0" applyNumberFormat="1" applyFont="1" applyFill="1" applyBorder="1" applyAlignment="1">
      <alignment horizontal="center" vertical="center"/>
    </xf>
    <xf numFmtId="0" fontId="0" fillId="0" borderId="0" xfId="0"/>
    <xf numFmtId="0" fontId="0" fillId="0" borderId="0" xfId="0" applyFill="1"/>
    <xf numFmtId="0" fontId="0" fillId="0" borderId="0" xfId="0" applyAlignment="1">
      <alignment horizontal="center"/>
    </xf>
    <xf numFmtId="20" fontId="0" fillId="0" borderId="0" xfId="0" applyNumberFormat="1" applyAlignment="1">
      <alignment horizontal="center"/>
    </xf>
    <xf numFmtId="0" fontId="0" fillId="42" borderId="0" xfId="0" applyFill="1" applyBorder="1"/>
    <xf numFmtId="0" fontId="0" fillId="42" borderId="0" xfId="0" applyFill="1"/>
    <xf numFmtId="0" fontId="0" fillId="42" borderId="0" xfId="0" applyFill="1" applyBorder="1" applyAlignment="1">
      <alignment horizontal="left" vertical="center" indent="1"/>
    </xf>
    <xf numFmtId="0" fontId="0" fillId="2" borderId="7" xfId="0" applyFill="1" applyBorder="1"/>
    <xf numFmtId="0" fontId="2" fillId="2" borderId="17" xfId="0" applyFont="1" applyFill="1" applyBorder="1"/>
    <xf numFmtId="0" fontId="2" fillId="2" borderId="0" xfId="0" applyFont="1" applyFill="1" applyAlignment="1">
      <alignment horizontal="left" indent="1"/>
    </xf>
    <xf numFmtId="0" fontId="2" fillId="2" borderId="0" xfId="0" applyFont="1" applyFill="1"/>
    <xf numFmtId="172" fontId="2" fillId="2" borderId="0" xfId="0" applyNumberFormat="1" applyFont="1" applyFill="1"/>
    <xf numFmtId="0" fontId="2" fillId="42" borderId="0" xfId="0" applyFont="1" applyFill="1" applyAlignment="1">
      <alignment horizontal="center" vertical="center"/>
    </xf>
    <xf numFmtId="0" fontId="2" fillId="2" borderId="7" xfId="0" applyFont="1" applyFill="1" applyBorder="1"/>
    <xf numFmtId="0" fontId="2" fillId="42" borderId="0" xfId="0" applyFont="1" applyFill="1" applyBorder="1" applyAlignment="1">
      <alignment horizontal="center" vertical="center"/>
    </xf>
    <xf numFmtId="0" fontId="2" fillId="42" borderId="0" xfId="0" applyFont="1" applyFill="1"/>
    <xf numFmtId="173" fontId="2" fillId="2" borderId="0" xfId="0" applyNumberFormat="1" applyFont="1" applyFill="1"/>
    <xf numFmtId="0" fontId="0" fillId="0" borderId="51" xfId="0" applyFill="1" applyBorder="1"/>
    <xf numFmtId="1" fontId="0" fillId="0" borderId="52" xfId="0" applyNumberFormat="1" applyFill="1" applyBorder="1"/>
    <xf numFmtId="0" fontId="0" fillId="0" borderId="53" xfId="0" applyFill="1" applyBorder="1"/>
    <xf numFmtId="1" fontId="0" fillId="0" borderId="53" xfId="0" applyNumberFormat="1" applyFill="1" applyBorder="1"/>
    <xf numFmtId="175" fontId="2" fillId="0" borderId="51" xfId="0" applyNumberFormat="1" applyFont="1" applyFill="1" applyBorder="1" applyAlignment="1">
      <alignment horizontal="left" vertical="center"/>
    </xf>
    <xf numFmtId="1" fontId="2" fillId="0" borderId="52" xfId="0" applyNumberFormat="1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Fill="1"/>
    <xf numFmtId="17" fontId="4" fillId="0" borderId="44" xfId="0" quotePrefix="1" applyNumberFormat="1" applyFont="1" applyFill="1" applyBorder="1" applyAlignment="1">
      <alignment horizontal="centerContinuous"/>
    </xf>
    <xf numFmtId="168" fontId="2" fillId="2" borderId="0" xfId="0" applyNumberFormat="1" applyFont="1" applyFill="1"/>
    <xf numFmtId="0" fontId="63" fillId="0" borderId="0" xfId="0" quotePrefix="1" applyFont="1"/>
    <xf numFmtId="14" fontId="4" fillId="0" borderId="61" xfId="0" applyNumberFormat="1" applyFont="1" applyFill="1" applyBorder="1" applyAlignment="1">
      <alignment horizontal="centerContinuous"/>
    </xf>
    <xf numFmtId="170" fontId="45" fillId="0" borderId="46" xfId="0" applyNumberFormat="1" applyFont="1" applyFill="1" applyBorder="1" applyAlignment="1">
      <alignment horizontal="center"/>
    </xf>
    <xf numFmtId="0" fontId="12" fillId="8" borderId="47" xfId="0" applyFont="1" applyFill="1" applyBorder="1" applyAlignment="1">
      <alignment horizontal="center" vertical="center"/>
    </xf>
    <xf numFmtId="2" fontId="2" fillId="52" borderId="18" xfId="0" applyNumberFormat="1" applyFont="1" applyFill="1" applyBorder="1" applyAlignment="1">
      <alignment horizontal="centerContinuous"/>
    </xf>
    <xf numFmtId="2" fontId="17" fillId="52" borderId="12" xfId="0" applyNumberFormat="1" applyFont="1" applyFill="1" applyBorder="1" applyAlignment="1">
      <alignment horizontal="centerContinuous"/>
    </xf>
    <xf numFmtId="2" fontId="2" fillId="52" borderId="12" xfId="0" applyNumberFormat="1" applyFont="1" applyFill="1" applyBorder="1" applyAlignment="1">
      <alignment horizontal="centerContinuous"/>
    </xf>
    <xf numFmtId="2" fontId="5" fillId="52" borderId="18" xfId="0" applyNumberFormat="1" applyFont="1" applyFill="1" applyBorder="1" applyAlignment="1">
      <alignment horizontal="center"/>
    </xf>
    <xf numFmtId="0" fontId="5" fillId="52" borderId="20" xfId="0" applyFont="1" applyFill="1" applyBorder="1" applyAlignment="1">
      <alignment horizontal="center"/>
    </xf>
    <xf numFmtId="0" fontId="38" fillId="52" borderId="20" xfId="0" applyFont="1" applyFill="1" applyBorder="1" applyAlignment="1">
      <alignment horizontal="center"/>
    </xf>
    <xf numFmtId="2" fontId="1" fillId="52" borderId="20" xfId="0" applyNumberFormat="1" applyFont="1" applyFill="1" applyBorder="1" applyAlignment="1">
      <alignment horizontal="center"/>
    </xf>
    <xf numFmtId="2" fontId="2" fillId="52" borderId="26" xfId="0" applyNumberFormat="1" applyFont="1" applyFill="1" applyBorder="1" applyAlignment="1">
      <alignment horizontal="center"/>
    </xf>
    <xf numFmtId="2" fontId="5" fillId="52" borderId="22" xfId="0" applyNumberFormat="1" applyFont="1" applyFill="1" applyBorder="1" applyAlignment="1">
      <alignment horizontal="center"/>
    </xf>
    <xf numFmtId="20" fontId="18" fillId="52" borderId="22" xfId="0" applyNumberFormat="1" applyFont="1" applyFill="1" applyBorder="1" applyAlignment="1">
      <alignment horizontal="center"/>
    </xf>
    <xf numFmtId="0" fontId="0" fillId="52" borderId="26" xfId="0" applyFill="1" applyBorder="1" applyAlignment="1">
      <alignment horizontal="center"/>
    </xf>
    <xf numFmtId="0" fontId="0" fillId="52" borderId="48" xfId="0" applyFill="1" applyBorder="1" applyAlignment="1">
      <alignment horizontal="center"/>
    </xf>
    <xf numFmtId="0" fontId="2" fillId="52" borderId="22" xfId="0" applyFont="1" applyFill="1" applyBorder="1" applyAlignment="1">
      <alignment horizontal="center"/>
    </xf>
    <xf numFmtId="0" fontId="0" fillId="52" borderId="22" xfId="0" applyFill="1" applyBorder="1" applyAlignment="1">
      <alignment horizontal="center"/>
    </xf>
    <xf numFmtId="0" fontId="0" fillId="52" borderId="26" xfId="0" applyFill="1" applyBorder="1" applyAlignment="1">
      <alignment horizontal="left"/>
    </xf>
    <xf numFmtId="164" fontId="5" fillId="52" borderId="21" xfId="0" applyNumberFormat="1" applyFont="1" applyFill="1" applyBorder="1" applyAlignment="1">
      <alignment horizontal="center"/>
    </xf>
    <xf numFmtId="2" fontId="5" fillId="50" borderId="19" xfId="0" applyNumberFormat="1" applyFont="1" applyFill="1" applyBorder="1" applyAlignment="1">
      <alignment horizontal="center" vertical="center"/>
    </xf>
    <xf numFmtId="2" fontId="18" fillId="50" borderId="24" xfId="0" applyNumberFormat="1" applyFont="1" applyFill="1" applyBorder="1" applyAlignment="1">
      <alignment horizontal="center"/>
    </xf>
    <xf numFmtId="2" fontId="18" fillId="50" borderId="25" xfId="0" applyNumberFormat="1" applyFont="1" applyFill="1" applyBorder="1" applyAlignment="1">
      <alignment horizontal="center"/>
    </xf>
    <xf numFmtId="20" fontId="18" fillId="50" borderId="25" xfId="0" applyNumberFormat="1" applyFont="1" applyFill="1" applyBorder="1" applyAlignment="1">
      <alignment horizontal="center"/>
    </xf>
    <xf numFmtId="2" fontId="5" fillId="50" borderId="25" xfId="0" applyNumberFormat="1" applyFont="1" applyFill="1" applyBorder="1" applyAlignment="1">
      <alignment horizontal="center" vertical="center"/>
    </xf>
    <xf numFmtId="2" fontId="5" fillId="50" borderId="24" xfId="0" applyNumberFormat="1" applyFont="1" applyFill="1" applyBorder="1" applyAlignment="1">
      <alignment horizontal="center" vertical="center"/>
    </xf>
    <xf numFmtId="2" fontId="2" fillId="48" borderId="18" xfId="0" applyNumberFormat="1" applyFont="1" applyFill="1" applyBorder="1" applyAlignment="1">
      <alignment horizontal="centerContinuous" vertical="center"/>
    </xf>
    <xf numFmtId="2" fontId="10" fillId="47" borderId="26" xfId="0" applyNumberFormat="1" applyFont="1" applyFill="1" applyBorder="1" applyAlignment="1">
      <alignment horizontal="center" vertical="center"/>
    </xf>
    <xf numFmtId="2" fontId="5" fillId="52" borderId="60" xfId="0" applyNumberFormat="1" applyFont="1" applyFill="1" applyBorder="1" applyAlignment="1">
      <alignment horizontal="center"/>
    </xf>
    <xf numFmtId="0" fontId="41" fillId="0" borderId="0" xfId="0" quotePrefix="1" applyNumberFormat="1" applyFont="1" applyBorder="1" applyAlignment="1">
      <alignment horizontal="center" vertical="center"/>
    </xf>
    <xf numFmtId="2" fontId="2" fillId="47" borderId="18" xfId="0" applyNumberFormat="1" applyFont="1" applyFill="1" applyBorder="1" applyAlignment="1">
      <alignment horizontal="centerContinuous" vertical="center"/>
    </xf>
    <xf numFmtId="2" fontId="0" fillId="47" borderId="12" xfId="0" applyNumberFormat="1" applyFill="1" applyBorder="1" applyAlignment="1">
      <alignment horizontal="centerContinuous" vertical="center"/>
    </xf>
    <xf numFmtId="2" fontId="17" fillId="47" borderId="19" xfId="0" applyNumberFormat="1" applyFont="1" applyFill="1" applyBorder="1" applyAlignment="1">
      <alignment horizontal="centerContinuous" vertical="center"/>
    </xf>
    <xf numFmtId="2" fontId="2" fillId="47" borderId="12" xfId="0" applyNumberFormat="1" applyFont="1" applyFill="1" applyBorder="1" applyAlignment="1">
      <alignment horizontal="centerContinuous" vertical="center"/>
    </xf>
    <xf numFmtId="2" fontId="2" fillId="47" borderId="19" xfId="0" applyNumberFormat="1" applyFont="1" applyFill="1" applyBorder="1" applyAlignment="1">
      <alignment horizontal="centerContinuous" vertical="center"/>
    </xf>
    <xf numFmtId="0" fontId="0" fillId="0" borderId="62" xfId="0" applyBorder="1" applyAlignment="1">
      <alignment horizontal="center"/>
    </xf>
    <xf numFmtId="2" fontId="17" fillId="48" borderId="12" xfId="0" applyNumberFormat="1" applyFont="1" applyFill="1" applyBorder="1" applyAlignment="1">
      <alignment horizontal="centerContinuous" vertical="center"/>
    </xf>
    <xf numFmtId="2" fontId="17" fillId="48" borderId="19" xfId="0" applyNumberFormat="1" applyFont="1" applyFill="1" applyBorder="1" applyAlignment="1">
      <alignment horizontal="centerContinuous" vertical="center"/>
    </xf>
    <xf numFmtId="2" fontId="2" fillId="50" borderId="12" xfId="0" applyNumberFormat="1" applyFont="1" applyFill="1" applyBorder="1" applyAlignment="1">
      <alignment horizontal="centerContinuous" vertical="center"/>
    </xf>
    <xf numFmtId="2" fontId="2" fillId="50" borderId="19" xfId="0" applyNumberFormat="1" applyFont="1" applyFill="1" applyBorder="1" applyAlignment="1">
      <alignment horizontal="centerContinuous"/>
    </xf>
    <xf numFmtId="2" fontId="0" fillId="43" borderId="19" xfId="0" applyNumberFormat="1" applyFont="1" applyFill="1" applyBorder="1" applyAlignment="1">
      <alignment horizontal="centerContinuous"/>
    </xf>
    <xf numFmtId="2" fontId="0" fillId="43" borderId="18" xfId="0" applyNumberFormat="1" applyFont="1" applyFill="1" applyBorder="1" applyAlignment="1">
      <alignment horizontal="centerContinuous"/>
    </xf>
    <xf numFmtId="20" fontId="6" fillId="0" borderId="0" xfId="0" applyNumberFormat="1" applyFont="1" applyFill="1" applyBorder="1" applyAlignment="1">
      <alignment horizontal="center"/>
    </xf>
    <xf numFmtId="1" fontId="6" fillId="4" borderId="52" xfId="0" applyNumberFormat="1" applyFont="1" applyFill="1" applyBorder="1" applyAlignment="1">
      <alignment horizontal="center" vertical="center"/>
    </xf>
    <xf numFmtId="0" fontId="6" fillId="4" borderId="51" xfId="0" applyFont="1" applyFill="1" applyBorder="1" applyAlignment="1">
      <alignment horizontal="center" vertical="center"/>
    </xf>
    <xf numFmtId="0" fontId="2" fillId="0" borderId="47" xfId="0" applyFont="1" applyFill="1" applyBorder="1" applyAlignment="1">
      <alignment horizontal="center"/>
    </xf>
    <xf numFmtId="169" fontId="6" fillId="10" borderId="56" xfId="0" applyNumberFormat="1" applyFont="1" applyFill="1" applyBorder="1" applyAlignment="1">
      <alignment horizontal="centerContinuous" vertical="center"/>
    </xf>
    <xf numFmtId="169" fontId="6" fillId="10" borderId="57" xfId="0" applyNumberFormat="1" applyFont="1" applyFill="1" applyBorder="1" applyAlignment="1">
      <alignment horizontal="centerContinuous" vertical="center"/>
    </xf>
    <xf numFmtId="169" fontId="16" fillId="10" borderId="55" xfId="0" applyNumberFormat="1" applyFont="1" applyFill="1" applyBorder="1" applyAlignment="1">
      <alignment horizontal="centerContinuous" vertical="center"/>
    </xf>
    <xf numFmtId="0" fontId="62" fillId="0" borderId="0" xfId="43" applyFill="1"/>
    <xf numFmtId="0" fontId="0" fillId="0" borderId="63" xfId="0" applyBorder="1"/>
    <xf numFmtId="0" fontId="0" fillId="54" borderId="0" xfId="0" applyFill="1" applyBorder="1" applyAlignment="1">
      <alignment horizontal="centerContinuous"/>
    </xf>
    <xf numFmtId="165" fontId="6" fillId="2" borderId="46" xfId="0" applyNumberFormat="1" applyFont="1" applyFill="1" applyBorder="1" applyAlignment="1">
      <alignment horizontal="center" vertical="center"/>
    </xf>
    <xf numFmtId="165" fontId="2" fillId="2" borderId="0" xfId="0" applyNumberFormat="1" applyFont="1" applyFill="1"/>
    <xf numFmtId="170" fontId="6" fillId="2" borderId="46" xfId="0" applyNumberFormat="1" applyFont="1" applyFill="1" applyBorder="1" applyAlignment="1">
      <alignment horizontal="center" vertical="center"/>
    </xf>
    <xf numFmtId="164" fontId="16" fillId="55" borderId="46" xfId="0" applyNumberFormat="1" applyFont="1" applyFill="1" applyBorder="1" applyAlignment="1">
      <alignment horizontal="center"/>
    </xf>
    <xf numFmtId="165" fontId="9" fillId="55" borderId="46" xfId="0" applyNumberFormat="1" applyFont="1" applyFill="1" applyBorder="1" applyAlignment="1">
      <alignment horizontal="center"/>
    </xf>
    <xf numFmtId="49" fontId="51" fillId="51" borderId="0" xfId="0" applyNumberFormat="1" applyFont="1" applyFill="1" applyAlignment="1">
      <alignment vertical="center"/>
    </xf>
    <xf numFmtId="0" fontId="52" fillId="0" borderId="0" xfId="0" applyFont="1" applyFill="1"/>
    <xf numFmtId="0" fontId="17" fillId="0" borderId="0" xfId="0" applyFont="1" applyFill="1" applyAlignment="1">
      <alignment horizontal="center"/>
    </xf>
    <xf numFmtId="2" fontId="14" fillId="0" borderId="0" xfId="0" applyNumberFormat="1" applyFont="1" applyFill="1" applyBorder="1" applyAlignment="1">
      <alignment horizontal="center"/>
    </xf>
    <xf numFmtId="20" fontId="15" fillId="0" borderId="0" xfId="0" applyNumberFormat="1" applyFont="1" applyFill="1" applyBorder="1" applyAlignment="1">
      <alignment horizontal="center"/>
    </xf>
    <xf numFmtId="2" fontId="14" fillId="0" borderId="21" xfId="0" applyNumberFormat="1" applyFont="1" applyFill="1" applyBorder="1" applyAlignment="1">
      <alignment horizontal="center"/>
    </xf>
    <xf numFmtId="2" fontId="17" fillId="56" borderId="12" xfId="0" applyNumberFormat="1" applyFont="1" applyFill="1" applyBorder="1" applyAlignment="1">
      <alignment horizontal="centerContinuous" vertical="center"/>
    </xf>
    <xf numFmtId="2" fontId="17" fillId="56" borderId="19" xfId="0" applyNumberFormat="1" applyFont="1" applyFill="1" applyBorder="1" applyAlignment="1">
      <alignment horizontal="centerContinuous" vertical="center"/>
    </xf>
    <xf numFmtId="2" fontId="17" fillId="56" borderId="18" xfId="0" applyNumberFormat="1" applyFont="1" applyFill="1" applyBorder="1" applyAlignment="1">
      <alignment horizontal="centerContinuous" vertical="center"/>
    </xf>
    <xf numFmtId="2" fontId="17" fillId="56" borderId="26" xfId="0" applyNumberFormat="1" applyFont="1" applyFill="1" applyBorder="1" applyAlignment="1">
      <alignment horizontal="center" vertical="center"/>
    </xf>
    <xf numFmtId="2" fontId="17" fillId="0" borderId="22" xfId="0" applyNumberFormat="1" applyFont="1" applyFill="1" applyBorder="1" applyAlignment="1">
      <alignment horizontal="center" vertical="center"/>
    </xf>
    <xf numFmtId="2" fontId="17" fillId="56" borderId="24" xfId="0" applyNumberFormat="1" applyFont="1" applyFill="1" applyBorder="1" applyAlignment="1">
      <alignment horizontal="center" vertical="center"/>
    </xf>
    <xf numFmtId="2" fontId="17" fillId="56" borderId="22" xfId="0" applyNumberFormat="1" applyFont="1" applyFill="1" applyBorder="1" applyAlignment="1">
      <alignment horizontal="center" vertical="center"/>
    </xf>
    <xf numFmtId="2" fontId="17" fillId="56" borderId="25" xfId="0" applyNumberFormat="1" applyFont="1" applyFill="1" applyBorder="1" applyAlignment="1">
      <alignment horizontal="center" vertical="center"/>
    </xf>
    <xf numFmtId="165" fontId="17" fillId="0" borderId="22" xfId="0" applyNumberFormat="1" applyFont="1" applyFill="1" applyBorder="1" applyAlignment="1">
      <alignment horizontal="center" vertical="center"/>
    </xf>
    <xf numFmtId="20" fontId="17" fillId="56" borderId="25" xfId="0" applyNumberFormat="1" applyFont="1" applyFill="1" applyBorder="1" applyAlignment="1">
      <alignment horizontal="center" vertical="center"/>
    </xf>
    <xf numFmtId="2" fontId="5" fillId="0" borderId="22" xfId="0" applyNumberFormat="1" applyFont="1" applyFill="1" applyBorder="1" applyAlignment="1">
      <alignment horizontal="center"/>
    </xf>
    <xf numFmtId="2" fontId="0" fillId="0" borderId="0" xfId="0" applyNumberFormat="1" applyFont="1" applyFill="1" applyBorder="1" applyAlignment="1">
      <alignment horizontal="centerContinuous"/>
    </xf>
    <xf numFmtId="2" fontId="0" fillId="43" borderId="12" xfId="0" applyNumberFormat="1" applyFont="1" applyFill="1" applyBorder="1" applyAlignment="1">
      <alignment horizontal="center"/>
    </xf>
    <xf numFmtId="182" fontId="6" fillId="54" borderId="44" xfId="0" applyNumberFormat="1" applyFont="1" applyFill="1" applyBorder="1" applyAlignment="1">
      <alignment horizontal="centerContinuous" vertical="center"/>
    </xf>
    <xf numFmtId="49" fontId="51" fillId="0" borderId="0" xfId="0" applyNumberFormat="1" applyFont="1" applyFill="1" applyAlignment="1">
      <alignment vertical="center"/>
    </xf>
    <xf numFmtId="0" fontId="52" fillId="0" borderId="0" xfId="0" applyFont="1" applyFill="1" applyBorder="1"/>
    <xf numFmtId="0" fontId="56" fillId="0" borderId="0" xfId="0" applyFont="1" applyFill="1" applyBorder="1" applyAlignment="1">
      <alignment horizontal="center" vertical="center"/>
    </xf>
    <xf numFmtId="0" fontId="53" fillId="0" borderId="0" xfId="0" applyFont="1" applyFill="1" applyBorder="1" applyAlignment="1">
      <alignment horizontal="center" vertical="center" wrapText="1"/>
    </xf>
    <xf numFmtId="0" fontId="57" fillId="0" borderId="0" xfId="0" applyFont="1" applyFill="1" applyBorder="1" applyAlignment="1">
      <alignment horizontal="center"/>
    </xf>
    <xf numFmtId="0" fontId="57" fillId="0" borderId="0" xfId="0" applyFont="1" applyFill="1" applyBorder="1" applyAlignment="1">
      <alignment horizontal="center" vertical="center"/>
    </xf>
    <xf numFmtId="0" fontId="56" fillId="0" borderId="0" xfId="0" applyNumberFormat="1" applyFont="1" applyFill="1" applyBorder="1" applyAlignment="1">
      <alignment horizontal="center"/>
    </xf>
    <xf numFmtId="0" fontId="57" fillId="0" borderId="0" xfId="0" applyNumberFormat="1" applyFont="1" applyFill="1" applyBorder="1" applyAlignment="1">
      <alignment horizontal="center"/>
    </xf>
    <xf numFmtId="0" fontId="58" fillId="0" borderId="0" xfId="0" applyNumberFormat="1" applyFont="1" applyFill="1" applyBorder="1" applyAlignment="1">
      <alignment horizontal="center"/>
    </xf>
    <xf numFmtId="0" fontId="62" fillId="0" borderId="0" xfId="43"/>
    <xf numFmtId="173" fontId="10" fillId="47" borderId="14" xfId="0" applyNumberFormat="1" applyFont="1" applyFill="1" applyBorder="1" applyAlignment="1">
      <alignment horizontal="center" vertical="center"/>
    </xf>
    <xf numFmtId="173" fontId="5" fillId="47" borderId="22" xfId="0" applyNumberFormat="1" applyFont="1" applyFill="1" applyBorder="1" applyAlignment="1">
      <alignment horizontal="center" vertical="center"/>
    </xf>
    <xf numFmtId="165" fontId="5" fillId="50" borderId="25" xfId="0" applyNumberFormat="1" applyFont="1" applyFill="1" applyBorder="1" applyAlignment="1">
      <alignment horizontal="center" vertical="center"/>
    </xf>
    <xf numFmtId="165" fontId="10" fillId="48" borderId="22" xfId="0" applyNumberFormat="1" applyFont="1" applyFill="1" applyBorder="1" applyAlignment="1">
      <alignment horizontal="center" vertical="center"/>
    </xf>
    <xf numFmtId="167" fontId="5" fillId="52" borderId="22" xfId="0" applyNumberFormat="1" applyFont="1" applyFill="1" applyBorder="1" applyAlignment="1">
      <alignment horizontal="center"/>
    </xf>
    <xf numFmtId="165" fontId="17" fillId="56" borderId="22" xfId="0" applyNumberFormat="1" applyFont="1" applyFill="1" applyBorder="1" applyAlignment="1">
      <alignment horizontal="center" vertical="center"/>
    </xf>
    <xf numFmtId="167" fontId="38" fillId="52" borderId="22" xfId="0" applyNumberFormat="1" applyFont="1" applyFill="1" applyBorder="1" applyAlignment="1">
      <alignment horizontal="center"/>
    </xf>
    <xf numFmtId="0" fontId="62" fillId="0" borderId="0" xfId="43" applyAlignment="1" applyProtection="1"/>
    <xf numFmtId="170" fontId="6" fillId="8" borderId="20" xfId="0" applyNumberFormat="1" applyFont="1" applyFill="1" applyBorder="1" applyAlignment="1">
      <alignment horizontal="center"/>
    </xf>
    <xf numFmtId="0" fontId="0" fillId="0" borderId="0" xfId="0"/>
    <xf numFmtId="20" fontId="0" fillId="0" borderId="0" xfId="0" applyNumberFormat="1"/>
    <xf numFmtId="0" fontId="2" fillId="0" borderId="27" xfId="0" applyNumberFormat="1" applyFont="1" applyFill="1" applyBorder="1" applyAlignment="1">
      <alignment horizontal="center"/>
    </xf>
    <xf numFmtId="0" fontId="0" fillId="0" borderId="49" xfId="0" applyBorder="1"/>
    <xf numFmtId="0" fontId="0" fillId="0" borderId="27" xfId="0" applyBorder="1"/>
    <xf numFmtId="0" fontId="0" fillId="0" borderId="68" xfId="0" applyBorder="1"/>
    <xf numFmtId="0" fontId="2" fillId="0" borderId="68" xfId="0" applyNumberFormat="1" applyFont="1" applyFill="1" applyBorder="1" applyAlignment="1">
      <alignment horizontal="center"/>
    </xf>
    <xf numFmtId="170" fontId="0" fillId="0" borderId="0" xfId="0" applyNumberFormat="1" applyAlignment="1">
      <alignment horizontal="center"/>
    </xf>
    <xf numFmtId="0" fontId="67" fillId="0" borderId="0" xfId="0" applyFont="1" applyAlignment="1">
      <alignment horizontal="left" vertical="center" wrapText="1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2" fontId="17" fillId="52" borderId="12" xfId="0" applyNumberFormat="1" applyFont="1" applyFill="1" applyBorder="1" applyAlignment="1">
      <alignment horizontal="center"/>
    </xf>
    <xf numFmtId="0" fontId="0" fillId="0" borderId="47" xfId="0" applyBorder="1" applyAlignment="1">
      <alignment horizontal="center" vertical="center"/>
    </xf>
    <xf numFmtId="0" fontId="0" fillId="0" borderId="74" xfId="0" applyBorder="1"/>
    <xf numFmtId="2" fontId="0" fillId="0" borderId="27" xfId="0" applyNumberFormat="1" applyBorder="1"/>
    <xf numFmtId="2" fontId="0" fillId="0" borderId="68" xfId="0" applyNumberFormat="1" applyBorder="1"/>
    <xf numFmtId="0" fontId="0" fillId="0" borderId="27" xfId="0" applyBorder="1" applyAlignment="1">
      <alignment horizontal="center"/>
    </xf>
    <xf numFmtId="0" fontId="68" fillId="0" borderId="23" xfId="0" applyFont="1" applyFill="1" applyBorder="1" applyAlignment="1">
      <alignment horizontal="center" vertical="center"/>
    </xf>
    <xf numFmtId="0" fontId="41" fillId="0" borderId="23" xfId="0" applyFont="1" applyFill="1" applyBorder="1" applyAlignment="1">
      <alignment vertical="center"/>
    </xf>
    <xf numFmtId="0" fontId="41" fillId="0" borderId="0" xfId="0" applyFont="1" applyFill="1" applyBorder="1" applyAlignment="1">
      <alignment vertical="center"/>
    </xf>
    <xf numFmtId="0" fontId="41" fillId="0" borderId="0" xfId="0" applyFont="1" applyFill="1" applyBorder="1" applyAlignment="1">
      <alignment horizontal="center" vertical="center"/>
    </xf>
    <xf numFmtId="0" fontId="41" fillId="0" borderId="23" xfId="0" applyFont="1" applyFill="1" applyBorder="1" applyAlignment="1">
      <alignment horizontal="center" vertical="center"/>
    </xf>
    <xf numFmtId="0" fontId="68" fillId="0" borderId="23" xfId="0" applyFont="1" applyFill="1" applyBorder="1" applyAlignment="1">
      <alignment vertical="center"/>
    </xf>
    <xf numFmtId="0" fontId="41" fillId="0" borderId="23" xfId="0" applyFont="1" applyFill="1" applyBorder="1" applyAlignment="1">
      <alignment horizontal="center"/>
    </xf>
    <xf numFmtId="0" fontId="68" fillId="0" borderId="23" xfId="0" applyFont="1" applyFill="1" applyBorder="1" applyAlignment="1"/>
    <xf numFmtId="0" fontId="68" fillId="0" borderId="23" xfId="0" applyFont="1" applyFill="1" applyBorder="1" applyAlignment="1">
      <alignment horizontal="center"/>
    </xf>
    <xf numFmtId="0" fontId="41" fillId="0" borderId="0" xfId="0" applyFont="1" applyFill="1" applyBorder="1" applyAlignment="1">
      <alignment horizontal="centerContinuous"/>
    </xf>
    <xf numFmtId="0" fontId="41" fillId="0" borderId="23" xfId="0" applyFont="1" applyFill="1" applyBorder="1" applyAlignment="1">
      <alignment horizontal="centerContinuous"/>
    </xf>
    <xf numFmtId="0" fontId="32" fillId="0" borderId="0" xfId="0" applyFont="1" applyAlignment="1">
      <alignment horizontal="centerContinuous"/>
    </xf>
    <xf numFmtId="0" fontId="32" fillId="0" borderId="0" xfId="0" applyFont="1" applyAlignment="1">
      <alignment horizontal="center"/>
    </xf>
    <xf numFmtId="0" fontId="52" fillId="51" borderId="70" xfId="0" applyFont="1" applyFill="1" applyBorder="1"/>
    <xf numFmtId="0" fontId="2" fillId="51" borderId="39" xfId="0" applyFont="1" applyFill="1" applyBorder="1" applyAlignment="1">
      <alignment horizontal="centerContinuous"/>
    </xf>
    <xf numFmtId="0" fontId="52" fillId="51" borderId="39" xfId="0" applyFont="1" applyFill="1" applyBorder="1"/>
    <xf numFmtId="0" fontId="52" fillId="51" borderId="65" xfId="0" applyFont="1" applyFill="1" applyBorder="1"/>
    <xf numFmtId="0" fontId="44" fillId="51" borderId="0" xfId="0" applyFont="1" applyFill="1" applyBorder="1" applyAlignment="1">
      <alignment horizontal="centerContinuous" vertical="top"/>
    </xf>
    <xf numFmtId="0" fontId="52" fillId="51" borderId="0" xfId="0" applyFont="1" applyFill="1" applyBorder="1"/>
    <xf numFmtId="0" fontId="42" fillId="51" borderId="0" xfId="0" applyFont="1" applyFill="1" applyBorder="1"/>
    <xf numFmtId="0" fontId="44" fillId="51" borderId="0" xfId="0" applyFont="1" applyFill="1" applyBorder="1" applyAlignment="1">
      <alignment horizontal="centerContinuous"/>
    </xf>
    <xf numFmtId="0" fontId="17" fillId="51" borderId="0" xfId="0" applyFont="1" applyFill="1" applyBorder="1" applyAlignment="1">
      <alignment horizontal="centerContinuous"/>
    </xf>
    <xf numFmtId="164" fontId="53" fillId="51" borderId="64" xfId="0" applyNumberFormat="1" applyFont="1" applyFill="1" applyBorder="1" applyAlignment="1">
      <alignment horizontal="right" vertical="center"/>
    </xf>
    <xf numFmtId="0" fontId="46" fillId="48" borderId="0" xfId="0" applyFont="1" applyFill="1" applyBorder="1" applyAlignment="1">
      <alignment horizontal="center"/>
    </xf>
    <xf numFmtId="0" fontId="35" fillId="51" borderId="0" xfId="0" applyFont="1" applyFill="1" applyBorder="1" applyAlignment="1">
      <alignment horizontal="left" indent="15"/>
    </xf>
    <xf numFmtId="0" fontId="17" fillId="51" borderId="0" xfId="0" applyFont="1" applyFill="1" applyBorder="1"/>
    <xf numFmtId="0" fontId="53" fillId="51" borderId="64" xfId="0" applyFont="1" applyFill="1" applyBorder="1" applyAlignment="1">
      <alignment horizontal="right" vertical="center"/>
    </xf>
    <xf numFmtId="0" fontId="53" fillId="51" borderId="65" xfId="0" applyFont="1" applyFill="1" applyBorder="1"/>
    <xf numFmtId="0" fontId="17" fillId="0" borderId="0" xfId="0" applyFont="1" applyBorder="1"/>
    <xf numFmtId="0" fontId="17" fillId="49" borderId="0" xfId="0" applyFont="1" applyFill="1" applyBorder="1"/>
    <xf numFmtId="0" fontId="47" fillId="48" borderId="0" xfId="0" applyFont="1" applyFill="1" applyBorder="1" applyAlignment="1">
      <alignment horizontal="center"/>
    </xf>
    <xf numFmtId="0" fontId="61" fillId="51" borderId="0" xfId="0" applyFont="1" applyFill="1" applyBorder="1" applyAlignment="1">
      <alignment horizontal="left" vertical="center" indent="15"/>
    </xf>
    <xf numFmtId="0" fontId="60" fillId="51" borderId="64" xfId="0" applyFont="1" applyFill="1" applyBorder="1" applyAlignment="1">
      <alignment horizontal="center" vertical="center"/>
    </xf>
    <xf numFmtId="0" fontId="43" fillId="51" borderId="0" xfId="0" applyFont="1" applyFill="1" applyBorder="1"/>
    <xf numFmtId="173" fontId="59" fillId="51" borderId="64" xfId="0" applyNumberFormat="1" applyFont="1" applyFill="1" applyBorder="1" applyAlignment="1">
      <alignment horizontal="right" vertical="center"/>
    </xf>
    <xf numFmtId="0" fontId="55" fillId="51" borderId="65" xfId="0" applyFont="1" applyFill="1" applyBorder="1" applyAlignment="1">
      <alignment horizontal="center" vertical="center"/>
    </xf>
    <xf numFmtId="0" fontId="35" fillId="51" borderId="0" xfId="0" applyFont="1" applyFill="1" applyBorder="1" applyAlignment="1">
      <alignment horizontal="left" vertical="top" indent="15"/>
    </xf>
    <xf numFmtId="0" fontId="52" fillId="51" borderId="64" xfId="0" applyFont="1" applyFill="1" applyBorder="1"/>
    <xf numFmtId="0" fontId="35" fillId="51" borderId="0" xfId="0" applyFont="1" applyFill="1" applyBorder="1"/>
    <xf numFmtId="20" fontId="53" fillId="51" borderId="64" xfId="0" applyNumberFormat="1" applyFont="1" applyFill="1" applyBorder="1"/>
    <xf numFmtId="0" fontId="40" fillId="48" borderId="0" xfId="0" applyFont="1" applyFill="1" applyBorder="1" applyAlignment="1">
      <alignment horizontal="center"/>
    </xf>
    <xf numFmtId="0" fontId="17" fillId="51" borderId="0" xfId="0" applyFont="1" applyFill="1" applyBorder="1" applyAlignment="1">
      <alignment horizontal="right"/>
    </xf>
    <xf numFmtId="172" fontId="54" fillId="51" borderId="64" xfId="0" applyNumberFormat="1" applyFont="1" applyFill="1" applyBorder="1"/>
    <xf numFmtId="177" fontId="48" fillId="48" borderId="0" xfId="0" applyNumberFormat="1" applyFont="1" applyFill="1" applyBorder="1" applyAlignment="1" applyProtection="1">
      <alignment horizontal="left" vertical="top" indent="3"/>
      <protection locked="0"/>
    </xf>
    <xf numFmtId="0" fontId="2" fillId="48" borderId="0" xfId="0" applyFont="1" applyFill="1" applyBorder="1"/>
    <xf numFmtId="0" fontId="2" fillId="51" borderId="0" xfId="0" applyFont="1" applyFill="1" applyBorder="1"/>
    <xf numFmtId="178" fontId="52" fillId="51" borderId="0" xfId="0" applyNumberFormat="1" applyFont="1" applyFill="1" applyBorder="1"/>
    <xf numFmtId="0" fontId="52" fillId="51" borderId="72" xfId="0" applyFont="1" applyFill="1" applyBorder="1"/>
    <xf numFmtId="0" fontId="2" fillId="51" borderId="66" xfId="0" applyFont="1" applyFill="1" applyBorder="1"/>
    <xf numFmtId="0" fontId="52" fillId="51" borderId="66" xfId="0" applyFont="1" applyFill="1" applyBorder="1"/>
    <xf numFmtId="0" fontId="17" fillId="51" borderId="66" xfId="0" applyFont="1" applyFill="1" applyBorder="1"/>
    <xf numFmtId="0" fontId="52" fillId="51" borderId="73" xfId="0" applyFont="1" applyFill="1" applyBorder="1"/>
    <xf numFmtId="20" fontId="41" fillId="0" borderId="0" xfId="0" applyNumberFormat="1" applyFont="1" applyFill="1" applyBorder="1" applyAlignment="1">
      <alignment horizontal="center" vertical="center"/>
    </xf>
    <xf numFmtId="20" fontId="41" fillId="0" borderId="23" xfId="0" applyNumberFormat="1" applyFont="1" applyFill="1" applyBorder="1" applyAlignment="1">
      <alignment vertical="center"/>
    </xf>
    <xf numFmtId="20" fontId="32" fillId="0" borderId="0" xfId="0" applyNumberFormat="1" applyFont="1" applyAlignment="1">
      <alignment horizontal="center"/>
    </xf>
    <xf numFmtId="20" fontId="68" fillId="0" borderId="23" xfId="0" applyNumberFormat="1" applyFont="1" applyFill="1" applyBorder="1" applyAlignment="1">
      <alignment horizontal="center" vertical="center"/>
    </xf>
    <xf numFmtId="170" fontId="4" fillId="53" borderId="6" xfId="0" applyNumberFormat="1" applyFont="1" applyFill="1" applyBorder="1" applyAlignment="1" applyProtection="1">
      <alignment horizontal="center"/>
    </xf>
    <xf numFmtId="181" fontId="10" fillId="53" borderId="76" xfId="0" applyNumberFormat="1" applyFont="1" applyFill="1" applyBorder="1" applyAlignment="1">
      <alignment vertical="center"/>
    </xf>
    <xf numFmtId="170" fontId="4" fillId="53" borderId="47" xfId="0" applyNumberFormat="1" applyFont="1" applyFill="1" applyBorder="1" applyAlignment="1" applyProtection="1">
      <alignment horizontal="center"/>
    </xf>
    <xf numFmtId="0" fontId="0" fillId="0" borderId="27" xfId="0" applyNumberFormat="1" applyBorder="1"/>
    <xf numFmtId="174" fontId="62" fillId="0" borderId="0" xfId="43" applyNumberFormat="1" applyAlignment="1">
      <alignment horizontal="center"/>
    </xf>
    <xf numFmtId="0" fontId="69" fillId="8" borderId="47" xfId="0" applyFont="1" applyFill="1" applyBorder="1" applyAlignment="1"/>
    <xf numFmtId="0" fontId="69" fillId="0" borderId="47" xfId="0" applyFont="1" applyBorder="1" applyAlignment="1">
      <alignment horizontal="center"/>
    </xf>
    <xf numFmtId="0" fontId="0" fillId="0" borderId="0" xfId="0" applyAlignment="1">
      <alignment horizontal="right"/>
    </xf>
    <xf numFmtId="0" fontId="0" fillId="0" borderId="0" xfId="0" applyNumberFormat="1" applyFill="1" applyAlignment="1">
      <alignment horizontal="center"/>
    </xf>
    <xf numFmtId="2" fontId="0" fillId="0" borderId="0" xfId="0" applyNumberFormat="1"/>
    <xf numFmtId="183" fontId="53" fillId="51" borderId="71" xfId="0" applyNumberFormat="1" applyFont="1" applyFill="1" applyBorder="1" applyAlignment="1">
      <alignment horizontal="right" vertical="center"/>
    </xf>
    <xf numFmtId="164" fontId="6" fillId="54" borderId="45" xfId="0" applyNumberFormat="1" applyFont="1" applyFill="1" applyBorder="1" applyAlignment="1" applyProtection="1">
      <alignment horizontal="right" vertical="center"/>
    </xf>
    <xf numFmtId="49" fontId="0" fillId="0" borderId="0" xfId="0" applyNumberFormat="1"/>
    <xf numFmtId="0" fontId="0" fillId="2" borderId="77" xfId="0" applyFill="1" applyBorder="1"/>
    <xf numFmtId="0" fontId="0" fillId="2" borderId="78" xfId="0" applyFill="1" applyBorder="1" applyAlignment="1">
      <alignment vertical="center"/>
    </xf>
    <xf numFmtId="0" fontId="19" fillId="9" borderId="78" xfId="0" applyFont="1" applyFill="1" applyBorder="1" applyAlignment="1">
      <alignment horizontal="center" vertical="center"/>
    </xf>
    <xf numFmtId="0" fontId="2" fillId="0" borderId="23" xfId="0" applyFont="1" applyFill="1" applyBorder="1" applyAlignment="1">
      <alignment horizontal="left"/>
    </xf>
    <xf numFmtId="0" fontId="0" fillId="0" borderId="75" xfId="0" quotePrefix="1" applyFill="1" applyBorder="1" applyAlignment="1">
      <alignment horizontal="left" vertical="center"/>
    </xf>
    <xf numFmtId="0" fontId="17" fillId="0" borderId="27" xfId="0" applyFont="1" applyFill="1" applyBorder="1"/>
    <xf numFmtId="0" fontId="2" fillId="0" borderId="27" xfId="0" applyFont="1" applyFill="1" applyBorder="1"/>
    <xf numFmtId="0" fontId="2" fillId="0" borderId="68" xfId="0" applyFont="1" applyFill="1" applyBorder="1"/>
    <xf numFmtId="0" fontId="2" fillId="0" borderId="79" xfId="0" applyFont="1" applyFill="1" applyBorder="1" applyAlignment="1">
      <alignment horizontal="center"/>
    </xf>
    <xf numFmtId="0" fontId="17" fillId="0" borderId="0" xfId="0" applyFont="1" applyAlignment="1">
      <alignment horizontal="center"/>
    </xf>
    <xf numFmtId="20" fontId="39" fillId="0" borderId="0" xfId="0" applyNumberFormat="1" applyFont="1" applyFill="1" applyBorder="1" applyAlignment="1">
      <alignment horizontal="center"/>
    </xf>
    <xf numFmtId="0" fontId="35" fillId="0" borderId="0" xfId="0" applyFont="1" applyFill="1" applyBorder="1" applyAlignment="1">
      <alignment horizontal="center"/>
    </xf>
    <xf numFmtId="176" fontId="39" fillId="0" borderId="0" xfId="0" applyNumberFormat="1" applyFont="1" applyFill="1" applyBorder="1" applyAlignment="1">
      <alignment horizontal="center"/>
    </xf>
    <xf numFmtId="173" fontId="49" fillId="0" borderId="0" xfId="0" applyNumberFormat="1" applyFont="1" applyFill="1" applyBorder="1" applyAlignment="1">
      <alignment horizontal="center" vertical="center"/>
    </xf>
    <xf numFmtId="0" fontId="2" fillId="0" borderId="69" xfId="0" applyFont="1" applyFill="1" applyBorder="1" applyAlignment="1">
      <alignment horizontal="center"/>
    </xf>
    <xf numFmtId="0" fontId="2" fillId="0" borderId="69" xfId="0" applyFont="1" applyBorder="1" applyAlignment="1">
      <alignment horizontal="center"/>
    </xf>
    <xf numFmtId="0" fontId="2" fillId="0" borderId="79" xfId="0" applyFont="1" applyBorder="1" applyAlignment="1">
      <alignment horizontal="center"/>
    </xf>
    <xf numFmtId="178" fontId="2" fillId="0" borderId="79" xfId="0" applyNumberFormat="1" applyFont="1" applyFill="1" applyBorder="1" applyAlignment="1">
      <alignment horizontal="center"/>
    </xf>
    <xf numFmtId="178" fontId="2" fillId="0" borderId="80" xfId="0" applyNumberFormat="1" applyFont="1" applyFill="1" applyBorder="1" applyAlignment="1">
      <alignment horizontal="center"/>
    </xf>
    <xf numFmtId="178" fontId="2" fillId="0" borderId="79" xfId="0" applyNumberFormat="1" applyFont="1" applyBorder="1" applyAlignment="1">
      <alignment horizontal="center"/>
    </xf>
    <xf numFmtId="178" fontId="2" fillId="0" borderId="80" xfId="0" applyNumberFormat="1" applyFont="1" applyBorder="1" applyAlignment="1">
      <alignment horizontal="center"/>
    </xf>
    <xf numFmtId="167" fontId="2" fillId="0" borderId="79" xfId="0" applyNumberFormat="1" applyFont="1" applyBorder="1" applyAlignment="1">
      <alignment horizontal="center"/>
    </xf>
    <xf numFmtId="167" fontId="2" fillId="0" borderId="80" xfId="0" applyNumberFormat="1" applyFont="1" applyBorder="1" applyAlignment="1">
      <alignment horizontal="center"/>
    </xf>
    <xf numFmtId="185" fontId="2" fillId="0" borderId="79" xfId="0" applyNumberFormat="1" applyFont="1" applyBorder="1" applyAlignment="1">
      <alignment horizontal="center"/>
    </xf>
    <xf numFmtId="185" fontId="2" fillId="0" borderId="80" xfId="0" applyNumberFormat="1" applyFont="1" applyBorder="1" applyAlignment="1">
      <alignment horizontal="center"/>
    </xf>
    <xf numFmtId="0" fontId="2" fillId="57" borderId="47" xfId="0" applyFont="1" applyFill="1" applyBorder="1" applyAlignment="1">
      <alignment horizontal="center"/>
    </xf>
    <xf numFmtId="0" fontId="2" fillId="57" borderId="69" xfId="0" applyFont="1" applyFill="1" applyBorder="1" applyAlignment="1">
      <alignment horizontal="center"/>
    </xf>
    <xf numFmtId="0" fontId="2" fillId="57" borderId="27" xfId="0" applyFont="1" applyFill="1" applyBorder="1"/>
    <xf numFmtId="0" fontId="2" fillId="57" borderId="79" xfId="0" applyFont="1" applyFill="1" applyBorder="1" applyAlignment="1">
      <alignment horizontal="center"/>
    </xf>
    <xf numFmtId="179" fontId="2" fillId="57" borderId="79" xfId="0" applyNumberFormat="1" applyFont="1" applyFill="1" applyBorder="1" applyAlignment="1">
      <alignment horizontal="center"/>
    </xf>
    <xf numFmtId="0" fontId="2" fillId="57" borderId="68" xfId="0" applyFont="1" applyFill="1" applyBorder="1"/>
    <xf numFmtId="179" fontId="2" fillId="57" borderId="80" xfId="0" applyNumberFormat="1" applyFont="1" applyFill="1" applyBorder="1" applyAlignment="1">
      <alignment horizontal="center"/>
    </xf>
    <xf numFmtId="178" fontId="2" fillId="0" borderId="47" xfId="0" applyNumberFormat="1" applyFont="1" applyFill="1" applyBorder="1" applyAlignment="1">
      <alignment horizontal="center"/>
    </xf>
    <xf numFmtId="167" fontId="2" fillId="0" borderId="47" xfId="0" applyNumberFormat="1" applyFont="1" applyBorder="1" applyAlignment="1">
      <alignment horizontal="center"/>
    </xf>
    <xf numFmtId="170" fontId="2" fillId="0" borderId="47" xfId="0" applyNumberFormat="1" applyFont="1" applyFill="1" applyBorder="1" applyAlignment="1">
      <alignment horizontal="center"/>
    </xf>
    <xf numFmtId="179" fontId="2" fillId="57" borderId="47" xfId="0" applyNumberFormat="1" applyFont="1" applyFill="1" applyBorder="1" applyAlignment="1">
      <alignment horizontal="center"/>
    </xf>
    <xf numFmtId="20" fontId="0" fillId="0" borderId="0" xfId="0" applyNumberFormat="1" applyAlignment="1">
      <alignment horizontal="right"/>
    </xf>
    <xf numFmtId="170" fontId="2" fillId="0" borderId="14" xfId="0" applyNumberFormat="1" applyFont="1" applyFill="1" applyBorder="1" applyAlignment="1">
      <alignment horizontal="center"/>
    </xf>
    <xf numFmtId="49" fontId="0" fillId="0" borderId="75" xfId="0" quotePrefix="1" applyNumberFormat="1" applyFill="1" applyBorder="1" applyAlignment="1">
      <alignment horizontal="left" vertical="center"/>
    </xf>
    <xf numFmtId="0" fontId="0" fillId="8" borderId="0" xfId="0" applyFill="1"/>
    <xf numFmtId="49" fontId="35" fillId="10" borderId="75" xfId="0" quotePrefix="1" applyNumberFormat="1" applyFont="1" applyFill="1" applyBorder="1" applyAlignment="1">
      <alignment horizontal="left" vertical="center"/>
    </xf>
    <xf numFmtId="0" fontId="35" fillId="10" borderId="0" xfId="0" applyFont="1" applyFill="1" applyAlignment="1">
      <alignment vertical="center"/>
    </xf>
    <xf numFmtId="0" fontId="35" fillId="10" borderId="0" xfId="0" applyFont="1" applyFill="1" applyAlignment="1">
      <alignment horizontal="center" vertical="center"/>
    </xf>
    <xf numFmtId="20" fontId="35" fillId="10" borderId="0" xfId="0" applyNumberFormat="1" applyFont="1" applyFill="1" applyAlignment="1">
      <alignment horizontal="center"/>
    </xf>
    <xf numFmtId="0" fontId="35" fillId="10" borderId="0" xfId="0" applyFont="1" applyFill="1" applyAlignment="1">
      <alignment horizontal="center"/>
    </xf>
    <xf numFmtId="0" fontId="64" fillId="8" borderId="0" xfId="0" applyFont="1" applyFill="1"/>
    <xf numFmtId="0" fontId="0" fillId="9" borderId="18" xfId="0" applyFill="1" applyBorder="1" applyAlignment="1">
      <alignment horizontal="center" vertical="top"/>
    </xf>
    <xf numFmtId="0" fontId="0" fillId="9" borderId="12" xfId="0" applyFill="1" applyBorder="1" applyAlignment="1">
      <alignment horizontal="center" vertical="top"/>
    </xf>
    <xf numFmtId="0" fontId="0" fillId="9" borderId="19" xfId="0" applyFill="1" applyBorder="1" applyAlignment="1">
      <alignment horizontal="center" vertical="top"/>
    </xf>
    <xf numFmtId="184" fontId="70" fillId="54" borderId="45" xfId="0" applyNumberFormat="1" applyFont="1" applyFill="1" applyBorder="1" applyAlignment="1">
      <alignment horizontal="center" vertical="center"/>
    </xf>
    <xf numFmtId="184" fontId="71" fillId="53" borderId="44" xfId="0" applyNumberFormat="1" applyFont="1" applyFill="1" applyBorder="1" applyAlignment="1">
      <alignment horizontal="center"/>
    </xf>
    <xf numFmtId="184" fontId="71" fillId="53" borderId="6" xfId="0" applyNumberFormat="1" applyFont="1" applyFill="1" applyBorder="1" applyAlignment="1">
      <alignment horizontal="center"/>
    </xf>
    <xf numFmtId="14" fontId="8" fillId="0" borderId="44" xfId="0" applyNumberFormat="1" applyFont="1" applyFill="1" applyBorder="1" applyAlignment="1">
      <alignment horizontal="center"/>
    </xf>
    <xf numFmtId="14" fontId="8" fillId="0" borderId="6" xfId="0" applyNumberFormat="1" applyFont="1" applyFill="1" applyBorder="1" applyAlignment="1">
      <alignment horizontal="center"/>
    </xf>
    <xf numFmtId="14" fontId="6" fillId="54" borderId="44" xfId="0" applyNumberFormat="1" applyFont="1" applyFill="1" applyBorder="1" applyAlignment="1">
      <alignment horizontal="center"/>
    </xf>
    <xf numFmtId="14" fontId="6" fillId="54" borderId="6" xfId="0" applyNumberFormat="1" applyFont="1" applyFill="1" applyBorder="1" applyAlignment="1">
      <alignment horizontal="center"/>
    </xf>
    <xf numFmtId="177" fontId="8" fillId="0" borderId="44" xfId="0" applyNumberFormat="1" applyFont="1" applyFill="1" applyBorder="1" applyAlignment="1">
      <alignment horizontal="center" vertical="center"/>
    </xf>
    <xf numFmtId="177" fontId="8" fillId="0" borderId="6" xfId="0" applyNumberFormat="1" applyFont="1" applyFill="1" applyBorder="1" applyAlignment="1">
      <alignment horizontal="center" vertical="center"/>
    </xf>
    <xf numFmtId="184" fontId="6" fillId="54" borderId="45" xfId="0" applyNumberFormat="1" applyFont="1" applyFill="1" applyBorder="1" applyAlignment="1">
      <alignment horizontal="center" vertical="center"/>
    </xf>
    <xf numFmtId="179" fontId="52" fillId="0" borderId="0" xfId="0" applyNumberFormat="1" applyFont="1" applyFill="1" applyAlignment="1">
      <alignment horizontal="center"/>
    </xf>
    <xf numFmtId="184" fontId="65" fillId="51" borderId="39" xfId="0" applyNumberFormat="1" applyFont="1" applyFill="1" applyBorder="1" applyAlignment="1">
      <alignment horizontal="left" vertical="center" indent="8"/>
    </xf>
    <xf numFmtId="186" fontId="8" fillId="53" borderId="44" xfId="0" applyNumberFormat="1" applyFont="1" applyFill="1" applyBorder="1" applyAlignment="1">
      <alignment horizontal="center"/>
    </xf>
    <xf numFmtId="186" fontId="8" fillId="53" borderId="6" xfId="0" applyNumberFormat="1" applyFont="1" applyFill="1" applyBorder="1" applyAlignment="1">
      <alignment horizontal="center"/>
    </xf>
    <xf numFmtId="179" fontId="8" fillId="53" borderId="67" xfId="0" applyNumberFormat="1" applyFont="1" applyFill="1" applyBorder="1" applyAlignment="1">
      <alignment horizontal="center" vertical="center"/>
    </xf>
    <xf numFmtId="179" fontId="74" fillId="53" borderId="67" xfId="0" applyNumberFormat="1" applyFont="1" applyFill="1" applyBorder="1" applyAlignment="1">
      <alignment vertical="center"/>
    </xf>
  </cellXfs>
  <cellStyles count="48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" xfId="28" builtinId="10" customBuiltin="1"/>
    <cellStyle name="Entrée" xfId="29" builtinId="20" customBuiltin="1"/>
    <cellStyle name="Insatisfaisant" xfId="30" builtinId="27" customBuiltin="1"/>
    <cellStyle name="Lien hypertexte" xfId="31" builtinId="8" hidden="1"/>
    <cellStyle name="Lien hypertexte" xfId="43" builtinId="8"/>
    <cellStyle name="Monétaire 2" xfId="46"/>
    <cellStyle name="Neutre" xfId="32" builtinId="28" customBuiltin="1"/>
    <cellStyle name="Normal" xfId="0" builtinId="0" customBuiltin="1"/>
    <cellStyle name="Normal 2" xfId="47"/>
    <cellStyle name="Normal 627" xfId="44"/>
    <cellStyle name="Normal 631" xfId="45"/>
    <cellStyle name="Satisfaisant" xfId="33" builtinId="26" customBuiltin="1"/>
    <cellStyle name="Sortie" xfId="34" builtinId="21" customBuiltin="1"/>
    <cellStyle name="Texte explicatif" xfId="35" builtinId="53" customBuiltin="1"/>
    <cellStyle name="Titre" xfId="36" builtinId="15" customBuiltin="1"/>
    <cellStyle name="Titre 1" xfId="37" builtinId="16" customBuiltin="1"/>
    <cellStyle name="Titre 2" xfId="38" builtinId="17" customBuiltin="1"/>
    <cellStyle name="Titre 3" xfId="39" builtinId="18" customBuiltin="1"/>
    <cellStyle name="Titre 4" xfId="40" builtinId="19" customBuiltin="1"/>
    <cellStyle name="Total" xfId="41" builtinId="25" customBuiltin="1"/>
    <cellStyle name="Vérification" xfId="42" builtinId="23" customBuiltin="1"/>
  </cellStyles>
  <dxfs count="477"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theme="0" tint="-0.25098422193060094"/>
          </stop>
          <stop position="0.5">
            <color theme="0" tint="-0.49803155613879818"/>
          </stop>
          <stop position="1">
            <color theme="0" tint="-0.25098422193060094"/>
          </stop>
        </gradientFill>
      </fill>
    </dxf>
    <dxf>
      <fill>
        <gradientFill degree="180">
          <stop position="0">
            <color theme="1" tint="0.34900967436750391"/>
          </stop>
          <stop position="1">
            <color theme="0" tint="-0.34900967436750391"/>
          </stop>
        </gradientFill>
      </fill>
    </dxf>
    <dxf>
      <fill>
        <gradientFill>
          <stop position="0">
            <color theme="0" tint="-0.25098422193060094"/>
          </stop>
          <stop position="0.5">
            <color theme="0" tint="-0.49803155613879818"/>
          </stop>
          <stop position="1">
            <color theme="0" tint="-0.25098422193060094"/>
          </stop>
        </gradientFill>
      </fill>
    </dxf>
    <dxf>
      <fill>
        <gradientFill degree="180">
          <stop position="0">
            <color theme="1" tint="0.34900967436750391"/>
          </stop>
          <stop position="1">
            <color theme="0" tint="-0.34900967436750391"/>
          </stop>
        </gradientFill>
      </fill>
    </dxf>
    <dxf>
      <fill>
        <patternFill>
          <bgColor theme="0" tint="-4.9989318521683403E-2"/>
        </patternFill>
      </fill>
    </dxf>
    <dxf>
      <fill>
        <gradientFill>
          <stop position="0">
            <color rgb="FF66CCFF"/>
          </stop>
          <stop position="1">
            <color rgb="FFFFFF99"/>
          </stop>
        </gradientFill>
      </fill>
    </dxf>
    <dxf>
      <fill>
        <gradientFill>
          <stop position="0">
            <color rgb="FF0066FF"/>
          </stop>
          <stop position="1">
            <color rgb="FFFFFF00"/>
          </stop>
        </gradientFill>
      </fill>
    </dxf>
    <dxf>
      <fill>
        <gradientFill>
          <stop position="0">
            <color theme="0" tint="-0.25098422193060094"/>
          </stop>
          <stop position="0.5">
            <color theme="0" tint="-0.49803155613879818"/>
          </stop>
          <stop position="1">
            <color theme="0" tint="-0.25098422193060094"/>
          </stop>
        </gradientFill>
      </fill>
    </dxf>
    <dxf>
      <fill>
        <gradientFill degree="180">
          <stop position="0">
            <color theme="1" tint="0.34900967436750391"/>
          </stop>
          <stop position="1">
            <color theme="0" tint="-0.3490096743675039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0" tint="-4.9989318521683403E-2"/>
        </patternFill>
      </fill>
    </dxf>
    <dxf>
      <fill>
        <gradientFill>
          <stop position="0">
            <color rgb="FF66CCFF"/>
          </stop>
          <stop position="1">
            <color rgb="FFFFFF99"/>
          </stop>
        </gradientFill>
      </fill>
    </dxf>
    <dxf>
      <fill>
        <gradientFill>
          <stop position="0">
            <color rgb="FF0066FF"/>
          </stop>
          <stop position="1">
            <color rgb="FFFFFF00"/>
          </stop>
        </gradientFill>
      </fill>
    </dxf>
    <dxf>
      <fill>
        <patternFill>
          <bgColor theme="4" tint="0.59996337778862885"/>
        </patternFill>
      </fill>
    </dxf>
    <dxf>
      <fill>
        <patternFill>
          <bgColor theme="0" tint="-4.9989318521683403E-2"/>
        </patternFill>
      </fill>
    </dxf>
    <dxf>
      <fill>
        <gradientFill>
          <stop position="0">
            <color rgb="FF66CCFF"/>
          </stop>
          <stop position="1">
            <color rgb="FFFFFF99"/>
          </stop>
        </gradientFill>
      </fill>
    </dxf>
    <dxf>
      <fill>
        <gradientFill>
          <stop position="0">
            <color rgb="FF0066FF"/>
          </stop>
          <stop position="1">
            <color rgb="FFFFFF00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6" tint="0.79998168889431442"/>
        </pattern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6" tint="0.79998168889431442"/>
        </pattern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theme="0" tint="-0.25098422193060094"/>
          </stop>
          <stop position="0.5">
            <color theme="0" tint="-0.49803155613879818"/>
          </stop>
          <stop position="1">
            <color theme="0" tint="-0.25098422193060094"/>
          </stop>
        </gradientFill>
      </fill>
    </dxf>
    <dxf>
      <fill>
        <gradientFill degree="180">
          <stop position="0">
            <color theme="1" tint="0.34900967436750391"/>
          </stop>
          <stop position="1">
            <color theme="0" tint="-0.34900967436750391"/>
          </stop>
        </gradientFill>
      </fill>
    </dxf>
    <dxf>
      <fill>
        <patternFill>
          <bgColor theme="0" tint="-4.9989318521683403E-2"/>
        </patternFill>
      </fill>
    </dxf>
    <dxf>
      <fill>
        <gradientFill>
          <stop position="0">
            <color rgb="FF66CCFF"/>
          </stop>
          <stop position="1">
            <color rgb="FFFFFF99"/>
          </stop>
        </gradientFill>
      </fill>
    </dxf>
    <dxf>
      <fill>
        <gradientFill>
          <stop position="0">
            <color rgb="FF0066FF"/>
          </stop>
          <stop position="1">
            <color rgb="FFFFFF00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theme="0" tint="-0.25098422193060094"/>
          </stop>
          <stop position="0.5">
            <color theme="0" tint="-0.49803155613879818"/>
          </stop>
          <stop position="1">
            <color theme="0" tint="-0.25098422193060094"/>
          </stop>
        </gradientFill>
      </fill>
    </dxf>
    <dxf>
      <fill>
        <gradientFill degree="180">
          <stop position="0">
            <color theme="1" tint="0.34900967436750391"/>
          </stop>
          <stop position="1">
            <color theme="0" tint="-0.34900967436750391"/>
          </stop>
        </gradientFill>
      </fill>
    </dxf>
    <dxf>
      <fill>
        <patternFill>
          <bgColor theme="0" tint="-4.9989318521683403E-2"/>
        </patternFill>
      </fill>
    </dxf>
    <dxf>
      <fill>
        <gradientFill>
          <stop position="0">
            <color rgb="FF66CCFF"/>
          </stop>
          <stop position="1">
            <color rgb="FFFFFF99"/>
          </stop>
        </gradientFill>
      </fill>
    </dxf>
    <dxf>
      <fill>
        <gradientFill>
          <stop position="0">
            <color rgb="FF0066FF"/>
          </stop>
          <stop position="1">
            <color rgb="FFFFFF00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theme="0" tint="-0.25098422193060094"/>
          </stop>
          <stop position="0.5">
            <color theme="0" tint="-0.49803155613879818"/>
          </stop>
          <stop position="1">
            <color theme="0" tint="-0.25098422193060094"/>
          </stop>
        </gradientFill>
      </fill>
    </dxf>
    <dxf>
      <fill>
        <gradientFill degree="180">
          <stop position="0">
            <color theme="1" tint="0.34900967436750391"/>
          </stop>
          <stop position="1">
            <color theme="0" tint="-0.34900967436750391"/>
          </stop>
        </gradientFill>
      </fill>
    </dxf>
    <dxf>
      <fill>
        <patternFill>
          <bgColor theme="0" tint="-4.9989318521683403E-2"/>
        </patternFill>
      </fill>
    </dxf>
    <dxf>
      <fill>
        <gradientFill>
          <stop position="0">
            <color rgb="FF66CCFF"/>
          </stop>
          <stop position="1">
            <color rgb="FFFFFF99"/>
          </stop>
        </gradientFill>
      </fill>
    </dxf>
    <dxf>
      <fill>
        <gradientFill>
          <stop position="0">
            <color rgb="FF0066FF"/>
          </stop>
          <stop position="1">
            <color rgb="FFFFFF00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gradientFill>
          <stop position="0">
            <color theme="0" tint="-0.25098422193060094"/>
          </stop>
          <stop position="0.5">
            <color theme="0" tint="-0.49803155613879818"/>
          </stop>
          <stop position="1">
            <color theme="0" tint="-0.25098422193060094"/>
          </stop>
        </gradientFill>
      </fill>
    </dxf>
    <dxf>
      <fill>
        <gradientFill degree="180">
          <stop position="0">
            <color theme="1" tint="0.34900967436750391"/>
          </stop>
          <stop position="1">
            <color theme="0" tint="-0.34900967436750391"/>
          </stop>
        </gradientFill>
      </fill>
    </dxf>
    <dxf>
      <fill>
        <patternFill>
          <bgColor theme="0" tint="-4.9989318521683403E-2"/>
        </patternFill>
      </fill>
    </dxf>
    <dxf>
      <fill>
        <gradientFill>
          <stop position="0">
            <color rgb="FF66CCFF"/>
          </stop>
          <stop position="1">
            <color rgb="FFFFFF99"/>
          </stop>
        </gradientFill>
      </fill>
    </dxf>
    <dxf>
      <fill>
        <gradientFill>
          <stop position="0">
            <color rgb="FF0066FF"/>
          </stop>
          <stop position="1">
            <color rgb="FFFFFF00"/>
          </stop>
        </gradientFill>
      </fill>
    </dxf>
    <dxf>
      <fill>
        <gradientFill>
          <stop position="0">
            <color theme="0" tint="-0.25098422193060094"/>
          </stop>
          <stop position="0.5">
            <color theme="0" tint="-0.49803155613879818"/>
          </stop>
          <stop position="1">
            <color theme="0" tint="-0.25098422193060094"/>
          </stop>
        </gradientFill>
      </fill>
    </dxf>
    <dxf>
      <fill>
        <gradientFill degree="180">
          <stop position="0">
            <color theme="1" tint="0.34900967436750391"/>
          </stop>
          <stop position="1">
            <color theme="0" tint="-0.34900967436750391"/>
          </stop>
        </gradientFill>
      </fill>
    </dxf>
    <dxf>
      <fill>
        <patternFill>
          <bgColor theme="0" tint="-4.9989318521683403E-2"/>
        </patternFill>
      </fill>
    </dxf>
    <dxf>
      <fill>
        <gradientFill>
          <stop position="0">
            <color rgb="FF66CCFF"/>
          </stop>
          <stop position="1">
            <color rgb="FFFFFF99"/>
          </stop>
        </gradientFill>
      </fill>
    </dxf>
    <dxf>
      <fill>
        <gradientFill>
          <stop position="0">
            <color rgb="FF0066FF"/>
          </stop>
          <stop position="1">
            <color rgb="FFFFFF00"/>
          </stop>
        </gradientFill>
      </fill>
    </dxf>
    <dxf>
      <fill>
        <gradientFill>
          <stop position="0">
            <color theme="0" tint="-0.25098422193060094"/>
          </stop>
          <stop position="0.5">
            <color theme="0" tint="-0.49803155613879818"/>
          </stop>
          <stop position="1">
            <color theme="0" tint="-0.25098422193060094"/>
          </stop>
        </gradientFill>
      </fill>
    </dxf>
    <dxf>
      <fill>
        <gradientFill degree="180">
          <stop position="0">
            <color theme="1" tint="0.34900967436750391"/>
          </stop>
          <stop position="1">
            <color theme="0" tint="-0.3490096743675039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0" tint="-4.9989318521683403E-2"/>
        </patternFill>
      </fill>
    </dxf>
    <dxf>
      <fill>
        <gradientFill>
          <stop position="0">
            <color rgb="FF66CCFF"/>
          </stop>
          <stop position="1">
            <color rgb="FFFFFF99"/>
          </stop>
        </gradientFill>
      </fill>
    </dxf>
    <dxf>
      <fill>
        <gradientFill>
          <stop position="0">
            <color rgb="FF0066FF"/>
          </stop>
          <stop position="1">
            <color rgb="FFFFFF00"/>
          </stop>
        </gradientFill>
      </fill>
    </dxf>
    <dxf>
      <fill>
        <patternFill>
          <bgColor theme="4" tint="0.59996337778862885"/>
        </pattern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theme="0" tint="-0.25098422193060094"/>
          </stop>
          <stop position="0.5">
            <color theme="0" tint="-0.49803155613879818"/>
          </stop>
          <stop position="1">
            <color theme="0" tint="-0.25098422193060094"/>
          </stop>
        </gradientFill>
      </fill>
    </dxf>
    <dxf>
      <fill>
        <gradientFill degree="180">
          <stop position="0">
            <color theme="1" tint="0.34900967436750391"/>
          </stop>
          <stop position="1">
            <color theme="0" tint="-0.34900967436750391"/>
          </stop>
        </gradientFill>
      </fill>
    </dxf>
    <dxf>
      <fill>
        <patternFill>
          <bgColor theme="0" tint="-4.9989318521683403E-2"/>
        </patternFill>
      </fill>
    </dxf>
    <dxf>
      <fill>
        <gradientFill>
          <stop position="0">
            <color rgb="FF66CCFF"/>
          </stop>
          <stop position="1">
            <color rgb="FFFFFF99"/>
          </stop>
        </gradientFill>
      </fill>
    </dxf>
    <dxf>
      <fill>
        <gradientFill>
          <stop position="0">
            <color rgb="FF0066FF"/>
          </stop>
          <stop position="1">
            <color rgb="FFFFFF00"/>
          </stop>
        </gradientFill>
      </fill>
    </dxf>
    <dxf>
      <fill>
        <gradientFill>
          <stop position="0">
            <color theme="0" tint="-0.25098422193060094"/>
          </stop>
          <stop position="0.5">
            <color theme="0" tint="-0.49803155613879818"/>
          </stop>
          <stop position="1">
            <color theme="0" tint="-0.25098422193060094"/>
          </stop>
        </gradientFill>
      </fill>
    </dxf>
    <dxf>
      <fill>
        <gradientFill degree="180">
          <stop position="0">
            <color theme="1" tint="0.34900967436750391"/>
          </stop>
          <stop position="1">
            <color theme="0" tint="-0.34900967436750391"/>
          </stop>
        </gradientFill>
      </fill>
    </dxf>
    <dxf>
      <fill>
        <patternFill>
          <bgColor theme="0" tint="-4.9989318521683403E-2"/>
        </patternFill>
      </fill>
    </dxf>
    <dxf>
      <fill>
        <gradientFill>
          <stop position="0">
            <color rgb="FF66CCFF"/>
          </stop>
          <stop position="1">
            <color rgb="FFFFFF99"/>
          </stop>
        </gradientFill>
      </fill>
    </dxf>
    <dxf>
      <fill>
        <gradientFill>
          <stop position="0">
            <color rgb="FF0066FF"/>
          </stop>
          <stop position="1">
            <color rgb="FFFFFF00"/>
          </stop>
        </gradientFill>
      </fill>
    </dxf>
    <dxf>
      <fill>
        <gradientFill>
          <stop position="0">
            <color theme="0" tint="-0.25098422193060094"/>
          </stop>
          <stop position="0.5">
            <color theme="0" tint="-0.49803155613879818"/>
          </stop>
          <stop position="1">
            <color theme="0" tint="-0.25098422193060094"/>
          </stop>
        </gradientFill>
      </fill>
    </dxf>
    <dxf>
      <fill>
        <gradientFill degree="180">
          <stop position="0">
            <color theme="1" tint="0.34900967436750391"/>
          </stop>
          <stop position="1">
            <color theme="0" tint="-0.3490096743675039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0" tint="-4.9989318521683403E-2"/>
        </patternFill>
      </fill>
    </dxf>
    <dxf>
      <fill>
        <gradientFill>
          <stop position="0">
            <color rgb="FF66CCFF"/>
          </stop>
          <stop position="1">
            <color rgb="FFFFFF99"/>
          </stop>
        </gradientFill>
      </fill>
    </dxf>
    <dxf>
      <fill>
        <gradientFill>
          <stop position="0">
            <color rgb="FF0066FF"/>
          </stop>
          <stop position="1">
            <color rgb="FFFFFF00"/>
          </stop>
        </gradientFill>
      </fill>
    </dxf>
    <dxf>
      <fill>
        <patternFill>
          <bgColor theme="4" tint="0.59996337778862885"/>
        </pattern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gradientFill>
          <stop position="0">
            <color theme="0" tint="-0.25098422193060094"/>
          </stop>
          <stop position="0.5">
            <color theme="0" tint="-0.49803155613879818"/>
          </stop>
          <stop position="1">
            <color theme="0" tint="-0.25098422193060094"/>
          </stop>
        </gradientFill>
      </fill>
    </dxf>
    <dxf>
      <fill>
        <gradientFill degree="180">
          <stop position="0">
            <color theme="1" tint="0.34900967436750391"/>
          </stop>
          <stop position="1">
            <color theme="0" tint="-0.34900967436750391"/>
          </stop>
        </gradientFill>
      </fill>
    </dxf>
    <dxf>
      <fill>
        <patternFill>
          <bgColor theme="0" tint="-4.9989318521683403E-2"/>
        </patternFill>
      </fill>
    </dxf>
    <dxf>
      <fill>
        <gradientFill>
          <stop position="0">
            <color rgb="FF66CCFF"/>
          </stop>
          <stop position="1">
            <color rgb="FFFFFF99"/>
          </stop>
        </gradientFill>
      </fill>
    </dxf>
    <dxf>
      <fill>
        <gradientFill>
          <stop position="0">
            <color rgb="FF0066FF"/>
          </stop>
          <stop position="1">
            <color rgb="FFFFFF00"/>
          </stop>
        </gradientFill>
      </fill>
    </dxf>
    <dxf>
      <fill>
        <gradientFill>
          <stop position="0">
            <color theme="0" tint="-0.25098422193060094"/>
          </stop>
          <stop position="0.5">
            <color theme="0" tint="-0.49803155613879818"/>
          </stop>
          <stop position="1">
            <color theme="0" tint="-0.25098422193060094"/>
          </stop>
        </gradientFill>
      </fill>
    </dxf>
    <dxf>
      <fill>
        <gradientFill degree="180">
          <stop position="0">
            <color theme="1" tint="0.34900967436750391"/>
          </stop>
          <stop position="1">
            <color theme="0" tint="-0.34900967436750391"/>
          </stop>
        </gradientFill>
      </fill>
    </dxf>
    <dxf>
      <fill>
        <patternFill>
          <bgColor theme="0" tint="-4.9989318521683403E-2"/>
        </patternFill>
      </fill>
    </dxf>
    <dxf>
      <fill>
        <gradientFill>
          <stop position="0">
            <color rgb="FF66CCFF"/>
          </stop>
          <stop position="1">
            <color rgb="FFFFFF99"/>
          </stop>
        </gradientFill>
      </fill>
    </dxf>
    <dxf>
      <fill>
        <gradientFill>
          <stop position="0">
            <color rgb="FF0066FF"/>
          </stop>
          <stop position="1">
            <color rgb="FFFFFF00"/>
          </stop>
        </gradientFill>
      </fill>
    </dxf>
    <dxf>
      <fill>
        <gradientFill>
          <stop position="0">
            <color theme="0" tint="-0.25098422193060094"/>
          </stop>
          <stop position="0.5">
            <color theme="0" tint="-0.49803155613879818"/>
          </stop>
          <stop position="1">
            <color theme="0" tint="-0.25098422193060094"/>
          </stop>
        </gradientFill>
      </fill>
    </dxf>
    <dxf>
      <fill>
        <gradientFill degree="180">
          <stop position="0">
            <color theme="1" tint="0.34900967436750391"/>
          </stop>
          <stop position="1">
            <color theme="0" tint="-0.3490096743675039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0" tint="-4.9989318521683403E-2"/>
        </patternFill>
      </fill>
    </dxf>
    <dxf>
      <fill>
        <gradientFill>
          <stop position="0">
            <color rgb="FF66CCFF"/>
          </stop>
          <stop position="1">
            <color rgb="FFFFFF99"/>
          </stop>
        </gradientFill>
      </fill>
    </dxf>
    <dxf>
      <fill>
        <gradientFill>
          <stop position="0">
            <color rgb="FF0066FF"/>
          </stop>
          <stop position="1">
            <color rgb="FFFFFF00"/>
          </stop>
        </gradientFill>
      </fill>
    </dxf>
    <dxf>
      <fill>
        <patternFill>
          <bgColor theme="4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theme="0" tint="-0.25098422193060094"/>
          </stop>
          <stop position="0.5">
            <color theme="0" tint="-0.49803155613879818"/>
          </stop>
          <stop position="1">
            <color theme="0" tint="-0.25098422193060094"/>
          </stop>
        </gradientFill>
      </fill>
    </dxf>
    <dxf>
      <fill>
        <gradientFill degree="180">
          <stop position="0">
            <color theme="1" tint="0.34900967436750391"/>
          </stop>
          <stop position="1">
            <color theme="0" tint="-0.34900967436750391"/>
          </stop>
        </gradientFill>
      </fill>
    </dxf>
    <dxf>
      <fill>
        <patternFill>
          <bgColor theme="0" tint="-4.9989318521683403E-2"/>
        </patternFill>
      </fill>
    </dxf>
    <dxf>
      <fill>
        <gradientFill>
          <stop position="0">
            <color rgb="FF66CCFF"/>
          </stop>
          <stop position="1">
            <color rgb="FFFFFF99"/>
          </stop>
        </gradientFill>
      </fill>
    </dxf>
    <dxf>
      <fill>
        <gradientFill>
          <stop position="0">
            <color rgb="FF0066FF"/>
          </stop>
          <stop position="1">
            <color rgb="FFFFFF00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theme="0" tint="-0.25098422193060094"/>
          </stop>
          <stop position="0.5">
            <color theme="0" tint="-0.49803155613879818"/>
          </stop>
          <stop position="1">
            <color theme="0" tint="-0.25098422193060094"/>
          </stop>
        </gradientFill>
      </fill>
    </dxf>
    <dxf>
      <fill>
        <gradientFill degree="180">
          <stop position="0">
            <color theme="1" tint="0.34900967436750391"/>
          </stop>
          <stop position="1">
            <color theme="0" tint="-0.34900967436750391"/>
          </stop>
        </gradientFill>
      </fill>
    </dxf>
    <dxf>
      <fill>
        <patternFill>
          <bgColor theme="0" tint="-4.9989318521683403E-2"/>
        </patternFill>
      </fill>
    </dxf>
    <dxf>
      <fill>
        <gradientFill>
          <stop position="0">
            <color rgb="FF66CCFF"/>
          </stop>
          <stop position="1">
            <color rgb="FFFFFF99"/>
          </stop>
        </gradientFill>
      </fill>
    </dxf>
    <dxf>
      <fill>
        <gradientFill>
          <stop position="0">
            <color rgb="FF0066FF"/>
          </stop>
          <stop position="1">
            <color rgb="FFFFFF00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theme="0" tint="-0.25098422193060094"/>
          </stop>
          <stop position="0.5">
            <color theme="0" tint="-0.49803155613879818"/>
          </stop>
          <stop position="1">
            <color theme="0" tint="-0.25098422193060094"/>
          </stop>
        </gradientFill>
      </fill>
    </dxf>
    <dxf>
      <fill>
        <gradientFill degree="180">
          <stop position="0">
            <color theme="1" tint="0.34900967436750391"/>
          </stop>
          <stop position="1">
            <color theme="0" tint="-0.34900967436750391"/>
          </stop>
        </gradientFill>
      </fill>
    </dxf>
    <dxf>
      <fill>
        <patternFill>
          <bgColor theme="0" tint="-4.9989318521683403E-2"/>
        </patternFill>
      </fill>
    </dxf>
    <dxf>
      <fill>
        <gradientFill>
          <stop position="0">
            <color rgb="FF66CCFF"/>
          </stop>
          <stop position="1">
            <color rgb="FFFFFF99"/>
          </stop>
        </gradientFill>
      </fill>
    </dxf>
    <dxf>
      <fill>
        <gradientFill>
          <stop position="0">
            <color rgb="FF0066FF"/>
          </stop>
          <stop position="1">
            <color rgb="FFFFFF00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theme="0" tint="-0.25098422193060094"/>
          </stop>
          <stop position="0.5">
            <color theme="0" tint="-0.49803155613879818"/>
          </stop>
          <stop position="1">
            <color theme="0" tint="-0.25098422193060094"/>
          </stop>
        </gradientFill>
      </fill>
    </dxf>
    <dxf>
      <fill>
        <gradientFill degree="180">
          <stop position="0">
            <color theme="1" tint="0.34900967436750391"/>
          </stop>
          <stop position="1">
            <color theme="0" tint="-0.34900967436750391"/>
          </stop>
        </gradientFill>
      </fill>
    </dxf>
    <dxf>
      <fill>
        <patternFill>
          <bgColor theme="0" tint="-4.9989318521683403E-2"/>
        </patternFill>
      </fill>
    </dxf>
    <dxf>
      <fill>
        <gradientFill>
          <stop position="0">
            <color rgb="FF66CCFF"/>
          </stop>
          <stop position="1">
            <color rgb="FFFFFF99"/>
          </stop>
        </gradientFill>
      </fill>
    </dxf>
    <dxf>
      <fill>
        <gradientFill>
          <stop position="0">
            <color rgb="FF0066FF"/>
          </stop>
          <stop position="1">
            <color rgb="FFFFFF00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theme="0" tint="-0.25098422193060094"/>
          </stop>
          <stop position="0.5">
            <color theme="0" tint="-0.49803155613879818"/>
          </stop>
          <stop position="1">
            <color theme="0" tint="-0.25098422193060094"/>
          </stop>
        </gradientFill>
      </fill>
    </dxf>
    <dxf>
      <fill>
        <gradientFill degree="180">
          <stop position="0">
            <color theme="1" tint="0.34900967436750391"/>
          </stop>
          <stop position="1">
            <color theme="0" tint="-0.34900967436750391"/>
          </stop>
        </gradientFill>
      </fill>
    </dxf>
    <dxf>
      <fill>
        <patternFill>
          <bgColor theme="0" tint="-4.9989318521683403E-2"/>
        </patternFill>
      </fill>
    </dxf>
    <dxf>
      <fill>
        <gradientFill>
          <stop position="0">
            <color rgb="FF66CCFF"/>
          </stop>
          <stop position="1">
            <color rgb="FFFFFF99"/>
          </stop>
        </gradientFill>
      </fill>
    </dxf>
    <dxf>
      <fill>
        <gradientFill>
          <stop position="0">
            <color rgb="FF0066FF"/>
          </stop>
          <stop position="1">
            <color rgb="FFFFFF00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gradientFill>
          <stop position="0">
            <color theme="0" tint="-0.25098422193060094"/>
          </stop>
          <stop position="0.5">
            <color theme="0" tint="-0.49803155613879818"/>
          </stop>
          <stop position="1">
            <color theme="0" tint="-0.25098422193060094"/>
          </stop>
        </gradientFill>
      </fill>
    </dxf>
    <dxf>
      <fill>
        <gradientFill degree="180">
          <stop position="0">
            <color theme="1" tint="0.34900967436750391"/>
          </stop>
          <stop position="1">
            <color theme="0" tint="-0.3490096743675039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0" tint="-4.9989318521683403E-2"/>
        </patternFill>
      </fill>
    </dxf>
    <dxf>
      <fill>
        <gradientFill>
          <stop position="0">
            <color rgb="FF66CCFF"/>
          </stop>
          <stop position="1">
            <color rgb="FFFFFF99"/>
          </stop>
        </gradientFill>
      </fill>
    </dxf>
    <dxf>
      <fill>
        <gradientFill>
          <stop position="0">
            <color rgb="FF0066FF"/>
          </stop>
          <stop position="1">
            <color rgb="FFFFFF00"/>
          </stop>
        </gradientFill>
      </fill>
    </dxf>
    <dxf>
      <fill>
        <patternFill>
          <bgColor theme="4" tint="0.59996337778862885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66"/>
      <color rgb="FFFFFFCC"/>
      <color rgb="FFFFFF99"/>
      <color rgb="FF99FF99"/>
      <color rgb="FF66FF66"/>
      <color rgb="FFCCFFCC"/>
      <color rgb="FF66FF99"/>
      <color rgb="FF00FF00"/>
      <color rgb="FFFFFF0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577528449983606"/>
          <c:y val="2.1273400168200455E-2"/>
          <c:w val="0.41788035116300254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Aout_2020!$N$7</c:f>
              <c:numCache>
                <c:formatCode>0.0\ "°C"</c:formatCode>
                <c:ptCount val="1"/>
                <c:pt idx="0">
                  <c:v>36.299999999999997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1343104"/>
        <c:axId val="131345024"/>
      </c:barChart>
      <c:catAx>
        <c:axId val="131343104"/>
        <c:scaling>
          <c:orientation val="minMax"/>
        </c:scaling>
        <c:delete val="1"/>
        <c:axPos val="b"/>
        <c:majorTickMark val="out"/>
        <c:minorTickMark val="none"/>
        <c:tickLblPos val="none"/>
        <c:crossAx val="131345024"/>
        <c:crossesAt val="-20"/>
        <c:auto val="1"/>
        <c:lblAlgn val="ctr"/>
        <c:lblOffset val="50"/>
        <c:noMultiLvlLbl val="0"/>
      </c:catAx>
      <c:valAx>
        <c:axId val="131345024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134310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3.9963669391462307E-2"/>
          <c:y val="3.5947712418300803E-2"/>
          <c:w val="0.91471533039502162"/>
          <c:h val="0.92810457516339873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32DCB4">
                <a:alpha val="30000"/>
              </a:srgbClr>
            </a:solidFill>
            <a:ln w="25400">
              <a:solidFill>
                <a:schemeClr val="bg1">
                  <a:lumMod val="50000"/>
                </a:schemeClr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32DCB4">
                  <a:alpha val="30000"/>
                </a:srgbClr>
              </a:solidFill>
              <a:ln w="25400">
                <a:noFill/>
              </a:ln>
            </c:spPr>
          </c:dPt>
          <c:val>
            <c:numRef>
              <c:f>'Mini-Maxi'!$B$12</c:f>
              <c:numCache>
                <c:formatCode>General</c:formatCode>
                <c:ptCount val="1"/>
                <c:pt idx="0">
                  <c:v>17.5</c:v>
                </c:pt>
              </c:numCache>
            </c:numRef>
          </c:val>
        </c:ser>
        <c:ser>
          <c:idx val="0"/>
          <c:order val="1"/>
          <c:spPr>
            <a:solidFill>
              <a:srgbClr val="32DCB4">
                <a:alpha val="50000"/>
              </a:srgbClr>
            </a:solidFill>
          </c:spPr>
          <c:invertIfNegative val="0"/>
          <c:val>
            <c:numRef>
              <c:f>'Mini-Maxi'!$B$13</c:f>
              <c:numCache>
                <c:formatCode>General</c:formatCode>
                <c:ptCount val="1"/>
                <c:pt idx="0">
                  <c:v>28</c:v>
                </c:pt>
              </c:numCache>
            </c:numRef>
          </c:val>
        </c:ser>
        <c:ser>
          <c:idx val="2"/>
          <c:order val="2"/>
          <c:invertIfNegative val="0"/>
          <c:val>
            <c:numRef>
              <c:f>'Mini-Maxi'!$B$14</c:f>
              <c:numCache>
                <c:formatCode>General</c:formatCode>
                <c:ptCount val="1"/>
                <c:pt idx="0">
                  <c:v>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85599104"/>
        <c:axId val="185696640"/>
        <c:axId val="0"/>
      </c:bar3DChart>
      <c:catAx>
        <c:axId val="185599104"/>
        <c:scaling>
          <c:orientation val="minMax"/>
        </c:scaling>
        <c:delete val="1"/>
        <c:axPos val="t"/>
        <c:majorTickMark val="out"/>
        <c:minorTickMark val="none"/>
        <c:tickLblPos val="none"/>
        <c:crossAx val="185696640"/>
        <c:crosses val="autoZero"/>
        <c:auto val="1"/>
        <c:lblAlgn val="ctr"/>
        <c:lblOffset val="100"/>
        <c:noMultiLvlLbl val="0"/>
      </c:catAx>
      <c:valAx>
        <c:axId val="185696640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85599104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 w="25400" cap="sq" cmpd="sng">
      <a:solidFill>
        <a:schemeClr val="bg1">
          <a:lumMod val="65000"/>
        </a:schemeClr>
      </a:solidFill>
      <a:miter lim="800000"/>
    </a:ln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9507106938800934E-2"/>
          <c:y val="3.4563091378283596E-2"/>
          <c:w val="0.84749116497750376"/>
          <c:h val="0.9294892256115046"/>
        </c:manualLayout>
      </c:layout>
      <c:bar3DChart>
        <c:barDir val="col"/>
        <c:grouping val="stacked"/>
        <c:varyColors val="0"/>
        <c:ser>
          <c:idx val="1"/>
          <c:order val="0"/>
          <c:spPr>
            <a:noFill/>
            <a:ln w="25400">
              <a:solidFill>
                <a:schemeClr val="bg1">
                  <a:lumMod val="50000"/>
                </a:schemeClr>
              </a:solidFill>
            </a:ln>
          </c:spPr>
          <c:invertIfNegative val="0"/>
          <c:dPt>
            <c:idx val="0"/>
            <c:invertIfNegative val="0"/>
            <c:bubble3D val="0"/>
            <c:spPr>
              <a:noFill/>
              <a:ln w="25400">
                <a:noFill/>
              </a:ln>
            </c:spPr>
          </c:dPt>
          <c:val>
            <c:numRef>
              <c:f>'Mini-Maxi'!$A$12</c:f>
              <c:numCache>
                <c:formatCode>General</c:formatCode>
                <c:ptCount val="1"/>
              </c:numCache>
            </c:numRef>
          </c:val>
        </c:ser>
        <c:ser>
          <c:idx val="0"/>
          <c:order val="1"/>
          <c:spPr>
            <a:solidFill>
              <a:srgbClr val="32DCB4">
                <a:alpha val="50000"/>
              </a:srgbClr>
            </a:solidFill>
          </c:spPr>
          <c:invertIfNegative val="0"/>
          <c:val>
            <c:numRef>
              <c:f>'Mini-Maxi'!$A$13</c:f>
              <c:numCache>
                <c:formatCode>General</c:formatCode>
                <c:ptCount val="1"/>
              </c:numCache>
            </c:numRef>
          </c:val>
        </c:ser>
        <c:ser>
          <c:idx val="2"/>
          <c:order val="2"/>
          <c:invertIfNegative val="0"/>
          <c:val>
            <c:numRef>
              <c:f>'Mini-Maxi'!$A$14</c:f>
              <c:numCache>
                <c:formatCode>General</c:formatCode>
                <c:ptCount val="1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206681600"/>
        <c:axId val="206696448"/>
        <c:axId val="0"/>
      </c:bar3DChart>
      <c:catAx>
        <c:axId val="206681600"/>
        <c:scaling>
          <c:orientation val="minMax"/>
        </c:scaling>
        <c:delete val="1"/>
        <c:axPos val="t"/>
        <c:majorTickMark val="out"/>
        <c:minorTickMark val="none"/>
        <c:tickLblPos val="none"/>
        <c:crossAx val="206696448"/>
        <c:crosses val="autoZero"/>
        <c:auto val="1"/>
        <c:lblAlgn val="ctr"/>
        <c:lblOffset val="100"/>
        <c:noMultiLvlLbl val="0"/>
      </c:catAx>
      <c:valAx>
        <c:axId val="206696448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206681600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 w="25400" cap="sq" cmpd="sng">
      <a:noFill/>
      <a:miter lim="800000"/>
    </a:ln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091701500275391"/>
          <c:y val="2.1273380301146602E-2"/>
          <c:w val="0.67629729210678291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66FF"/>
            </a:solidFill>
          </c:spPr>
          <c:invertIfNegative val="0"/>
          <c:val>
            <c:numRef>
              <c:f>Aout_2020!$J$7</c:f>
              <c:numCache>
                <c:formatCode>0.0\ "°C"</c:formatCode>
                <c:ptCount val="1"/>
                <c:pt idx="0">
                  <c:v>10.199999999999999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257819392"/>
        <c:axId val="257821312"/>
      </c:barChart>
      <c:catAx>
        <c:axId val="257819392"/>
        <c:scaling>
          <c:orientation val="minMax"/>
        </c:scaling>
        <c:delete val="1"/>
        <c:axPos val="b"/>
        <c:majorTickMark val="out"/>
        <c:minorTickMark val="none"/>
        <c:tickLblPos val="none"/>
        <c:crossAx val="257821312"/>
        <c:crossesAt val="-20"/>
        <c:auto val="1"/>
        <c:lblAlgn val="ctr"/>
        <c:lblOffset val="50"/>
        <c:noMultiLvlLbl val="0"/>
      </c:catAx>
      <c:valAx>
        <c:axId val="257821312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257819392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602046783625772"/>
          <c:y val="0.18744210526315791"/>
          <c:w val="0.63366520467836485"/>
          <c:h val="0.63366520467836485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1"/>
            <c:bubble3D val="0"/>
            <c:spPr>
              <a:solidFill>
                <a:srgbClr val="FF0000"/>
              </a:solidFill>
            </c:spPr>
          </c:dPt>
          <c:val>
            <c:numRef>
              <c:f>'Mini-Maxi'!$E$9:$E$11</c:f>
              <c:numCache>
                <c:formatCode>0</c:formatCode>
                <c:ptCount val="3"/>
                <c:pt idx="0" formatCode="0.0\ &quot;km/h&quot;">
                  <c:v>34.9</c:v>
                </c:pt>
                <c:pt idx="1">
                  <c:v>2</c:v>
                </c:pt>
                <c:pt idx="2">
                  <c:v>95.1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607824074074075"/>
          <c:y val="0.1348114726959489"/>
          <c:w val="0.73201851851852084"/>
          <c:h val="0.73942509320209482"/>
        </c:manualLayout>
      </c:layout>
      <c:doughnutChart>
        <c:varyColors val="1"/>
        <c:ser>
          <c:idx val="0"/>
          <c:order val="0"/>
          <c:spPr>
            <a:noFill/>
            <a:ln w="3175">
              <a:solidFill>
                <a:schemeClr val="tx1"/>
              </a:solidFill>
            </a:ln>
          </c:spPr>
          <c:dPt>
            <c:idx val="1"/>
            <c:bubble3D val="0"/>
            <c:spPr>
              <a:solidFill>
                <a:srgbClr val="FFFF00"/>
              </a:solidFill>
              <a:ln w="3175">
                <a:solidFill>
                  <a:schemeClr val="tx1"/>
                </a:solidFill>
              </a:ln>
            </c:spPr>
          </c:dPt>
          <c:val>
            <c:numRef>
              <c:f>'Mini-Maxi'!$I$15:$I$17</c:f>
              <c:numCache>
                <c:formatCode>h\ "h"\ mm\ "mn"</c:formatCode>
                <c:ptCount val="3"/>
                <c:pt idx="0" formatCode="h:mm">
                  <c:v>0</c:v>
                </c:pt>
                <c:pt idx="1">
                  <c:v>0.55763888888888891</c:v>
                </c:pt>
                <c:pt idx="2" formatCode="h:mm">
                  <c:v>0.35902777777777772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31"/>
      </c:doughnutChart>
      <c:spPr>
        <a:noFill/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2">
                    <a:lumMod val="60000"/>
                    <a:lumOff val="40000"/>
                  </a:schemeClr>
                </a:gs>
                <a:gs pos="50000">
                  <a:schemeClr val="accent1">
                    <a:tint val="44500"/>
                    <a:satMod val="160000"/>
                  </a:schemeClr>
                </a:gs>
                <a:gs pos="100000">
                  <a:schemeClr val="accent1">
                    <a:tint val="23500"/>
                    <a:satMod val="160000"/>
                  </a:schemeClr>
                </a:gs>
              </a:gsLst>
              <a:lin ang="5400000" scaled="0"/>
            </a:gradFill>
          </c:spPr>
          <c:invertIfNegative val="0"/>
          <c:cat>
            <c:strRef>
              <c:f>'Mini-Maxi'!$O$4:$O$15</c:f>
              <c:strCache>
                <c:ptCount val="12"/>
                <c:pt idx="0">
                  <c:v>Janv</c:v>
                </c:pt>
                <c:pt idx="1">
                  <c:v>Fév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Déc</c:v>
                </c:pt>
              </c:strCache>
            </c:strRef>
          </c:cat>
          <c:val>
            <c:numRef>
              <c:f>'Mini-Maxi'!$P$4:$P$15</c:f>
              <c:numCache>
                <c:formatCode>0.0\ "km/h"</c:formatCode>
                <c:ptCount val="12"/>
                <c:pt idx="0">
                  <c:v>56.9</c:v>
                </c:pt>
                <c:pt idx="1">
                  <c:v>48.3</c:v>
                </c:pt>
                <c:pt idx="2">
                  <c:v>71.599999999999994</c:v>
                </c:pt>
                <c:pt idx="3">
                  <c:v>40</c:v>
                </c:pt>
                <c:pt idx="4">
                  <c:v>43.9</c:v>
                </c:pt>
                <c:pt idx="5">
                  <c:v>38.5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7458944"/>
        <c:axId val="277460864"/>
      </c:barChart>
      <c:catAx>
        <c:axId val="277458944"/>
        <c:scaling>
          <c:orientation val="minMax"/>
        </c:scaling>
        <c:delete val="0"/>
        <c:axPos val="b"/>
        <c:majorTickMark val="out"/>
        <c:minorTickMark val="none"/>
        <c:tickLblPos val="nextTo"/>
        <c:crossAx val="277460864"/>
        <c:crosses val="autoZero"/>
        <c:auto val="1"/>
        <c:lblAlgn val="ctr"/>
        <c:lblOffset val="100"/>
        <c:noMultiLvlLbl val="0"/>
      </c:catAx>
      <c:valAx>
        <c:axId val="277460864"/>
        <c:scaling>
          <c:orientation val="minMax"/>
        </c:scaling>
        <c:delete val="0"/>
        <c:axPos val="l"/>
        <c:majorGridlines/>
        <c:numFmt formatCode="0.0\ &quot;km/h&quot;" sourceLinked="1"/>
        <c:majorTickMark val="out"/>
        <c:minorTickMark val="none"/>
        <c:tickLblPos val="nextTo"/>
        <c:crossAx val="27745894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'Mini-Maxi'!$L$3</c:f>
              <c:strCache>
                <c:ptCount val="1"/>
              </c:strCache>
            </c:strRef>
          </c:tx>
          <c:spPr>
            <a:gradFill>
              <a:gsLst>
                <a:gs pos="0">
                  <a:srgbClr val="00B0F0"/>
                </a:gs>
                <a:gs pos="50000">
                  <a:schemeClr val="accent1">
                    <a:tint val="44500"/>
                    <a:satMod val="160000"/>
                  </a:schemeClr>
                </a:gs>
                <a:gs pos="100000">
                  <a:schemeClr val="accent1">
                    <a:tint val="23500"/>
                    <a:satMod val="160000"/>
                  </a:schemeClr>
                </a:gs>
              </a:gsLst>
              <a:lin ang="5400000" scaled="0"/>
            </a:gradFill>
          </c:spPr>
          <c:invertIfNegative val="0"/>
          <c:cat>
            <c:strRef>
              <c:f>'Mini-Maxi'!$K$4:$K$15</c:f>
              <c:strCache>
                <c:ptCount val="12"/>
                <c:pt idx="0">
                  <c:v>Janv</c:v>
                </c:pt>
                <c:pt idx="1">
                  <c:v>Fév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Déc</c:v>
                </c:pt>
              </c:strCache>
            </c:strRef>
          </c:cat>
          <c:val>
            <c:numRef>
              <c:f>'Mini-Maxi'!$L$4:$L$15</c:f>
              <c:numCache>
                <c:formatCode>General" C°"</c:formatCode>
                <c:ptCount val="12"/>
                <c:pt idx="0">
                  <c:v>-1</c:v>
                </c:pt>
                <c:pt idx="1">
                  <c:v>1.1000000000000001</c:v>
                </c:pt>
                <c:pt idx="2">
                  <c:v>1.1000000000000001</c:v>
                </c:pt>
                <c:pt idx="3">
                  <c:v>1.8</c:v>
                </c:pt>
                <c:pt idx="4">
                  <c:v>7.3</c:v>
                </c:pt>
                <c:pt idx="5">
                  <c:v>7.6</c:v>
                </c:pt>
              </c:numCache>
            </c:numRef>
          </c:val>
        </c:ser>
        <c:ser>
          <c:idx val="1"/>
          <c:order val="1"/>
          <c:tx>
            <c:strRef>
              <c:f>'Mini-Maxi'!$M$3</c:f>
              <c:strCache>
                <c:ptCount val="1"/>
              </c:strCache>
            </c:strRef>
          </c:tx>
          <c:invertIfNegative val="0"/>
          <c:cat>
            <c:strRef>
              <c:f>'Mini-Maxi'!$K$4:$K$15</c:f>
              <c:strCache>
                <c:ptCount val="12"/>
                <c:pt idx="0">
                  <c:v>Janv</c:v>
                </c:pt>
                <c:pt idx="1">
                  <c:v>Fév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Déc</c:v>
                </c:pt>
              </c:strCache>
            </c:strRef>
          </c:cat>
          <c:val>
            <c:numRef>
              <c:f>'Mini-Maxi'!$M$4:$M$15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2"/>
          <c:order val="2"/>
          <c:tx>
            <c:strRef>
              <c:f>'Mini-Maxi'!$N$3</c:f>
              <c:strCache>
                <c:ptCount val="1"/>
              </c:strCache>
            </c:strRef>
          </c:tx>
          <c:spPr>
            <a:gradFill>
              <a:gsLst>
                <a:gs pos="0">
                  <a:srgbClr val="FF0000"/>
                </a:gs>
                <a:gs pos="50000">
                  <a:schemeClr val="accent1">
                    <a:tint val="44500"/>
                    <a:satMod val="160000"/>
                  </a:schemeClr>
                </a:gs>
                <a:gs pos="100000">
                  <a:schemeClr val="accent1">
                    <a:tint val="23500"/>
                    <a:satMod val="160000"/>
                  </a:schemeClr>
                </a:gs>
              </a:gsLst>
              <a:lin ang="5400000" scaled="0"/>
            </a:gradFill>
          </c:spPr>
          <c:invertIfNegative val="0"/>
          <c:cat>
            <c:strRef>
              <c:f>'Mini-Maxi'!$K$4:$K$15</c:f>
              <c:strCache>
                <c:ptCount val="12"/>
                <c:pt idx="0">
                  <c:v>Janv</c:v>
                </c:pt>
                <c:pt idx="1">
                  <c:v>Fév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Déc</c:v>
                </c:pt>
              </c:strCache>
            </c:strRef>
          </c:cat>
          <c:val>
            <c:numRef>
              <c:f>'Mini-Maxi'!$N$4:$N$15</c:f>
              <c:numCache>
                <c:formatCode>General" C°"</c:formatCode>
                <c:ptCount val="12"/>
                <c:pt idx="0">
                  <c:v>14.3</c:v>
                </c:pt>
                <c:pt idx="1">
                  <c:v>15.7</c:v>
                </c:pt>
                <c:pt idx="2">
                  <c:v>21.8</c:v>
                </c:pt>
                <c:pt idx="3">
                  <c:v>26.3</c:v>
                </c:pt>
                <c:pt idx="4">
                  <c:v>29.2</c:v>
                </c:pt>
                <c:pt idx="5">
                  <c:v>30.5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9932672"/>
        <c:axId val="129938560"/>
      </c:barChart>
      <c:catAx>
        <c:axId val="129932672"/>
        <c:scaling>
          <c:orientation val="minMax"/>
        </c:scaling>
        <c:delete val="0"/>
        <c:axPos val="b"/>
        <c:majorTickMark val="out"/>
        <c:minorTickMark val="none"/>
        <c:tickLblPos val="nextTo"/>
        <c:crossAx val="129938560"/>
        <c:crosses val="autoZero"/>
        <c:auto val="1"/>
        <c:lblAlgn val="ctr"/>
        <c:lblOffset val="100"/>
        <c:noMultiLvlLbl val="0"/>
      </c:catAx>
      <c:valAx>
        <c:axId val="129938560"/>
        <c:scaling>
          <c:orientation val="minMax"/>
        </c:scaling>
        <c:delete val="0"/>
        <c:axPos val="l"/>
        <c:majorGridlines/>
        <c:numFmt formatCode="General&quot; C°&quot;" sourceLinked="1"/>
        <c:majorTickMark val="out"/>
        <c:minorTickMark val="none"/>
        <c:tickLblPos val="nextTo"/>
        <c:crossAx val="1299326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chart" Target="../charts/chart3.xml"/><Relationship Id="rId7" Type="http://schemas.openxmlformats.org/officeDocument/2006/relationships/chart" Target="../charts/chart5.xml"/><Relationship Id="rId12" Type="http://schemas.openxmlformats.org/officeDocument/2006/relationships/chart" Target="../charts/chart8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5.png"/><Relationship Id="rId11" Type="http://schemas.openxmlformats.org/officeDocument/2006/relationships/chart" Target="../charts/chart7.xml"/><Relationship Id="rId5" Type="http://schemas.openxmlformats.org/officeDocument/2006/relationships/image" Target="../media/image4.png"/><Relationship Id="rId10" Type="http://schemas.openxmlformats.org/officeDocument/2006/relationships/image" Target="../media/image9.png"/><Relationship Id="rId4" Type="http://schemas.openxmlformats.org/officeDocument/2006/relationships/chart" Target="../charts/chart4.xml"/><Relationship Id="rId9" Type="http://schemas.openxmlformats.org/officeDocument/2006/relationships/image" Target="../media/image8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16789</xdr:colOff>
      <xdr:row>4</xdr:row>
      <xdr:rowOff>82536</xdr:rowOff>
    </xdr:from>
    <xdr:to>
      <xdr:col>23</xdr:col>
      <xdr:colOff>340789</xdr:colOff>
      <xdr:row>4</xdr:row>
      <xdr:rowOff>154536</xdr:rowOff>
    </xdr:to>
    <xdr:grpSp>
      <xdr:nvGrpSpPr>
        <xdr:cNvPr id="3" name="Girouette"/>
        <xdr:cNvGrpSpPr/>
      </xdr:nvGrpSpPr>
      <xdr:grpSpPr>
        <a:xfrm rot="17550000">
          <a:off x="10220239" y="766161"/>
          <a:ext cx="72000" cy="324000"/>
          <a:chOff x="11153504" y="2261488"/>
          <a:chExt cx="73268" cy="419500"/>
        </a:xfrm>
      </xdr:grpSpPr>
      <xdr:sp macro="" textlink="">
        <xdr:nvSpPr>
          <xdr:cNvPr id="4" name="Triangle isocèle 3"/>
          <xdr:cNvSpPr/>
        </xdr:nvSpPr>
        <xdr:spPr bwMode="auto">
          <a:xfrm rot="10800000">
            <a:off x="11153504" y="2477832"/>
            <a:ext cx="73268" cy="203156"/>
          </a:xfrm>
          <a:prstGeom prst="triangle">
            <a:avLst/>
          </a:prstGeom>
          <a:noFill/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5" name="Triangle isocèle 4"/>
          <xdr:cNvSpPr/>
        </xdr:nvSpPr>
        <xdr:spPr bwMode="auto">
          <a:xfrm rot="10800000" flipV="1">
            <a:off x="11153574" y="2261488"/>
            <a:ext cx="70045" cy="213631"/>
          </a:xfrm>
          <a:prstGeom prst="triangle">
            <a:avLst/>
          </a:prstGeom>
          <a:solidFill>
            <a:srgbClr val="FF0000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209550</xdr:colOff>
          <xdr:row>6</xdr:row>
          <xdr:rowOff>76200</xdr:rowOff>
        </xdr:from>
        <xdr:to>
          <xdr:col>31</xdr:col>
          <xdr:colOff>228600</xdr:colOff>
          <xdr:row>7</xdr:row>
          <xdr:rowOff>133350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314325</xdr:colOff>
          <xdr:row>6</xdr:row>
          <xdr:rowOff>95250</xdr:rowOff>
        </xdr:from>
        <xdr:to>
          <xdr:col>35</xdr:col>
          <xdr:colOff>285750</xdr:colOff>
          <xdr:row>7</xdr:row>
          <xdr:rowOff>142875</xdr:rowOff>
        </xdr:to>
        <xdr:sp macro="" textlink="">
          <xdr:nvSpPr>
            <xdr:cNvPr id="144386" name="Button 2" hidden="1">
              <a:extLst>
                <a:ext uri="{63B3BB69-23CF-44E3-9099-C40C66FF867C}">
                  <a14:compatExt spid="_x0000_s1443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6</xdr:row>
          <xdr:rowOff>57150</xdr:rowOff>
        </xdr:from>
        <xdr:to>
          <xdr:col>29</xdr:col>
          <xdr:colOff>66675</xdr:colOff>
          <xdr:row>7</xdr:row>
          <xdr:rowOff>161925</xdr:rowOff>
        </xdr:to>
        <xdr:sp macro="" textlink="">
          <xdr:nvSpPr>
            <xdr:cNvPr id="144397" name="CommandButton2" hidden="1">
              <a:extLst>
                <a:ext uri="{63B3BB69-23CF-44E3-9099-C40C66FF867C}">
                  <a14:compatExt spid="_x0000_s1443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138111</xdr:colOff>
      <xdr:row>9</xdr:row>
      <xdr:rowOff>128588</xdr:rowOff>
    </xdr:from>
    <xdr:to>
      <xdr:col>26</xdr:col>
      <xdr:colOff>104286</xdr:colOff>
      <xdr:row>9</xdr:row>
      <xdr:rowOff>128588</xdr:rowOff>
    </xdr:to>
    <xdr:sp macro="" textlink="">
      <xdr:nvSpPr>
        <xdr:cNvPr id="3" name="Trait 54"/>
        <xdr:cNvSpPr>
          <a:spLocks noChangeShapeType="1"/>
        </xdr:cNvSpPr>
      </xdr:nvSpPr>
      <xdr:spPr bwMode="auto">
        <a:xfrm flipH="1" flipV="1">
          <a:off x="6891336" y="1490663"/>
          <a:ext cx="329040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166385</xdr:colOff>
      <xdr:row>9</xdr:row>
      <xdr:rowOff>142875</xdr:rowOff>
    </xdr:from>
    <xdr:to>
      <xdr:col>51</xdr:col>
      <xdr:colOff>36335</xdr:colOff>
      <xdr:row>9</xdr:row>
      <xdr:rowOff>225675</xdr:rowOff>
    </xdr:to>
    <xdr:sp macro="" textlink="">
      <xdr:nvSpPr>
        <xdr:cNvPr id="4" name="Rectangle 64"/>
        <xdr:cNvSpPr>
          <a:spLocks noChangeArrowheads="1"/>
        </xdr:cNvSpPr>
      </xdr:nvSpPr>
      <xdr:spPr bwMode="auto">
        <a:xfrm>
          <a:off x="166385" y="1504950"/>
          <a:ext cx="20844000" cy="82800"/>
        </a:xfrm>
        <a:prstGeom prst="rect">
          <a:avLst/>
        </a:prstGeom>
        <a:solidFill>
          <a:srgbClr val="1E4682"/>
        </a:solidFill>
        <a:ln>
          <a:noFill/>
        </a:ln>
        <a:extLst/>
      </xdr:spPr>
    </xdr:sp>
    <xdr:clientData/>
  </xdr:twoCellAnchor>
  <xdr:twoCellAnchor>
    <xdr:from>
      <xdr:col>0</xdr:col>
      <xdr:colOff>166829</xdr:colOff>
      <xdr:row>9</xdr:row>
      <xdr:rowOff>239081</xdr:rowOff>
    </xdr:from>
    <xdr:to>
      <xdr:col>17</xdr:col>
      <xdr:colOff>99179</xdr:colOff>
      <xdr:row>9</xdr:row>
      <xdr:rowOff>240507</xdr:rowOff>
    </xdr:to>
    <xdr:sp macro="" textlink="">
      <xdr:nvSpPr>
        <xdr:cNvPr id="5" name="Trait 65"/>
        <xdr:cNvSpPr>
          <a:spLocks noChangeShapeType="1"/>
        </xdr:cNvSpPr>
      </xdr:nvSpPr>
      <xdr:spPr bwMode="auto">
        <a:xfrm flipH="1" flipV="1">
          <a:off x="166829" y="1601156"/>
          <a:ext cx="6580800" cy="1426"/>
        </a:xfrm>
        <a:prstGeom prst="line">
          <a:avLst/>
        </a:prstGeom>
        <a:noFill/>
        <a:ln w="25400">
          <a:solidFill>
            <a:srgbClr val="FFFF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166685</xdr:colOff>
      <xdr:row>9</xdr:row>
      <xdr:rowOff>130967</xdr:rowOff>
    </xdr:from>
    <xdr:to>
      <xdr:col>18</xdr:col>
      <xdr:colOff>1460</xdr:colOff>
      <xdr:row>9</xdr:row>
      <xdr:rowOff>130968</xdr:rowOff>
    </xdr:to>
    <xdr:sp macro="" textlink="">
      <xdr:nvSpPr>
        <xdr:cNvPr id="6" name="Trait 66"/>
        <xdr:cNvSpPr>
          <a:spLocks noChangeShapeType="1"/>
        </xdr:cNvSpPr>
      </xdr:nvSpPr>
      <xdr:spPr bwMode="auto">
        <a:xfrm flipH="1" flipV="1">
          <a:off x="166685" y="1493042"/>
          <a:ext cx="6588000" cy="1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138112</xdr:colOff>
      <xdr:row>71</xdr:row>
      <xdr:rowOff>148948</xdr:rowOff>
    </xdr:from>
    <xdr:to>
      <xdr:col>26</xdr:col>
      <xdr:colOff>104287</xdr:colOff>
      <xdr:row>71</xdr:row>
      <xdr:rowOff>148948</xdr:rowOff>
    </xdr:to>
    <xdr:sp macro="" textlink="">
      <xdr:nvSpPr>
        <xdr:cNvPr id="379" name="Trait 54"/>
        <xdr:cNvSpPr>
          <a:spLocks noChangeShapeType="1"/>
        </xdr:cNvSpPr>
      </xdr:nvSpPr>
      <xdr:spPr bwMode="auto">
        <a:xfrm flipH="1">
          <a:off x="6891337" y="15569923"/>
          <a:ext cx="329040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167859</xdr:colOff>
      <xdr:row>71</xdr:row>
      <xdr:rowOff>150018</xdr:rowOff>
    </xdr:from>
    <xdr:to>
      <xdr:col>17</xdr:col>
      <xdr:colOff>100013</xdr:colOff>
      <xdr:row>71</xdr:row>
      <xdr:rowOff>150018</xdr:rowOff>
    </xdr:to>
    <xdr:sp macro="" textlink="">
      <xdr:nvSpPr>
        <xdr:cNvPr id="382" name="Trait 66"/>
        <xdr:cNvSpPr>
          <a:spLocks noChangeShapeType="1"/>
        </xdr:cNvSpPr>
      </xdr:nvSpPr>
      <xdr:spPr bwMode="auto">
        <a:xfrm flipH="1">
          <a:off x="167859" y="15570993"/>
          <a:ext cx="6580604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55</xdr:col>
      <xdr:colOff>190500</xdr:colOff>
      <xdr:row>43</xdr:row>
      <xdr:rowOff>38100</xdr:rowOff>
    </xdr:from>
    <xdr:to>
      <xdr:col>65</xdr:col>
      <xdr:colOff>353191</xdr:colOff>
      <xdr:row>56</xdr:row>
      <xdr:rowOff>17767</xdr:rowOff>
    </xdr:to>
    <xdr:pic>
      <xdr:nvPicPr>
        <xdr:cNvPr id="35" name="Image 34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3307675" y="8353425"/>
          <a:ext cx="7744591" cy="2780017"/>
        </a:xfrm>
        <a:prstGeom prst="rect">
          <a:avLst/>
        </a:prstGeom>
      </xdr:spPr>
    </xdr:pic>
    <xdr:clientData/>
  </xdr:twoCellAnchor>
  <xdr:twoCellAnchor>
    <xdr:from>
      <xdr:col>18</xdr:col>
      <xdr:colOff>138111</xdr:colOff>
      <xdr:row>27</xdr:row>
      <xdr:rowOff>128587</xdr:rowOff>
    </xdr:from>
    <xdr:to>
      <xdr:col>26</xdr:col>
      <xdr:colOff>102393</xdr:colOff>
      <xdr:row>27</xdr:row>
      <xdr:rowOff>128587</xdr:rowOff>
    </xdr:to>
    <xdr:sp macro="" textlink="">
      <xdr:nvSpPr>
        <xdr:cNvPr id="114" name="Trait 54"/>
        <xdr:cNvSpPr>
          <a:spLocks noChangeShapeType="1"/>
        </xdr:cNvSpPr>
      </xdr:nvSpPr>
      <xdr:spPr bwMode="auto">
        <a:xfrm flipH="1">
          <a:off x="6891336" y="2976562"/>
          <a:ext cx="3288507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152400</xdr:colOff>
      <xdr:row>27</xdr:row>
      <xdr:rowOff>142875</xdr:rowOff>
    </xdr:from>
    <xdr:to>
      <xdr:col>51</xdr:col>
      <xdr:colOff>22350</xdr:colOff>
      <xdr:row>27</xdr:row>
      <xdr:rowOff>228339</xdr:rowOff>
    </xdr:to>
    <xdr:sp macro="" textlink="">
      <xdr:nvSpPr>
        <xdr:cNvPr id="115" name="Rectangle 64"/>
        <xdr:cNvSpPr>
          <a:spLocks noChangeArrowheads="1"/>
        </xdr:cNvSpPr>
      </xdr:nvSpPr>
      <xdr:spPr bwMode="auto">
        <a:xfrm>
          <a:off x="152400" y="2990850"/>
          <a:ext cx="20844000" cy="85464"/>
        </a:xfrm>
        <a:prstGeom prst="rect">
          <a:avLst/>
        </a:prstGeom>
        <a:solidFill>
          <a:srgbClr val="1E4682"/>
        </a:solidFill>
        <a:ln>
          <a:noFill/>
        </a:ln>
        <a:extLst/>
      </xdr:spPr>
    </xdr:sp>
    <xdr:clientData/>
  </xdr:twoCellAnchor>
  <xdr:twoCellAnchor>
    <xdr:from>
      <xdr:col>0</xdr:col>
      <xdr:colOff>166829</xdr:colOff>
      <xdr:row>27</xdr:row>
      <xdr:rowOff>243843</xdr:rowOff>
    </xdr:from>
    <xdr:to>
      <xdr:col>17</xdr:col>
      <xdr:colOff>104545</xdr:colOff>
      <xdr:row>27</xdr:row>
      <xdr:rowOff>245269</xdr:rowOff>
    </xdr:to>
    <xdr:sp macro="" textlink="">
      <xdr:nvSpPr>
        <xdr:cNvPr id="116" name="Trait 65"/>
        <xdr:cNvSpPr>
          <a:spLocks noChangeShapeType="1"/>
        </xdr:cNvSpPr>
      </xdr:nvSpPr>
      <xdr:spPr bwMode="auto">
        <a:xfrm flipH="1" flipV="1">
          <a:off x="166829" y="3091818"/>
          <a:ext cx="6586166" cy="1426"/>
        </a:xfrm>
        <a:prstGeom prst="line">
          <a:avLst/>
        </a:prstGeom>
        <a:noFill/>
        <a:ln w="25400">
          <a:solidFill>
            <a:srgbClr val="FFFF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166686</xdr:colOff>
      <xdr:row>27</xdr:row>
      <xdr:rowOff>129685</xdr:rowOff>
    </xdr:from>
    <xdr:to>
      <xdr:col>18</xdr:col>
      <xdr:colOff>1461</xdr:colOff>
      <xdr:row>27</xdr:row>
      <xdr:rowOff>129685</xdr:rowOff>
    </xdr:to>
    <xdr:sp macro="" textlink="">
      <xdr:nvSpPr>
        <xdr:cNvPr id="117" name="Trait 66"/>
        <xdr:cNvSpPr>
          <a:spLocks noChangeShapeType="1"/>
        </xdr:cNvSpPr>
      </xdr:nvSpPr>
      <xdr:spPr bwMode="auto">
        <a:xfrm flipH="1" flipV="1">
          <a:off x="166686" y="2977660"/>
          <a:ext cx="658800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133350</xdr:colOff>
          <xdr:row>0</xdr:row>
          <xdr:rowOff>76200</xdr:rowOff>
        </xdr:from>
        <xdr:to>
          <xdr:col>17</xdr:col>
          <xdr:colOff>95250</xdr:colOff>
          <xdr:row>2</xdr:row>
          <xdr:rowOff>123825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85725</xdr:colOff>
          <xdr:row>0</xdr:row>
          <xdr:rowOff>76200</xdr:rowOff>
        </xdr:from>
        <xdr:to>
          <xdr:col>20</xdr:col>
          <xdr:colOff>409575</xdr:colOff>
          <xdr:row>2</xdr:row>
          <xdr:rowOff>123825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0</xdr:row>
          <xdr:rowOff>66675</xdr:rowOff>
        </xdr:from>
        <xdr:to>
          <xdr:col>23</xdr:col>
          <xdr:colOff>361950</xdr:colOff>
          <xdr:row>2</xdr:row>
          <xdr:rowOff>123825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485775</xdr:colOff>
          <xdr:row>0</xdr:row>
          <xdr:rowOff>66675</xdr:rowOff>
        </xdr:from>
        <xdr:to>
          <xdr:col>21</xdr:col>
          <xdr:colOff>247650</xdr:colOff>
          <xdr:row>2</xdr:row>
          <xdr:rowOff>123825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685800</xdr:colOff>
          <xdr:row>0</xdr:row>
          <xdr:rowOff>114300</xdr:rowOff>
        </xdr:from>
        <xdr:to>
          <xdr:col>25</xdr:col>
          <xdr:colOff>647700</xdr:colOff>
          <xdr:row>2</xdr:row>
          <xdr:rowOff>47625</xdr:rowOff>
        </xdr:to>
        <xdr:sp macro="" textlink="">
          <xdr:nvSpPr>
            <xdr:cNvPr id="113717" name="CommandButton1" hidden="1">
              <a:extLst>
                <a:ext uri="{63B3BB69-23CF-44E3-9099-C40C66FF867C}">
                  <a14:compatExt spid="_x0000_s113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138113</xdr:colOff>
      <xdr:row>37</xdr:row>
      <xdr:rowOff>128586</xdr:rowOff>
    </xdr:from>
    <xdr:to>
      <xdr:col>26</xdr:col>
      <xdr:colOff>102394</xdr:colOff>
      <xdr:row>37</xdr:row>
      <xdr:rowOff>128586</xdr:rowOff>
    </xdr:to>
    <xdr:sp macro="" textlink="">
      <xdr:nvSpPr>
        <xdr:cNvPr id="45" name="Trait 54"/>
        <xdr:cNvSpPr>
          <a:spLocks noChangeShapeType="1"/>
        </xdr:cNvSpPr>
      </xdr:nvSpPr>
      <xdr:spPr bwMode="auto">
        <a:xfrm flipH="1" flipV="1">
          <a:off x="6891338" y="6119811"/>
          <a:ext cx="3288506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161925</xdr:colOff>
      <xdr:row>37</xdr:row>
      <xdr:rowOff>142875</xdr:rowOff>
    </xdr:from>
    <xdr:to>
      <xdr:col>51</xdr:col>
      <xdr:colOff>31875</xdr:colOff>
      <xdr:row>37</xdr:row>
      <xdr:rowOff>225675</xdr:rowOff>
    </xdr:to>
    <xdr:sp macro="" textlink="">
      <xdr:nvSpPr>
        <xdr:cNvPr id="46" name="Rectangle 64"/>
        <xdr:cNvSpPr>
          <a:spLocks noChangeArrowheads="1"/>
        </xdr:cNvSpPr>
      </xdr:nvSpPr>
      <xdr:spPr bwMode="auto">
        <a:xfrm>
          <a:off x="161925" y="6134100"/>
          <a:ext cx="20844000" cy="82800"/>
        </a:xfrm>
        <a:prstGeom prst="rect">
          <a:avLst/>
        </a:prstGeom>
        <a:solidFill>
          <a:srgbClr val="1E4682"/>
        </a:solidFill>
        <a:ln>
          <a:noFill/>
        </a:ln>
        <a:extLst/>
      </xdr:spPr>
    </xdr:sp>
    <xdr:clientData/>
  </xdr:twoCellAnchor>
  <xdr:twoCellAnchor>
    <xdr:from>
      <xdr:col>0</xdr:col>
      <xdr:colOff>166829</xdr:colOff>
      <xdr:row>37</xdr:row>
      <xdr:rowOff>239081</xdr:rowOff>
    </xdr:from>
    <xdr:to>
      <xdr:col>17</xdr:col>
      <xdr:colOff>104545</xdr:colOff>
      <xdr:row>37</xdr:row>
      <xdr:rowOff>240507</xdr:rowOff>
    </xdr:to>
    <xdr:sp macro="" textlink="">
      <xdr:nvSpPr>
        <xdr:cNvPr id="47" name="Trait 65"/>
        <xdr:cNvSpPr>
          <a:spLocks noChangeShapeType="1"/>
        </xdr:cNvSpPr>
      </xdr:nvSpPr>
      <xdr:spPr bwMode="auto">
        <a:xfrm flipH="1" flipV="1">
          <a:off x="166829" y="6230306"/>
          <a:ext cx="6586166" cy="1426"/>
        </a:xfrm>
        <a:prstGeom prst="line">
          <a:avLst/>
        </a:prstGeom>
        <a:noFill/>
        <a:ln w="25400">
          <a:solidFill>
            <a:srgbClr val="FFFF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167786</xdr:colOff>
      <xdr:row>37</xdr:row>
      <xdr:rowOff>129686</xdr:rowOff>
    </xdr:from>
    <xdr:to>
      <xdr:col>18</xdr:col>
      <xdr:colOff>2928</xdr:colOff>
      <xdr:row>37</xdr:row>
      <xdr:rowOff>129686</xdr:rowOff>
    </xdr:to>
    <xdr:sp macro="" textlink="">
      <xdr:nvSpPr>
        <xdr:cNvPr id="48" name="Trait 66"/>
        <xdr:cNvSpPr>
          <a:spLocks noChangeShapeType="1"/>
        </xdr:cNvSpPr>
      </xdr:nvSpPr>
      <xdr:spPr bwMode="auto">
        <a:xfrm flipH="1" flipV="1">
          <a:off x="167786" y="6120911"/>
          <a:ext cx="6588367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138113</xdr:colOff>
      <xdr:row>65</xdr:row>
      <xdr:rowOff>130969</xdr:rowOff>
    </xdr:from>
    <xdr:to>
      <xdr:col>26</xdr:col>
      <xdr:colOff>102393</xdr:colOff>
      <xdr:row>65</xdr:row>
      <xdr:rowOff>130969</xdr:rowOff>
    </xdr:to>
    <xdr:sp macro="" textlink="">
      <xdr:nvSpPr>
        <xdr:cNvPr id="37" name="Trait 54"/>
        <xdr:cNvSpPr>
          <a:spLocks noChangeShapeType="1"/>
        </xdr:cNvSpPr>
      </xdr:nvSpPr>
      <xdr:spPr bwMode="auto">
        <a:xfrm flipH="1">
          <a:off x="6891338" y="12408694"/>
          <a:ext cx="328850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161925</xdr:colOff>
      <xdr:row>65</xdr:row>
      <xdr:rowOff>142875</xdr:rowOff>
    </xdr:from>
    <xdr:to>
      <xdr:col>51</xdr:col>
      <xdr:colOff>31875</xdr:colOff>
      <xdr:row>65</xdr:row>
      <xdr:rowOff>225675</xdr:rowOff>
    </xdr:to>
    <xdr:sp macro="" textlink="">
      <xdr:nvSpPr>
        <xdr:cNvPr id="38" name="Rectangle 64"/>
        <xdr:cNvSpPr>
          <a:spLocks noChangeArrowheads="1"/>
        </xdr:cNvSpPr>
      </xdr:nvSpPr>
      <xdr:spPr bwMode="auto">
        <a:xfrm>
          <a:off x="161925" y="12420600"/>
          <a:ext cx="20844000" cy="82800"/>
        </a:xfrm>
        <a:prstGeom prst="rect">
          <a:avLst/>
        </a:prstGeom>
        <a:solidFill>
          <a:srgbClr val="1E4682"/>
        </a:solidFill>
        <a:ln>
          <a:noFill/>
        </a:ln>
        <a:extLst/>
      </xdr:spPr>
    </xdr:sp>
    <xdr:clientData/>
  </xdr:twoCellAnchor>
  <xdr:twoCellAnchor>
    <xdr:from>
      <xdr:col>0</xdr:col>
      <xdr:colOff>166829</xdr:colOff>
      <xdr:row>65</xdr:row>
      <xdr:rowOff>239081</xdr:rowOff>
    </xdr:from>
    <xdr:to>
      <xdr:col>17</xdr:col>
      <xdr:colOff>104545</xdr:colOff>
      <xdr:row>65</xdr:row>
      <xdr:rowOff>240507</xdr:rowOff>
    </xdr:to>
    <xdr:sp macro="" textlink="">
      <xdr:nvSpPr>
        <xdr:cNvPr id="39" name="Trait 65"/>
        <xdr:cNvSpPr>
          <a:spLocks noChangeShapeType="1"/>
        </xdr:cNvSpPr>
      </xdr:nvSpPr>
      <xdr:spPr bwMode="auto">
        <a:xfrm flipH="1" flipV="1">
          <a:off x="166829" y="12516806"/>
          <a:ext cx="6586166" cy="1426"/>
        </a:xfrm>
        <a:prstGeom prst="line">
          <a:avLst/>
        </a:prstGeom>
        <a:noFill/>
        <a:ln w="25400">
          <a:solidFill>
            <a:srgbClr val="FFFF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167786</xdr:colOff>
      <xdr:row>65</xdr:row>
      <xdr:rowOff>132067</xdr:rowOff>
    </xdr:from>
    <xdr:to>
      <xdr:col>18</xdr:col>
      <xdr:colOff>2928</xdr:colOff>
      <xdr:row>65</xdr:row>
      <xdr:rowOff>132067</xdr:rowOff>
    </xdr:to>
    <xdr:sp macro="" textlink="">
      <xdr:nvSpPr>
        <xdr:cNvPr id="40" name="Trait 66"/>
        <xdr:cNvSpPr>
          <a:spLocks noChangeShapeType="1"/>
        </xdr:cNvSpPr>
      </xdr:nvSpPr>
      <xdr:spPr bwMode="auto">
        <a:xfrm flipH="1" flipV="1">
          <a:off x="167786" y="12409792"/>
          <a:ext cx="6588367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138112</xdr:colOff>
      <xdr:row>51</xdr:row>
      <xdr:rowOff>128587</xdr:rowOff>
    </xdr:from>
    <xdr:to>
      <xdr:col>26</xdr:col>
      <xdr:colOff>102394</xdr:colOff>
      <xdr:row>51</xdr:row>
      <xdr:rowOff>128587</xdr:rowOff>
    </xdr:to>
    <xdr:sp macro="" textlink="">
      <xdr:nvSpPr>
        <xdr:cNvPr id="41" name="Trait 54"/>
        <xdr:cNvSpPr>
          <a:spLocks noChangeShapeType="1"/>
        </xdr:cNvSpPr>
      </xdr:nvSpPr>
      <xdr:spPr bwMode="auto">
        <a:xfrm flipH="1">
          <a:off x="6891337" y="9263062"/>
          <a:ext cx="3288507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161925</xdr:colOff>
      <xdr:row>51</xdr:row>
      <xdr:rowOff>142875</xdr:rowOff>
    </xdr:from>
    <xdr:to>
      <xdr:col>51</xdr:col>
      <xdr:colOff>31875</xdr:colOff>
      <xdr:row>51</xdr:row>
      <xdr:rowOff>225675</xdr:rowOff>
    </xdr:to>
    <xdr:sp macro="" textlink="">
      <xdr:nvSpPr>
        <xdr:cNvPr id="42" name="Rectangle 64"/>
        <xdr:cNvSpPr>
          <a:spLocks noChangeArrowheads="1"/>
        </xdr:cNvSpPr>
      </xdr:nvSpPr>
      <xdr:spPr bwMode="auto">
        <a:xfrm>
          <a:off x="161925" y="9277350"/>
          <a:ext cx="20844000" cy="82800"/>
        </a:xfrm>
        <a:prstGeom prst="rect">
          <a:avLst/>
        </a:prstGeom>
        <a:solidFill>
          <a:srgbClr val="1E4682"/>
        </a:solidFill>
        <a:ln>
          <a:noFill/>
        </a:ln>
        <a:extLst/>
      </xdr:spPr>
    </xdr:sp>
    <xdr:clientData/>
  </xdr:twoCellAnchor>
  <xdr:twoCellAnchor>
    <xdr:from>
      <xdr:col>0</xdr:col>
      <xdr:colOff>166829</xdr:colOff>
      <xdr:row>51</xdr:row>
      <xdr:rowOff>239081</xdr:rowOff>
    </xdr:from>
    <xdr:to>
      <xdr:col>17</xdr:col>
      <xdr:colOff>104545</xdr:colOff>
      <xdr:row>51</xdr:row>
      <xdr:rowOff>240507</xdr:rowOff>
    </xdr:to>
    <xdr:sp macro="" textlink="">
      <xdr:nvSpPr>
        <xdr:cNvPr id="43" name="Trait 65"/>
        <xdr:cNvSpPr>
          <a:spLocks noChangeShapeType="1"/>
        </xdr:cNvSpPr>
      </xdr:nvSpPr>
      <xdr:spPr bwMode="auto">
        <a:xfrm flipH="1" flipV="1">
          <a:off x="166829" y="9373556"/>
          <a:ext cx="6586166" cy="1426"/>
        </a:xfrm>
        <a:prstGeom prst="line">
          <a:avLst/>
        </a:prstGeom>
        <a:noFill/>
        <a:ln w="25400">
          <a:solidFill>
            <a:srgbClr val="FFFF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167786</xdr:colOff>
      <xdr:row>51</xdr:row>
      <xdr:rowOff>129686</xdr:rowOff>
    </xdr:from>
    <xdr:to>
      <xdr:col>18</xdr:col>
      <xdr:colOff>2928</xdr:colOff>
      <xdr:row>51</xdr:row>
      <xdr:rowOff>129686</xdr:rowOff>
    </xdr:to>
    <xdr:sp macro="" textlink="">
      <xdr:nvSpPr>
        <xdr:cNvPr id="44" name="Trait 66"/>
        <xdr:cNvSpPr>
          <a:spLocks noChangeShapeType="1"/>
        </xdr:cNvSpPr>
      </xdr:nvSpPr>
      <xdr:spPr bwMode="auto">
        <a:xfrm flipH="1" flipV="1">
          <a:off x="167786" y="9264161"/>
          <a:ext cx="6588367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119062</xdr:colOff>
      <xdr:row>27</xdr:row>
      <xdr:rowOff>128585</xdr:rowOff>
    </xdr:from>
    <xdr:to>
      <xdr:col>43</xdr:col>
      <xdr:colOff>103687</xdr:colOff>
      <xdr:row>27</xdr:row>
      <xdr:rowOff>128585</xdr:rowOff>
    </xdr:to>
    <xdr:sp macro="" textlink="">
      <xdr:nvSpPr>
        <xdr:cNvPr id="50" name="Trait 66"/>
        <xdr:cNvSpPr>
          <a:spLocks noChangeShapeType="1"/>
        </xdr:cNvSpPr>
      </xdr:nvSpPr>
      <xdr:spPr bwMode="auto">
        <a:xfrm flipH="1" flipV="1">
          <a:off x="10301287" y="2976560"/>
          <a:ext cx="748080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119063</xdr:colOff>
      <xdr:row>37</xdr:row>
      <xdr:rowOff>128587</xdr:rowOff>
    </xdr:from>
    <xdr:to>
      <xdr:col>43</xdr:col>
      <xdr:colOff>103688</xdr:colOff>
      <xdr:row>37</xdr:row>
      <xdr:rowOff>128587</xdr:rowOff>
    </xdr:to>
    <xdr:sp macro="" textlink="">
      <xdr:nvSpPr>
        <xdr:cNvPr id="51" name="Trait 66"/>
        <xdr:cNvSpPr>
          <a:spLocks noChangeShapeType="1"/>
        </xdr:cNvSpPr>
      </xdr:nvSpPr>
      <xdr:spPr bwMode="auto">
        <a:xfrm flipH="1" flipV="1">
          <a:off x="10301288" y="6119812"/>
          <a:ext cx="748080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119059</xdr:colOff>
      <xdr:row>51</xdr:row>
      <xdr:rowOff>128588</xdr:rowOff>
    </xdr:from>
    <xdr:to>
      <xdr:col>43</xdr:col>
      <xdr:colOff>103684</xdr:colOff>
      <xdr:row>51</xdr:row>
      <xdr:rowOff>128588</xdr:rowOff>
    </xdr:to>
    <xdr:sp macro="" textlink="">
      <xdr:nvSpPr>
        <xdr:cNvPr id="53" name="Trait 66"/>
        <xdr:cNvSpPr>
          <a:spLocks noChangeShapeType="1"/>
        </xdr:cNvSpPr>
      </xdr:nvSpPr>
      <xdr:spPr bwMode="auto">
        <a:xfrm flipH="1">
          <a:off x="10301284" y="9263063"/>
          <a:ext cx="748080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119063</xdr:colOff>
      <xdr:row>65</xdr:row>
      <xdr:rowOff>128587</xdr:rowOff>
    </xdr:from>
    <xdr:to>
      <xdr:col>44</xdr:col>
      <xdr:colOff>4764</xdr:colOff>
      <xdr:row>65</xdr:row>
      <xdr:rowOff>128589</xdr:rowOff>
    </xdr:to>
    <xdr:sp macro="" textlink="">
      <xdr:nvSpPr>
        <xdr:cNvPr id="54" name="Trait 66"/>
        <xdr:cNvSpPr>
          <a:spLocks noChangeShapeType="1"/>
        </xdr:cNvSpPr>
      </xdr:nvSpPr>
      <xdr:spPr bwMode="auto">
        <a:xfrm flipH="1" flipV="1">
          <a:off x="10301288" y="12406312"/>
          <a:ext cx="7486651" cy="2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119063</xdr:colOff>
      <xdr:row>71</xdr:row>
      <xdr:rowOff>150018</xdr:rowOff>
    </xdr:from>
    <xdr:to>
      <xdr:col>44</xdr:col>
      <xdr:colOff>4764</xdr:colOff>
      <xdr:row>71</xdr:row>
      <xdr:rowOff>150020</xdr:rowOff>
    </xdr:to>
    <xdr:sp macro="" textlink="">
      <xdr:nvSpPr>
        <xdr:cNvPr id="56" name="Trait 66"/>
        <xdr:cNvSpPr>
          <a:spLocks noChangeShapeType="1"/>
        </xdr:cNvSpPr>
      </xdr:nvSpPr>
      <xdr:spPr bwMode="auto">
        <a:xfrm flipH="1" flipV="1">
          <a:off x="10301288" y="15570993"/>
          <a:ext cx="7486651" cy="2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138113</xdr:colOff>
      <xdr:row>51</xdr:row>
      <xdr:rowOff>238124</xdr:rowOff>
    </xdr:from>
    <xdr:to>
      <xdr:col>26</xdr:col>
      <xdr:colOff>104288</xdr:colOff>
      <xdr:row>51</xdr:row>
      <xdr:rowOff>238124</xdr:rowOff>
    </xdr:to>
    <xdr:sp macro="" textlink="">
      <xdr:nvSpPr>
        <xdr:cNvPr id="57" name="Trait 65"/>
        <xdr:cNvSpPr>
          <a:spLocks noChangeShapeType="1"/>
        </xdr:cNvSpPr>
      </xdr:nvSpPr>
      <xdr:spPr bwMode="auto">
        <a:xfrm flipH="1" flipV="1">
          <a:off x="6891338" y="9372599"/>
          <a:ext cx="3290400" cy="0"/>
        </a:xfrm>
        <a:prstGeom prst="line">
          <a:avLst/>
        </a:prstGeom>
        <a:noFill/>
        <a:ln w="25400">
          <a:solidFill>
            <a:srgbClr val="FFFF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138112</xdr:colOff>
      <xdr:row>9</xdr:row>
      <xdr:rowOff>238121</xdr:rowOff>
    </xdr:from>
    <xdr:to>
      <xdr:col>26</xdr:col>
      <xdr:colOff>104287</xdr:colOff>
      <xdr:row>9</xdr:row>
      <xdr:rowOff>238121</xdr:rowOff>
    </xdr:to>
    <xdr:sp macro="" textlink="">
      <xdr:nvSpPr>
        <xdr:cNvPr id="58" name="Trait 65"/>
        <xdr:cNvSpPr>
          <a:spLocks noChangeShapeType="1"/>
        </xdr:cNvSpPr>
      </xdr:nvSpPr>
      <xdr:spPr bwMode="auto">
        <a:xfrm flipH="1">
          <a:off x="6891337" y="1600196"/>
          <a:ext cx="3290400" cy="0"/>
        </a:xfrm>
        <a:prstGeom prst="line">
          <a:avLst/>
        </a:prstGeom>
        <a:noFill/>
        <a:ln w="25400">
          <a:solidFill>
            <a:srgbClr val="FFFF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138111</xdr:colOff>
      <xdr:row>27</xdr:row>
      <xdr:rowOff>238123</xdr:rowOff>
    </xdr:from>
    <xdr:to>
      <xdr:col>26</xdr:col>
      <xdr:colOff>104286</xdr:colOff>
      <xdr:row>27</xdr:row>
      <xdr:rowOff>238123</xdr:rowOff>
    </xdr:to>
    <xdr:sp macro="" textlink="">
      <xdr:nvSpPr>
        <xdr:cNvPr id="65" name="Trait 65"/>
        <xdr:cNvSpPr>
          <a:spLocks noChangeShapeType="1"/>
        </xdr:cNvSpPr>
      </xdr:nvSpPr>
      <xdr:spPr bwMode="auto">
        <a:xfrm flipH="1">
          <a:off x="6891336" y="3086098"/>
          <a:ext cx="3290400" cy="0"/>
        </a:xfrm>
        <a:prstGeom prst="line">
          <a:avLst/>
        </a:prstGeom>
        <a:noFill/>
        <a:ln w="25400">
          <a:solidFill>
            <a:srgbClr val="FFFF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  <xdr:txBody>
        <a:bodyPr/>
        <a:lstStyle/>
        <a:p>
          <a:endParaRPr lang="fr-FR"/>
        </a:p>
      </xdr:txBody>
    </xdr:sp>
    <xdr:clientData/>
  </xdr:twoCellAnchor>
  <xdr:twoCellAnchor>
    <xdr:from>
      <xdr:col>18</xdr:col>
      <xdr:colOff>138110</xdr:colOff>
      <xdr:row>37</xdr:row>
      <xdr:rowOff>240504</xdr:rowOff>
    </xdr:from>
    <xdr:to>
      <xdr:col>26</xdr:col>
      <xdr:colOff>104774</xdr:colOff>
      <xdr:row>37</xdr:row>
      <xdr:rowOff>240504</xdr:rowOff>
    </xdr:to>
    <xdr:sp macro="" textlink="">
      <xdr:nvSpPr>
        <xdr:cNvPr id="67" name="Trait 65"/>
        <xdr:cNvSpPr>
          <a:spLocks noChangeShapeType="1"/>
        </xdr:cNvSpPr>
      </xdr:nvSpPr>
      <xdr:spPr bwMode="auto">
        <a:xfrm flipH="1">
          <a:off x="6891335" y="6231729"/>
          <a:ext cx="3290889" cy="0"/>
        </a:xfrm>
        <a:prstGeom prst="line">
          <a:avLst/>
        </a:prstGeom>
        <a:noFill/>
        <a:ln w="25400">
          <a:solidFill>
            <a:srgbClr val="FFFF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138112</xdr:colOff>
      <xdr:row>65</xdr:row>
      <xdr:rowOff>238122</xdr:rowOff>
    </xdr:from>
    <xdr:to>
      <xdr:col>26</xdr:col>
      <xdr:colOff>104287</xdr:colOff>
      <xdr:row>65</xdr:row>
      <xdr:rowOff>238122</xdr:rowOff>
    </xdr:to>
    <xdr:sp macro="" textlink="">
      <xdr:nvSpPr>
        <xdr:cNvPr id="68" name="Trait 65"/>
        <xdr:cNvSpPr>
          <a:spLocks noChangeShapeType="1"/>
        </xdr:cNvSpPr>
      </xdr:nvSpPr>
      <xdr:spPr bwMode="auto">
        <a:xfrm flipH="1" flipV="1">
          <a:off x="6891337" y="12515847"/>
          <a:ext cx="3290400" cy="0"/>
        </a:xfrm>
        <a:prstGeom prst="line">
          <a:avLst/>
        </a:prstGeom>
        <a:noFill/>
        <a:ln w="25400">
          <a:solidFill>
            <a:srgbClr val="FFFF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119060</xdr:colOff>
      <xdr:row>9</xdr:row>
      <xdr:rowOff>238121</xdr:rowOff>
    </xdr:from>
    <xdr:to>
      <xdr:col>43</xdr:col>
      <xdr:colOff>100085</xdr:colOff>
      <xdr:row>9</xdr:row>
      <xdr:rowOff>238121</xdr:rowOff>
    </xdr:to>
    <xdr:sp macro="" textlink="">
      <xdr:nvSpPr>
        <xdr:cNvPr id="71" name="Trait 65"/>
        <xdr:cNvSpPr>
          <a:spLocks noChangeShapeType="1"/>
        </xdr:cNvSpPr>
      </xdr:nvSpPr>
      <xdr:spPr bwMode="auto">
        <a:xfrm flipH="1" flipV="1">
          <a:off x="10301285" y="1600196"/>
          <a:ext cx="7477200" cy="0"/>
        </a:xfrm>
        <a:prstGeom prst="line">
          <a:avLst/>
        </a:prstGeom>
        <a:noFill/>
        <a:ln w="25400">
          <a:solidFill>
            <a:srgbClr val="FFFF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119057</xdr:colOff>
      <xdr:row>9</xdr:row>
      <xdr:rowOff>128588</xdr:rowOff>
    </xdr:from>
    <xdr:to>
      <xdr:col>43</xdr:col>
      <xdr:colOff>103682</xdr:colOff>
      <xdr:row>9</xdr:row>
      <xdr:rowOff>128588</xdr:rowOff>
    </xdr:to>
    <xdr:sp macro="" textlink="">
      <xdr:nvSpPr>
        <xdr:cNvPr id="72" name="Trait 54"/>
        <xdr:cNvSpPr>
          <a:spLocks noChangeShapeType="1"/>
        </xdr:cNvSpPr>
      </xdr:nvSpPr>
      <xdr:spPr bwMode="auto">
        <a:xfrm flipH="1">
          <a:off x="10301282" y="1490663"/>
          <a:ext cx="748080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128587</xdr:colOff>
      <xdr:row>9</xdr:row>
      <xdr:rowOff>128573</xdr:rowOff>
    </xdr:from>
    <xdr:to>
      <xdr:col>50</xdr:col>
      <xdr:colOff>92962</xdr:colOff>
      <xdr:row>9</xdr:row>
      <xdr:rowOff>128586</xdr:rowOff>
    </xdr:to>
    <xdr:sp macro="" textlink="">
      <xdr:nvSpPr>
        <xdr:cNvPr id="74" name="Trait 54"/>
        <xdr:cNvSpPr>
          <a:spLocks noChangeShapeType="1"/>
        </xdr:cNvSpPr>
      </xdr:nvSpPr>
      <xdr:spPr bwMode="auto">
        <a:xfrm flipH="1" flipV="1">
          <a:off x="17911762" y="1490648"/>
          <a:ext cx="3060000" cy="13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128585</xdr:colOff>
      <xdr:row>27</xdr:row>
      <xdr:rowOff>238102</xdr:rowOff>
    </xdr:from>
    <xdr:to>
      <xdr:col>50</xdr:col>
      <xdr:colOff>92960</xdr:colOff>
      <xdr:row>27</xdr:row>
      <xdr:rowOff>238122</xdr:rowOff>
    </xdr:to>
    <xdr:sp macro="" textlink="">
      <xdr:nvSpPr>
        <xdr:cNvPr id="75" name="Trait 65"/>
        <xdr:cNvSpPr>
          <a:spLocks noChangeShapeType="1"/>
        </xdr:cNvSpPr>
      </xdr:nvSpPr>
      <xdr:spPr bwMode="auto">
        <a:xfrm flipH="1" flipV="1">
          <a:off x="17911760" y="3086077"/>
          <a:ext cx="3060000" cy="20"/>
        </a:xfrm>
        <a:prstGeom prst="line">
          <a:avLst/>
        </a:prstGeom>
        <a:noFill/>
        <a:ln w="25400">
          <a:solidFill>
            <a:srgbClr val="FFFF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128587</xdr:colOff>
      <xdr:row>37</xdr:row>
      <xdr:rowOff>233338</xdr:rowOff>
    </xdr:from>
    <xdr:to>
      <xdr:col>50</xdr:col>
      <xdr:colOff>92962</xdr:colOff>
      <xdr:row>37</xdr:row>
      <xdr:rowOff>233358</xdr:rowOff>
    </xdr:to>
    <xdr:sp macro="" textlink="">
      <xdr:nvSpPr>
        <xdr:cNvPr id="76" name="Trait 65"/>
        <xdr:cNvSpPr>
          <a:spLocks noChangeShapeType="1"/>
        </xdr:cNvSpPr>
      </xdr:nvSpPr>
      <xdr:spPr bwMode="auto">
        <a:xfrm flipH="1" flipV="1">
          <a:off x="17911762" y="6224563"/>
          <a:ext cx="3060000" cy="20"/>
        </a:xfrm>
        <a:prstGeom prst="line">
          <a:avLst/>
        </a:prstGeom>
        <a:noFill/>
        <a:ln w="25400">
          <a:solidFill>
            <a:srgbClr val="FFFF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128587</xdr:colOff>
      <xdr:row>51</xdr:row>
      <xdr:rowOff>240481</xdr:rowOff>
    </xdr:from>
    <xdr:to>
      <xdr:col>51</xdr:col>
      <xdr:colOff>1312</xdr:colOff>
      <xdr:row>51</xdr:row>
      <xdr:rowOff>240501</xdr:rowOff>
    </xdr:to>
    <xdr:sp macro="" textlink="">
      <xdr:nvSpPr>
        <xdr:cNvPr id="77" name="Trait 65"/>
        <xdr:cNvSpPr>
          <a:spLocks noChangeShapeType="1"/>
        </xdr:cNvSpPr>
      </xdr:nvSpPr>
      <xdr:spPr bwMode="auto">
        <a:xfrm flipH="1" flipV="1">
          <a:off x="17911762" y="9374956"/>
          <a:ext cx="3063600" cy="20"/>
        </a:xfrm>
        <a:prstGeom prst="line">
          <a:avLst/>
        </a:prstGeom>
        <a:noFill/>
        <a:ln w="25400">
          <a:solidFill>
            <a:srgbClr val="FFFF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128588</xdr:colOff>
      <xdr:row>27</xdr:row>
      <xdr:rowOff>128574</xdr:rowOff>
    </xdr:from>
    <xdr:to>
      <xdr:col>50</xdr:col>
      <xdr:colOff>92963</xdr:colOff>
      <xdr:row>27</xdr:row>
      <xdr:rowOff>128587</xdr:rowOff>
    </xdr:to>
    <xdr:sp macro="" textlink="">
      <xdr:nvSpPr>
        <xdr:cNvPr id="79" name="Trait 54"/>
        <xdr:cNvSpPr>
          <a:spLocks noChangeShapeType="1"/>
        </xdr:cNvSpPr>
      </xdr:nvSpPr>
      <xdr:spPr bwMode="auto">
        <a:xfrm flipH="1" flipV="1">
          <a:off x="17911763" y="2976549"/>
          <a:ext cx="3060000" cy="13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128588</xdr:colOff>
      <xdr:row>37</xdr:row>
      <xdr:rowOff>130955</xdr:rowOff>
    </xdr:from>
    <xdr:to>
      <xdr:col>50</xdr:col>
      <xdr:colOff>92963</xdr:colOff>
      <xdr:row>37</xdr:row>
      <xdr:rowOff>130968</xdr:rowOff>
    </xdr:to>
    <xdr:sp macro="" textlink="">
      <xdr:nvSpPr>
        <xdr:cNvPr id="80" name="Trait 54"/>
        <xdr:cNvSpPr>
          <a:spLocks noChangeShapeType="1"/>
        </xdr:cNvSpPr>
      </xdr:nvSpPr>
      <xdr:spPr bwMode="auto">
        <a:xfrm flipH="1" flipV="1">
          <a:off x="17911763" y="6122180"/>
          <a:ext cx="3060000" cy="13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128583</xdr:colOff>
      <xdr:row>51</xdr:row>
      <xdr:rowOff>128573</xdr:rowOff>
    </xdr:from>
    <xdr:to>
      <xdr:col>50</xdr:col>
      <xdr:colOff>92958</xdr:colOff>
      <xdr:row>51</xdr:row>
      <xdr:rowOff>128573</xdr:rowOff>
    </xdr:to>
    <xdr:sp macro="" textlink="">
      <xdr:nvSpPr>
        <xdr:cNvPr id="81" name="Trait 54"/>
        <xdr:cNvSpPr>
          <a:spLocks noChangeShapeType="1"/>
        </xdr:cNvSpPr>
      </xdr:nvSpPr>
      <xdr:spPr bwMode="auto">
        <a:xfrm flipH="1" flipV="1">
          <a:off x="17911758" y="9263048"/>
          <a:ext cx="306000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128588</xdr:colOff>
      <xdr:row>65</xdr:row>
      <xdr:rowOff>128574</xdr:rowOff>
    </xdr:from>
    <xdr:to>
      <xdr:col>50</xdr:col>
      <xdr:colOff>92963</xdr:colOff>
      <xdr:row>65</xdr:row>
      <xdr:rowOff>128587</xdr:rowOff>
    </xdr:to>
    <xdr:sp macro="" textlink="">
      <xdr:nvSpPr>
        <xdr:cNvPr id="82" name="Trait 54"/>
        <xdr:cNvSpPr>
          <a:spLocks noChangeShapeType="1"/>
        </xdr:cNvSpPr>
      </xdr:nvSpPr>
      <xdr:spPr bwMode="auto">
        <a:xfrm flipH="1" flipV="1">
          <a:off x="17911763" y="12406299"/>
          <a:ext cx="3060000" cy="13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130968</xdr:colOff>
      <xdr:row>65</xdr:row>
      <xdr:rowOff>238100</xdr:rowOff>
    </xdr:from>
    <xdr:to>
      <xdr:col>51</xdr:col>
      <xdr:colOff>93</xdr:colOff>
      <xdr:row>65</xdr:row>
      <xdr:rowOff>238120</xdr:rowOff>
    </xdr:to>
    <xdr:sp macro="" textlink="">
      <xdr:nvSpPr>
        <xdr:cNvPr id="83" name="Trait 65"/>
        <xdr:cNvSpPr>
          <a:spLocks noChangeShapeType="1"/>
        </xdr:cNvSpPr>
      </xdr:nvSpPr>
      <xdr:spPr bwMode="auto">
        <a:xfrm flipH="1" flipV="1">
          <a:off x="17914143" y="12515825"/>
          <a:ext cx="3060000" cy="20"/>
        </a:xfrm>
        <a:prstGeom prst="line">
          <a:avLst/>
        </a:prstGeom>
        <a:noFill/>
        <a:ln w="25400">
          <a:solidFill>
            <a:srgbClr val="FFFF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128587</xdr:colOff>
      <xdr:row>9</xdr:row>
      <xdr:rowOff>240481</xdr:rowOff>
    </xdr:from>
    <xdr:to>
      <xdr:col>51</xdr:col>
      <xdr:colOff>1312</xdr:colOff>
      <xdr:row>9</xdr:row>
      <xdr:rowOff>240505</xdr:rowOff>
    </xdr:to>
    <xdr:sp macro="" textlink="">
      <xdr:nvSpPr>
        <xdr:cNvPr id="85" name="Trait 65"/>
        <xdr:cNvSpPr>
          <a:spLocks noChangeShapeType="1"/>
        </xdr:cNvSpPr>
      </xdr:nvSpPr>
      <xdr:spPr bwMode="auto">
        <a:xfrm flipH="1" flipV="1">
          <a:off x="17911762" y="1602556"/>
          <a:ext cx="3063600" cy="24"/>
        </a:xfrm>
        <a:prstGeom prst="line">
          <a:avLst/>
        </a:prstGeom>
        <a:noFill/>
        <a:ln w="25400">
          <a:solidFill>
            <a:srgbClr val="FFFF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121443</xdr:colOff>
      <xdr:row>37</xdr:row>
      <xdr:rowOff>238122</xdr:rowOff>
    </xdr:from>
    <xdr:to>
      <xdr:col>43</xdr:col>
      <xdr:colOff>104774</xdr:colOff>
      <xdr:row>37</xdr:row>
      <xdr:rowOff>238122</xdr:rowOff>
    </xdr:to>
    <xdr:sp macro="" textlink="">
      <xdr:nvSpPr>
        <xdr:cNvPr id="87" name="Trait 65"/>
        <xdr:cNvSpPr>
          <a:spLocks noChangeShapeType="1"/>
        </xdr:cNvSpPr>
      </xdr:nvSpPr>
      <xdr:spPr bwMode="auto">
        <a:xfrm flipH="1">
          <a:off x="10303668" y="6229347"/>
          <a:ext cx="7479506" cy="0"/>
        </a:xfrm>
        <a:prstGeom prst="line">
          <a:avLst/>
        </a:prstGeom>
        <a:noFill/>
        <a:ln w="25400">
          <a:solidFill>
            <a:srgbClr val="FFFF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128588</xdr:colOff>
      <xdr:row>71</xdr:row>
      <xdr:rowOff>150003</xdr:rowOff>
    </xdr:from>
    <xdr:to>
      <xdr:col>50</xdr:col>
      <xdr:colOff>92963</xdr:colOff>
      <xdr:row>71</xdr:row>
      <xdr:rowOff>150016</xdr:rowOff>
    </xdr:to>
    <xdr:sp macro="" textlink="">
      <xdr:nvSpPr>
        <xdr:cNvPr id="59" name="Trait 54"/>
        <xdr:cNvSpPr>
          <a:spLocks noChangeShapeType="1"/>
        </xdr:cNvSpPr>
      </xdr:nvSpPr>
      <xdr:spPr bwMode="auto">
        <a:xfrm flipH="1" flipV="1">
          <a:off x="17911763" y="15570978"/>
          <a:ext cx="3060000" cy="13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28</xdr:col>
      <xdr:colOff>0</xdr:colOff>
      <xdr:row>51</xdr:row>
      <xdr:rowOff>238100</xdr:rowOff>
    </xdr:from>
    <xdr:to>
      <xdr:col>44</xdr:col>
      <xdr:colOff>75</xdr:colOff>
      <xdr:row>51</xdr:row>
      <xdr:rowOff>238100</xdr:rowOff>
    </xdr:to>
    <xdr:sp macro="" textlink="">
      <xdr:nvSpPr>
        <xdr:cNvPr id="60" name="Trait 65"/>
        <xdr:cNvSpPr>
          <a:spLocks noChangeShapeType="1"/>
        </xdr:cNvSpPr>
      </xdr:nvSpPr>
      <xdr:spPr bwMode="auto">
        <a:xfrm flipH="1" flipV="1">
          <a:off x="10306050" y="9372575"/>
          <a:ext cx="7477200" cy="0"/>
        </a:xfrm>
        <a:prstGeom prst="line">
          <a:avLst/>
        </a:prstGeom>
        <a:noFill/>
        <a:ln w="25400">
          <a:solidFill>
            <a:srgbClr val="FFFF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28</xdr:col>
      <xdr:colOff>0</xdr:colOff>
      <xdr:row>65</xdr:row>
      <xdr:rowOff>238100</xdr:rowOff>
    </xdr:from>
    <xdr:to>
      <xdr:col>44</xdr:col>
      <xdr:colOff>75</xdr:colOff>
      <xdr:row>65</xdr:row>
      <xdr:rowOff>238100</xdr:rowOff>
    </xdr:to>
    <xdr:sp macro="" textlink="">
      <xdr:nvSpPr>
        <xdr:cNvPr id="61" name="Trait 65"/>
        <xdr:cNvSpPr>
          <a:spLocks noChangeShapeType="1"/>
        </xdr:cNvSpPr>
      </xdr:nvSpPr>
      <xdr:spPr bwMode="auto">
        <a:xfrm flipH="1" flipV="1">
          <a:off x="10306050" y="12515825"/>
          <a:ext cx="7477200" cy="0"/>
        </a:xfrm>
        <a:prstGeom prst="line">
          <a:avLst/>
        </a:prstGeom>
        <a:noFill/>
        <a:ln w="25400">
          <a:solidFill>
            <a:srgbClr val="FFFF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138111</xdr:colOff>
      <xdr:row>13</xdr:row>
      <xdr:rowOff>128587</xdr:rowOff>
    </xdr:from>
    <xdr:to>
      <xdr:col>26</xdr:col>
      <xdr:colOff>102393</xdr:colOff>
      <xdr:row>13</xdr:row>
      <xdr:rowOff>128587</xdr:rowOff>
    </xdr:to>
    <xdr:sp macro="" textlink="">
      <xdr:nvSpPr>
        <xdr:cNvPr id="88" name="Trait 54"/>
        <xdr:cNvSpPr>
          <a:spLocks noChangeShapeType="1"/>
        </xdr:cNvSpPr>
      </xdr:nvSpPr>
      <xdr:spPr bwMode="auto">
        <a:xfrm flipH="1">
          <a:off x="6891336" y="4614862"/>
          <a:ext cx="3288507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152400</xdr:colOff>
      <xdr:row>13</xdr:row>
      <xdr:rowOff>142875</xdr:rowOff>
    </xdr:from>
    <xdr:to>
      <xdr:col>51</xdr:col>
      <xdr:colOff>22350</xdr:colOff>
      <xdr:row>13</xdr:row>
      <xdr:rowOff>228339</xdr:rowOff>
    </xdr:to>
    <xdr:sp macro="" textlink="">
      <xdr:nvSpPr>
        <xdr:cNvPr id="89" name="Rectangle 64"/>
        <xdr:cNvSpPr>
          <a:spLocks noChangeArrowheads="1"/>
        </xdr:cNvSpPr>
      </xdr:nvSpPr>
      <xdr:spPr bwMode="auto">
        <a:xfrm>
          <a:off x="152400" y="4629150"/>
          <a:ext cx="20910675" cy="85464"/>
        </a:xfrm>
        <a:prstGeom prst="rect">
          <a:avLst/>
        </a:prstGeom>
        <a:solidFill>
          <a:srgbClr val="1E4682"/>
        </a:solidFill>
        <a:ln>
          <a:noFill/>
        </a:ln>
        <a:extLst/>
      </xdr:spPr>
    </xdr:sp>
    <xdr:clientData/>
  </xdr:twoCellAnchor>
  <xdr:twoCellAnchor>
    <xdr:from>
      <xdr:col>0</xdr:col>
      <xdr:colOff>166829</xdr:colOff>
      <xdr:row>13</xdr:row>
      <xdr:rowOff>243843</xdr:rowOff>
    </xdr:from>
    <xdr:to>
      <xdr:col>17</xdr:col>
      <xdr:colOff>104545</xdr:colOff>
      <xdr:row>13</xdr:row>
      <xdr:rowOff>245269</xdr:rowOff>
    </xdr:to>
    <xdr:sp macro="" textlink="">
      <xdr:nvSpPr>
        <xdr:cNvPr id="90" name="Trait 65"/>
        <xdr:cNvSpPr>
          <a:spLocks noChangeShapeType="1"/>
        </xdr:cNvSpPr>
      </xdr:nvSpPr>
      <xdr:spPr bwMode="auto">
        <a:xfrm flipH="1" flipV="1">
          <a:off x="166829" y="4730118"/>
          <a:ext cx="6586166" cy="1426"/>
        </a:xfrm>
        <a:prstGeom prst="line">
          <a:avLst/>
        </a:prstGeom>
        <a:noFill/>
        <a:ln w="25400">
          <a:solidFill>
            <a:srgbClr val="FFFF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166686</xdr:colOff>
      <xdr:row>13</xdr:row>
      <xdr:rowOff>129685</xdr:rowOff>
    </xdr:from>
    <xdr:to>
      <xdr:col>18</xdr:col>
      <xdr:colOff>1461</xdr:colOff>
      <xdr:row>13</xdr:row>
      <xdr:rowOff>129685</xdr:rowOff>
    </xdr:to>
    <xdr:sp macro="" textlink="">
      <xdr:nvSpPr>
        <xdr:cNvPr id="91" name="Trait 66"/>
        <xdr:cNvSpPr>
          <a:spLocks noChangeShapeType="1"/>
        </xdr:cNvSpPr>
      </xdr:nvSpPr>
      <xdr:spPr bwMode="auto">
        <a:xfrm flipH="1" flipV="1">
          <a:off x="166686" y="4615960"/>
          <a:ext cx="658800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119062</xdr:colOff>
      <xdr:row>13</xdr:row>
      <xdr:rowOff>128585</xdr:rowOff>
    </xdr:from>
    <xdr:to>
      <xdr:col>43</xdr:col>
      <xdr:colOff>103687</xdr:colOff>
      <xdr:row>13</xdr:row>
      <xdr:rowOff>128585</xdr:rowOff>
    </xdr:to>
    <xdr:sp macro="" textlink="">
      <xdr:nvSpPr>
        <xdr:cNvPr id="92" name="Trait 66"/>
        <xdr:cNvSpPr>
          <a:spLocks noChangeShapeType="1"/>
        </xdr:cNvSpPr>
      </xdr:nvSpPr>
      <xdr:spPr bwMode="auto">
        <a:xfrm flipH="1" flipV="1">
          <a:off x="10301287" y="4614860"/>
          <a:ext cx="748080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138111</xdr:colOff>
      <xdr:row>13</xdr:row>
      <xdr:rowOff>238123</xdr:rowOff>
    </xdr:from>
    <xdr:to>
      <xdr:col>26</xdr:col>
      <xdr:colOff>104286</xdr:colOff>
      <xdr:row>13</xdr:row>
      <xdr:rowOff>238123</xdr:rowOff>
    </xdr:to>
    <xdr:sp macro="" textlink="">
      <xdr:nvSpPr>
        <xdr:cNvPr id="93" name="Trait 65"/>
        <xdr:cNvSpPr>
          <a:spLocks noChangeShapeType="1"/>
        </xdr:cNvSpPr>
      </xdr:nvSpPr>
      <xdr:spPr bwMode="auto">
        <a:xfrm flipH="1">
          <a:off x="6891336" y="4724398"/>
          <a:ext cx="3290400" cy="0"/>
        </a:xfrm>
        <a:prstGeom prst="line">
          <a:avLst/>
        </a:prstGeom>
        <a:noFill/>
        <a:ln w="25400">
          <a:solidFill>
            <a:srgbClr val="FFFF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  <xdr:txBody>
        <a:bodyPr/>
        <a:lstStyle/>
        <a:p>
          <a:endParaRPr lang="fr-FR"/>
        </a:p>
      </xdr:txBody>
    </xdr:sp>
    <xdr:clientData/>
  </xdr:twoCellAnchor>
  <xdr:twoCellAnchor>
    <xdr:from>
      <xdr:col>44</xdr:col>
      <xdr:colOff>128585</xdr:colOff>
      <xdr:row>13</xdr:row>
      <xdr:rowOff>238102</xdr:rowOff>
    </xdr:from>
    <xdr:to>
      <xdr:col>50</xdr:col>
      <xdr:colOff>92960</xdr:colOff>
      <xdr:row>13</xdr:row>
      <xdr:rowOff>238122</xdr:rowOff>
    </xdr:to>
    <xdr:sp macro="" textlink="">
      <xdr:nvSpPr>
        <xdr:cNvPr id="94" name="Trait 65"/>
        <xdr:cNvSpPr>
          <a:spLocks noChangeShapeType="1"/>
        </xdr:cNvSpPr>
      </xdr:nvSpPr>
      <xdr:spPr bwMode="auto">
        <a:xfrm flipH="1" flipV="1">
          <a:off x="17911760" y="4724377"/>
          <a:ext cx="3126675" cy="20"/>
        </a:xfrm>
        <a:prstGeom prst="line">
          <a:avLst/>
        </a:prstGeom>
        <a:noFill/>
        <a:ln w="25400">
          <a:solidFill>
            <a:srgbClr val="FFFF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128588</xdr:colOff>
      <xdr:row>13</xdr:row>
      <xdr:rowOff>128574</xdr:rowOff>
    </xdr:from>
    <xdr:to>
      <xdr:col>50</xdr:col>
      <xdr:colOff>92963</xdr:colOff>
      <xdr:row>13</xdr:row>
      <xdr:rowOff>128587</xdr:rowOff>
    </xdr:to>
    <xdr:sp macro="" textlink="">
      <xdr:nvSpPr>
        <xdr:cNvPr id="95" name="Trait 54"/>
        <xdr:cNvSpPr>
          <a:spLocks noChangeShapeType="1"/>
        </xdr:cNvSpPr>
      </xdr:nvSpPr>
      <xdr:spPr bwMode="auto">
        <a:xfrm flipH="1" flipV="1">
          <a:off x="17911763" y="4614849"/>
          <a:ext cx="3126675" cy="13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95250</xdr:colOff>
      <xdr:row>13</xdr:row>
      <xdr:rowOff>250006</xdr:rowOff>
    </xdr:from>
    <xdr:to>
      <xdr:col>43</xdr:col>
      <xdr:colOff>76275</xdr:colOff>
      <xdr:row>13</xdr:row>
      <xdr:rowOff>250006</xdr:rowOff>
    </xdr:to>
    <xdr:sp macro="" textlink="">
      <xdr:nvSpPr>
        <xdr:cNvPr id="96" name="Trait 65"/>
        <xdr:cNvSpPr>
          <a:spLocks noChangeShapeType="1"/>
        </xdr:cNvSpPr>
      </xdr:nvSpPr>
      <xdr:spPr bwMode="auto">
        <a:xfrm flipH="1" flipV="1">
          <a:off x="10277475" y="4736281"/>
          <a:ext cx="7477200" cy="0"/>
        </a:xfrm>
        <a:prstGeom prst="line">
          <a:avLst/>
        </a:prstGeom>
        <a:noFill/>
        <a:ln w="25400">
          <a:solidFill>
            <a:srgbClr val="FFFF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314325</xdr:colOff>
      <xdr:row>4</xdr:row>
      <xdr:rowOff>247650</xdr:rowOff>
    </xdr:from>
    <xdr:to>
      <xdr:col>7</xdr:col>
      <xdr:colOff>209550</xdr:colOff>
      <xdr:row>15</xdr:row>
      <xdr:rowOff>66675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9525</xdr:colOff>
      <xdr:row>5</xdr:row>
      <xdr:rowOff>381000</xdr:rowOff>
    </xdr:from>
    <xdr:to>
      <xdr:col>3</xdr:col>
      <xdr:colOff>857250</xdr:colOff>
      <xdr:row>6</xdr:row>
      <xdr:rowOff>104775</xdr:rowOff>
    </xdr:to>
    <xdr:sp macro="" textlink="">
      <xdr:nvSpPr>
        <xdr:cNvPr id="14" name="Rectangle 13"/>
        <xdr:cNvSpPr/>
      </xdr:nvSpPr>
      <xdr:spPr>
        <a:xfrm>
          <a:off x="2038350" y="2543175"/>
          <a:ext cx="847725" cy="123825"/>
        </a:xfrm>
        <a:prstGeom prst="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oneCell">
    <xdr:from>
      <xdr:col>2</xdr:col>
      <xdr:colOff>352425</xdr:colOff>
      <xdr:row>3</xdr:row>
      <xdr:rowOff>0</xdr:rowOff>
    </xdr:from>
    <xdr:to>
      <xdr:col>4</xdr:col>
      <xdr:colOff>0</xdr:colOff>
      <xdr:row>18</xdr:row>
      <xdr:rowOff>95250</xdr:rowOff>
    </xdr:to>
    <xdr:graphicFrame macro="">
      <xdr:nvGraphicFramePr>
        <xdr:cNvPr id="15" name="Graphique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PrintsWithSheet="0"/>
  </xdr:twoCellAnchor>
  <xdr:twoCellAnchor editAs="oneCell">
    <xdr:from>
      <xdr:col>3</xdr:col>
      <xdr:colOff>47625</xdr:colOff>
      <xdr:row>3</xdr:row>
      <xdr:rowOff>123825</xdr:rowOff>
    </xdr:from>
    <xdr:to>
      <xdr:col>3</xdr:col>
      <xdr:colOff>2705100</xdr:colOff>
      <xdr:row>18</xdr:row>
      <xdr:rowOff>28575</xdr:rowOff>
    </xdr:to>
    <xdr:graphicFrame macro="">
      <xdr:nvGraphicFramePr>
        <xdr:cNvPr id="16" name="Graphique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PrintsWithSheet="0"/>
  </xdr:twoCellAnchor>
  <xdr:twoCellAnchor>
    <xdr:from>
      <xdr:col>6</xdr:col>
      <xdr:colOff>361950</xdr:colOff>
      <xdr:row>4</xdr:row>
      <xdr:rowOff>409574</xdr:rowOff>
    </xdr:from>
    <xdr:to>
      <xdr:col>7</xdr:col>
      <xdr:colOff>9525</xdr:colOff>
      <xdr:row>15</xdr:row>
      <xdr:rowOff>95248</xdr:rowOff>
    </xdr:to>
    <xdr:graphicFrame macro="">
      <xdr:nvGraphicFramePr>
        <xdr:cNvPr id="42" name="Graphique 4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6</xdr:col>
      <xdr:colOff>9526</xdr:colOff>
      <xdr:row>3</xdr:row>
      <xdr:rowOff>57150</xdr:rowOff>
    </xdr:from>
    <xdr:to>
      <xdr:col>8</xdr:col>
      <xdr:colOff>9526</xdr:colOff>
      <xdr:row>19</xdr:row>
      <xdr:rowOff>57150</xdr:rowOff>
    </xdr:to>
    <xdr:grpSp>
      <xdr:nvGrpSpPr>
        <xdr:cNvPr id="146" name="Groupe 145"/>
        <xdr:cNvGrpSpPr/>
      </xdr:nvGrpSpPr>
      <xdr:grpSpPr>
        <a:xfrm>
          <a:off x="7591426" y="752475"/>
          <a:ext cx="1638300" cy="5876925"/>
          <a:chOff x="10001251" y="1524000"/>
          <a:chExt cx="1533525" cy="4838699"/>
        </a:xfrm>
      </xdr:grpSpPr>
      <xdr:pic>
        <xdr:nvPicPr>
          <xdr:cNvPr id="147" name="Image 146"/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001251" y="1524000"/>
            <a:ext cx="1533525" cy="4838699"/>
          </a:xfrm>
          <a:prstGeom prst="rect">
            <a:avLst/>
          </a:prstGeom>
        </xdr:spPr>
      </xdr:pic>
      <xdr:pic>
        <xdr:nvPicPr>
          <xdr:cNvPr id="148" name="Image 147"/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315375" y="5350803"/>
            <a:ext cx="445011" cy="423725"/>
          </a:xfrm>
          <a:prstGeom prst="rect">
            <a:avLst/>
          </a:prstGeom>
        </xdr:spPr>
      </xdr:pic>
    </xdr:grpSp>
    <xdr:clientData/>
  </xdr:twoCellAnchor>
  <xdr:twoCellAnchor editAs="absolute">
    <xdr:from>
      <xdr:col>6</xdr:col>
      <xdr:colOff>180973</xdr:colOff>
      <xdr:row>16</xdr:row>
      <xdr:rowOff>295276</xdr:rowOff>
    </xdr:from>
    <xdr:to>
      <xdr:col>6</xdr:col>
      <xdr:colOff>809624</xdr:colOff>
      <xdr:row>17</xdr:row>
      <xdr:rowOff>39301</xdr:rowOff>
    </xdr:to>
    <xdr:sp macro="" textlink="Aout_2020!J7">
      <xdr:nvSpPr>
        <xdr:cNvPr id="150" name="Rectangle 149"/>
        <xdr:cNvSpPr/>
      </xdr:nvSpPr>
      <xdr:spPr>
        <a:xfrm>
          <a:off x="7762873" y="6115051"/>
          <a:ext cx="628651" cy="306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38100"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DB3B38D1-2A72-4ADA-8339-AE58AA7CF8E0}" type="TxLink">
            <a:rPr lang="en-US" sz="1000" b="1" i="0" u="none" strike="noStrike">
              <a:solidFill>
                <a:sysClr val="windowText" lastClr="000000"/>
              </a:solidFill>
              <a:latin typeface="Arial"/>
              <a:cs typeface="Arial"/>
            </a:rPr>
            <a:pPr algn="ctr"/>
            <a:t>10.2 °C</a:t>
          </a:fld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7</xdr:col>
      <xdr:colOff>38100</xdr:colOff>
      <xdr:row>16</xdr:row>
      <xdr:rowOff>295275</xdr:rowOff>
    </xdr:from>
    <xdr:to>
      <xdr:col>7</xdr:col>
      <xdr:colOff>647699</xdr:colOff>
      <xdr:row>17</xdr:row>
      <xdr:rowOff>40350</xdr:rowOff>
    </xdr:to>
    <xdr:sp macro="" textlink="Aout_2020!N7">
      <xdr:nvSpPr>
        <xdr:cNvPr id="151" name="Rectangle 150"/>
        <xdr:cNvSpPr/>
      </xdr:nvSpPr>
      <xdr:spPr>
        <a:xfrm>
          <a:off x="8439150" y="6115050"/>
          <a:ext cx="609599" cy="30705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38100"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E61657D1-9B84-4238-8F2B-A610D9B47005}" type="TxLink">
            <a:rPr lang="en-US" sz="1000" b="1" i="0" u="none" strike="noStrike">
              <a:solidFill>
                <a:sysClr val="windowText" lastClr="000000"/>
              </a:solidFill>
              <a:latin typeface="Arial"/>
              <a:cs typeface="Arial"/>
            </a:rPr>
            <a:pPr algn="l"/>
            <a:t>36.3 °C</a:t>
          </a:fld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171450</xdr:colOff>
      <xdr:row>16</xdr:row>
      <xdr:rowOff>209550</xdr:rowOff>
    </xdr:from>
    <xdr:to>
      <xdr:col>3</xdr:col>
      <xdr:colOff>952500</xdr:colOff>
      <xdr:row>17</xdr:row>
      <xdr:rowOff>0</xdr:rowOff>
    </xdr:to>
    <xdr:sp macro="" textlink="Aout_2020!AG9">
      <xdr:nvSpPr>
        <xdr:cNvPr id="7" name="ZoneTexte 6"/>
        <xdr:cNvSpPr txBox="1"/>
      </xdr:nvSpPr>
      <xdr:spPr>
        <a:xfrm>
          <a:off x="1352550" y="6038850"/>
          <a:ext cx="781050" cy="3524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7C2C28F-A797-435F-9BD5-E6A57676DB71}" type="TxLink">
            <a:rPr lang="en-US" sz="1000" b="1" i="0" u="none" strike="noStrike">
              <a:solidFill>
                <a:sysClr val="windowText" lastClr="000000"/>
              </a:solidFill>
              <a:latin typeface="Arial"/>
              <a:cs typeface="Arial"/>
            </a:rPr>
            <a:pPr algn="ctr"/>
            <a:t>25.0 mm</a:t>
          </a:fld>
          <a:endParaRPr lang="fr-FR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1847850</xdr:colOff>
      <xdr:row>16</xdr:row>
      <xdr:rowOff>209550</xdr:rowOff>
    </xdr:from>
    <xdr:to>
      <xdr:col>3</xdr:col>
      <xdr:colOff>2609851</xdr:colOff>
      <xdr:row>17</xdr:row>
      <xdr:rowOff>0</xdr:rowOff>
    </xdr:to>
    <xdr:sp macro="" textlink="Aout_2020!AG5">
      <xdr:nvSpPr>
        <xdr:cNvPr id="164" name="ZoneTexte 163"/>
        <xdr:cNvSpPr txBox="1"/>
      </xdr:nvSpPr>
      <xdr:spPr>
        <a:xfrm>
          <a:off x="2867025" y="6038850"/>
          <a:ext cx="762001" cy="3524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7D473E5-3F37-4B6E-A061-DCDB540EA45B}" type="TxLink">
            <a:rPr lang="en-US" sz="1000" b="1" i="0" u="none" strike="noStrike">
              <a:solidFill>
                <a:sysClr val="windowText" lastClr="000000"/>
              </a:solidFill>
              <a:latin typeface="Arial"/>
              <a:cs typeface="Arial"/>
            </a:rPr>
            <a:pPr algn="ctr"/>
            <a:t>71.0 mm</a:t>
          </a:fld>
          <a:endParaRPr lang="fr-FR" sz="1100" b="1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5</xdr:col>
      <xdr:colOff>219074</xdr:colOff>
      <xdr:row>4</xdr:row>
      <xdr:rowOff>95249</xdr:rowOff>
    </xdr:from>
    <xdr:to>
      <xdr:col>5</xdr:col>
      <xdr:colOff>3099074</xdr:colOff>
      <xdr:row>10</xdr:row>
      <xdr:rowOff>222524</xdr:rowOff>
    </xdr:to>
    <xdr:grpSp>
      <xdr:nvGrpSpPr>
        <xdr:cNvPr id="3" name="Groupe 2"/>
        <xdr:cNvGrpSpPr/>
      </xdr:nvGrpSpPr>
      <xdr:grpSpPr>
        <a:xfrm>
          <a:off x="4286249" y="981074"/>
          <a:ext cx="2880000" cy="2880000"/>
          <a:chOff x="6362699" y="790574"/>
          <a:chExt cx="3420000" cy="3420000"/>
        </a:xfrm>
      </xdr:grpSpPr>
      <xdr:graphicFrame macro="">
        <xdr:nvGraphicFramePr>
          <xdr:cNvPr id="72" name="Graphique 71"/>
          <xdr:cNvGraphicFramePr>
            <a:graphicFrameLocks/>
          </xdr:cNvGraphicFramePr>
        </xdr:nvGraphicFramePr>
        <xdr:xfrm>
          <a:off x="6362699" y="790574"/>
          <a:ext cx="3420000" cy="342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sp macro="" textlink="Aout_2020!X9">
        <xdr:nvSpPr>
          <xdr:cNvPr id="67" name="ZoneTexte 66"/>
          <xdr:cNvSpPr txBox="1"/>
        </xdr:nvSpPr>
        <xdr:spPr>
          <a:xfrm>
            <a:off x="7589308" y="3385878"/>
            <a:ext cx="945091" cy="286753"/>
          </a:xfrm>
          <a:prstGeom prst="rect">
            <a:avLst/>
          </a:prstGeom>
          <a:solidFill>
            <a:schemeClr val="accent6"/>
          </a:solidFill>
          <a:ln w="9525" cmpd="sng"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fld id="{DA3617B4-651A-4587-8420-834022453FA4}" type="TxLink">
              <a:rPr lang="en-US" sz="1000" b="1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 algn="ctr"/>
              <a:t>34.9 km/h</a:t>
            </a:fld>
            <a:endParaRPr lang="fr-FR" sz="12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70" name="Ellipse 69"/>
          <xdr:cNvSpPr/>
        </xdr:nvSpPr>
        <xdr:spPr>
          <a:xfrm>
            <a:off x="7947918" y="2368071"/>
            <a:ext cx="287382" cy="286753"/>
          </a:xfrm>
          <a:prstGeom prst="ellipse">
            <a:avLst/>
          </a:prstGeom>
          <a:solidFill>
            <a:schemeClr val="tx2">
              <a:lumMod val="40000"/>
              <a:lumOff val="60000"/>
            </a:schemeClr>
          </a:solidFill>
          <a:ln w="15875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Aout_2020!Z9">
        <xdr:nvSpPr>
          <xdr:cNvPr id="47" name="ZoneTexte 46"/>
          <xdr:cNvSpPr txBox="1"/>
        </xdr:nvSpPr>
        <xdr:spPr>
          <a:xfrm>
            <a:off x="7539038" y="3751399"/>
            <a:ext cx="1006673" cy="286753"/>
          </a:xfrm>
          <a:prstGeom prst="rect">
            <a:avLst/>
          </a:prstGeom>
          <a:solidFill>
            <a:schemeClr val="accent6"/>
          </a:solidFill>
          <a:ln w="9525" cmpd="sng"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fld id="{B773E787-D1B4-4175-A25F-2FF06A75B479}" type="TxLink">
              <a:rPr lang="en-US" sz="1000" b="1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 algn="ctr"/>
              <a:t>vendredi 28 </a:t>
            </a:fld>
            <a:endParaRPr lang="fr-FR" sz="12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3</xdr:col>
      <xdr:colOff>1981200</xdr:colOff>
      <xdr:row>16</xdr:row>
      <xdr:rowOff>19050</xdr:rowOff>
    </xdr:from>
    <xdr:to>
      <xdr:col>3</xdr:col>
      <xdr:colOff>2524126</xdr:colOff>
      <xdr:row>16</xdr:row>
      <xdr:rowOff>209550</xdr:rowOff>
    </xdr:to>
    <xdr:sp macro="" textlink="">
      <xdr:nvSpPr>
        <xdr:cNvPr id="8" name="ZoneTexte 7"/>
        <xdr:cNvSpPr txBox="1"/>
      </xdr:nvSpPr>
      <xdr:spPr>
        <a:xfrm>
          <a:off x="3000375" y="5838825"/>
          <a:ext cx="542926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200"/>
            <a:t>Mois</a:t>
          </a:r>
        </a:p>
      </xdr:txBody>
    </xdr:sp>
    <xdr:clientData/>
  </xdr:twoCellAnchor>
  <xdr:twoCellAnchor editAs="absolute">
    <xdr:from>
      <xdr:col>5</xdr:col>
      <xdr:colOff>219075</xdr:colOff>
      <xdr:row>11</xdr:row>
      <xdr:rowOff>257175</xdr:rowOff>
    </xdr:from>
    <xdr:to>
      <xdr:col>5</xdr:col>
      <xdr:colOff>3099075</xdr:colOff>
      <xdr:row>20</xdr:row>
      <xdr:rowOff>209775</xdr:rowOff>
    </xdr:to>
    <xdr:grpSp>
      <xdr:nvGrpSpPr>
        <xdr:cNvPr id="10" name="Groupe 9"/>
        <xdr:cNvGrpSpPr/>
      </xdr:nvGrpSpPr>
      <xdr:grpSpPr>
        <a:xfrm>
          <a:off x="4286250" y="4276725"/>
          <a:ext cx="2880000" cy="2772000"/>
          <a:chOff x="18454687" y="4552950"/>
          <a:chExt cx="3240000" cy="3240000"/>
        </a:xfrm>
      </xdr:grpSpPr>
      <xdr:graphicFrame macro="">
        <xdr:nvGraphicFramePr>
          <xdr:cNvPr id="134" name="Graphique 133"/>
          <xdr:cNvGraphicFramePr>
            <a:graphicFrameLocks/>
          </xdr:cNvGraphicFramePr>
        </xdr:nvGraphicFramePr>
        <xdr:xfrm>
          <a:off x="18454687" y="4552950"/>
          <a:ext cx="3240000" cy="32385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138" name="ZoneTexte 137"/>
          <xdr:cNvSpPr txBox="1"/>
        </xdr:nvSpPr>
        <xdr:spPr>
          <a:xfrm>
            <a:off x="18869019" y="5389634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5</a:t>
            </a:r>
          </a:p>
        </xdr:txBody>
      </xdr:sp>
      <xdr:sp macro="" textlink="">
        <xdr:nvSpPr>
          <xdr:cNvPr id="139" name="ZoneTexte 138"/>
          <xdr:cNvSpPr txBox="1"/>
        </xdr:nvSpPr>
        <xdr:spPr>
          <a:xfrm>
            <a:off x="20997865" y="6796103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16</a:t>
            </a:r>
          </a:p>
        </xdr:txBody>
      </xdr:sp>
      <xdr:sp macro="" textlink="">
        <xdr:nvSpPr>
          <xdr:cNvPr id="143" name="ZoneTexte 142"/>
          <xdr:cNvSpPr txBox="1"/>
        </xdr:nvSpPr>
        <xdr:spPr>
          <a:xfrm>
            <a:off x="18833311" y="6760041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1</a:t>
            </a:r>
          </a:p>
        </xdr:txBody>
      </xdr:sp>
      <xdr:sp macro="" textlink="">
        <xdr:nvSpPr>
          <xdr:cNvPr id="144" name="ZoneTexte 143"/>
          <xdr:cNvSpPr txBox="1"/>
        </xdr:nvSpPr>
        <xdr:spPr>
          <a:xfrm>
            <a:off x="18704722" y="6399405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2</a:t>
            </a:r>
          </a:p>
        </xdr:txBody>
      </xdr:sp>
      <xdr:sp macro="" textlink="">
        <xdr:nvSpPr>
          <xdr:cNvPr id="145" name="ZoneTexte 144"/>
          <xdr:cNvSpPr txBox="1"/>
        </xdr:nvSpPr>
        <xdr:spPr>
          <a:xfrm>
            <a:off x="18661863" y="6060412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3</a:t>
            </a:r>
          </a:p>
        </xdr:txBody>
      </xdr:sp>
      <xdr:sp macro="" textlink="">
        <xdr:nvSpPr>
          <xdr:cNvPr id="149" name="ZoneTexte 148"/>
          <xdr:cNvSpPr txBox="1"/>
        </xdr:nvSpPr>
        <xdr:spPr>
          <a:xfrm>
            <a:off x="18719005" y="5692566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4</a:t>
            </a:r>
          </a:p>
        </xdr:txBody>
      </xdr:sp>
      <xdr:sp macro="" textlink="">
        <xdr:nvSpPr>
          <xdr:cNvPr id="160" name="ZoneTexte 159"/>
          <xdr:cNvSpPr txBox="1"/>
        </xdr:nvSpPr>
        <xdr:spPr>
          <a:xfrm>
            <a:off x="19111911" y="5093904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6</a:t>
            </a:r>
          </a:p>
        </xdr:txBody>
      </xdr:sp>
      <xdr:sp macro="" textlink="">
        <xdr:nvSpPr>
          <xdr:cNvPr id="161" name="ZoneTexte 160"/>
          <xdr:cNvSpPr txBox="1"/>
        </xdr:nvSpPr>
        <xdr:spPr>
          <a:xfrm>
            <a:off x="19440527" y="4899164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7</a:t>
            </a:r>
          </a:p>
        </xdr:txBody>
      </xdr:sp>
      <xdr:sp macro="" textlink="">
        <xdr:nvSpPr>
          <xdr:cNvPr id="162" name="ZoneTexte 161"/>
          <xdr:cNvSpPr txBox="1"/>
        </xdr:nvSpPr>
        <xdr:spPr>
          <a:xfrm>
            <a:off x="19769140" y="4798185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8</a:t>
            </a:r>
          </a:p>
        </xdr:txBody>
      </xdr:sp>
      <xdr:sp macro="" textlink="">
        <xdr:nvSpPr>
          <xdr:cNvPr id="163" name="ZoneTexte 162"/>
          <xdr:cNvSpPr txBox="1"/>
        </xdr:nvSpPr>
        <xdr:spPr>
          <a:xfrm>
            <a:off x="21012149" y="5396838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12</a:t>
            </a:r>
          </a:p>
        </xdr:txBody>
      </xdr:sp>
      <xdr:sp macro="" textlink="">
        <xdr:nvSpPr>
          <xdr:cNvPr id="166" name="ZoneTexte 165"/>
          <xdr:cNvSpPr txBox="1"/>
        </xdr:nvSpPr>
        <xdr:spPr>
          <a:xfrm>
            <a:off x="20469219" y="4920800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10</a:t>
            </a:r>
          </a:p>
        </xdr:txBody>
      </xdr:sp>
      <xdr:sp macro="" textlink="">
        <xdr:nvSpPr>
          <xdr:cNvPr id="167" name="ZoneTexte 166"/>
          <xdr:cNvSpPr txBox="1"/>
        </xdr:nvSpPr>
        <xdr:spPr>
          <a:xfrm>
            <a:off x="20126319" y="4805397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9</a:t>
            </a:r>
          </a:p>
        </xdr:txBody>
      </xdr:sp>
      <xdr:sp macro="" textlink="">
        <xdr:nvSpPr>
          <xdr:cNvPr id="171" name="ZoneTexte 170"/>
          <xdr:cNvSpPr txBox="1"/>
        </xdr:nvSpPr>
        <xdr:spPr>
          <a:xfrm>
            <a:off x="21212180" y="6103683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14</a:t>
            </a:r>
          </a:p>
        </xdr:txBody>
      </xdr:sp>
      <xdr:sp macro="" textlink="">
        <xdr:nvSpPr>
          <xdr:cNvPr id="172" name="ZoneTexte 171"/>
          <xdr:cNvSpPr txBox="1"/>
        </xdr:nvSpPr>
        <xdr:spPr>
          <a:xfrm>
            <a:off x="21147880" y="6478750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15</a:t>
            </a:r>
          </a:p>
        </xdr:txBody>
      </xdr:sp>
      <xdr:sp macro="" textlink="">
        <xdr:nvSpPr>
          <xdr:cNvPr id="173" name="ZoneTexte 172"/>
          <xdr:cNvSpPr txBox="1"/>
        </xdr:nvSpPr>
        <xdr:spPr>
          <a:xfrm>
            <a:off x="21162166" y="5735834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13</a:t>
            </a:r>
          </a:p>
        </xdr:txBody>
      </xdr:sp>
      <xdr:pic>
        <xdr:nvPicPr>
          <xdr:cNvPr id="199" name="Image 198"/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976175" y="6897086"/>
            <a:ext cx="2207421" cy="895864"/>
          </a:xfrm>
          <a:prstGeom prst="rect">
            <a:avLst/>
          </a:prstGeom>
        </xdr:spPr>
      </xdr:pic>
      <xdr:sp macro="" textlink="$I$16">
        <xdr:nvSpPr>
          <xdr:cNvPr id="200" name="ZoneTexte 199"/>
          <xdr:cNvSpPr txBox="1"/>
        </xdr:nvSpPr>
        <xdr:spPr>
          <a:xfrm>
            <a:off x="19659604" y="7017826"/>
            <a:ext cx="828198" cy="272606"/>
          </a:xfrm>
          <a:prstGeom prst="rect">
            <a:avLst/>
          </a:prstGeom>
          <a:solidFill>
            <a:srgbClr val="FFFF00"/>
          </a:solidFill>
          <a:ln w="9525" cmpd="sng"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fld id="{6A8DFE7E-84AB-45E5-90A7-D7BCE6222D72}" type="TxLink">
              <a:rPr lang="en-US" sz="1200" b="1" i="0" u="none" strike="noStrike">
                <a:solidFill>
                  <a:sysClr val="windowText" lastClr="000000"/>
                </a:solidFill>
                <a:latin typeface="Calibri"/>
                <a:cs typeface="Arial"/>
              </a:rPr>
              <a:pPr algn="ctr"/>
              <a:t>13 h 23 mn</a:t>
            </a:fld>
            <a:endParaRPr lang="fr-FR" sz="1200" b="1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202" name="ZoneTexte 201"/>
          <xdr:cNvSpPr txBox="1"/>
        </xdr:nvSpPr>
        <xdr:spPr>
          <a:xfrm>
            <a:off x="20776408" y="5115540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11</a:t>
            </a:r>
          </a:p>
        </xdr:txBody>
      </xdr:sp>
      <xdr:sp macro="" textlink="">
        <xdr:nvSpPr>
          <xdr:cNvPr id="203" name="ZoneTexte 202"/>
          <xdr:cNvSpPr txBox="1"/>
        </xdr:nvSpPr>
        <xdr:spPr>
          <a:xfrm>
            <a:off x="20819270" y="7026887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17</a:t>
            </a:r>
          </a:p>
        </xdr:txBody>
      </xdr:sp>
      <xdr:sp macro="" textlink="">
        <xdr:nvSpPr>
          <xdr:cNvPr id="204" name="ZoneTexte 203"/>
          <xdr:cNvSpPr txBox="1"/>
        </xdr:nvSpPr>
        <xdr:spPr>
          <a:xfrm>
            <a:off x="19054798" y="7034116"/>
            <a:ext cx="242888" cy="23080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0</a:t>
            </a:r>
          </a:p>
        </xdr:txBody>
      </xdr:sp>
      <xdr:pic>
        <xdr:nvPicPr>
          <xdr:cNvPr id="205" name="Image 204"/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411925" y="5553077"/>
            <a:ext cx="1304776" cy="1268308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1181100</xdr:colOff>
      <xdr:row>15</xdr:row>
      <xdr:rowOff>200025</xdr:rowOff>
    </xdr:from>
    <xdr:to>
      <xdr:col>3</xdr:col>
      <xdr:colOff>1590675</xdr:colOff>
      <xdr:row>16</xdr:row>
      <xdr:rowOff>104775</xdr:rowOff>
    </xdr:to>
    <xdr:sp macro="" textlink="">
      <xdr:nvSpPr>
        <xdr:cNvPr id="75" name="Cylindre 74"/>
        <xdr:cNvSpPr/>
      </xdr:nvSpPr>
      <xdr:spPr>
        <a:xfrm>
          <a:off x="2200275" y="5619750"/>
          <a:ext cx="409575" cy="314325"/>
        </a:xfrm>
        <a:prstGeom prst="can">
          <a:avLst/>
        </a:prstGeom>
        <a:solidFill>
          <a:srgbClr val="32DCB4">
            <a:alpha val="40000"/>
          </a:srgbClr>
        </a:solidFill>
        <a:ln w="3175" cmpd="sng">
          <a:solidFill>
            <a:srgbClr val="00B050"/>
          </a:solidFill>
        </a:ln>
        <a:effectLst>
          <a:reflection endPos="0" dist="508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352425</xdr:colOff>
      <xdr:row>4</xdr:row>
      <xdr:rowOff>238125</xdr:rowOff>
    </xdr:from>
    <xdr:to>
      <xdr:col>3</xdr:col>
      <xdr:colOff>2505075</xdr:colOff>
      <xdr:row>5</xdr:row>
      <xdr:rowOff>381000</xdr:rowOff>
    </xdr:to>
    <xdr:sp macro="" textlink="">
      <xdr:nvSpPr>
        <xdr:cNvPr id="76" name="Organigramme : Disque magnétique 75"/>
        <xdr:cNvSpPr/>
      </xdr:nvSpPr>
      <xdr:spPr>
        <a:xfrm>
          <a:off x="1371600" y="1133475"/>
          <a:ext cx="2152650" cy="657225"/>
        </a:xfrm>
        <a:prstGeom prst="flowChartMagneticDisk">
          <a:avLst/>
        </a:prstGeom>
        <a:solidFill>
          <a:srgbClr val="32DCB4">
            <a:alpha val="40000"/>
          </a:srgbClr>
        </a:solidFill>
        <a:ln w="3175">
          <a:solidFill>
            <a:srgbClr val="00B050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47625</xdr:rowOff>
        </xdr:from>
        <xdr:to>
          <xdr:col>9</xdr:col>
          <xdr:colOff>561975</xdr:colOff>
          <xdr:row>2</xdr:row>
          <xdr:rowOff>85725</xdr:rowOff>
        </xdr:to>
        <xdr:sp macro="" textlink="">
          <xdr:nvSpPr>
            <xdr:cNvPr id="124930" name="Button 2" hidden="1">
              <a:extLst>
                <a:ext uri="{63B3BB69-23CF-44E3-9099-C40C66FF867C}">
                  <a14:compatExt spid="_x0000_s1249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1200150</xdr:colOff>
      <xdr:row>19</xdr:row>
      <xdr:rowOff>123825</xdr:rowOff>
    </xdr:from>
    <xdr:to>
      <xdr:col>5</xdr:col>
      <xdr:colOff>2076450</xdr:colOff>
      <xdr:row>20</xdr:row>
      <xdr:rowOff>98601</xdr:rowOff>
    </xdr:to>
    <xdr:sp macro="" textlink="Aout_2020!AX7">
      <xdr:nvSpPr>
        <xdr:cNvPr id="48" name="ZoneTexte 47"/>
        <xdr:cNvSpPr txBox="1"/>
      </xdr:nvSpPr>
      <xdr:spPr>
        <a:xfrm>
          <a:off x="5267325" y="6696075"/>
          <a:ext cx="876300" cy="241476"/>
        </a:xfrm>
        <a:prstGeom prst="rect">
          <a:avLst/>
        </a:prstGeom>
        <a:solidFill>
          <a:srgbClr val="FFFF00"/>
        </a:solidFill>
        <a:ln w="9525" cmpd="sng"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ctr"/>
        <a:lstStyle/>
        <a:p>
          <a:pPr algn="ctr"/>
          <a:fld id="{E6046CDC-69D8-4638-BFEB-3EF682BD5E89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mardi 04 </a:t>
          </a:fld>
          <a:endParaRPr lang="fr-FR" sz="12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20</xdr:col>
      <xdr:colOff>352425</xdr:colOff>
      <xdr:row>12</xdr:row>
      <xdr:rowOff>142875</xdr:rowOff>
    </xdr:from>
    <xdr:to>
      <xdr:col>28</xdr:col>
      <xdr:colOff>66675</xdr:colOff>
      <xdr:row>22</xdr:row>
      <xdr:rowOff>9525</xdr:rowOff>
    </xdr:to>
    <xdr:graphicFrame macro="">
      <xdr:nvGraphicFramePr>
        <xdr:cNvPr id="6" name="Graphique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20</xdr:col>
      <xdr:colOff>390525</xdr:colOff>
      <xdr:row>0</xdr:row>
      <xdr:rowOff>161925</xdr:rowOff>
    </xdr:from>
    <xdr:to>
      <xdr:col>27</xdr:col>
      <xdr:colOff>723900</xdr:colOff>
      <xdr:row>8</xdr:row>
      <xdr:rowOff>152400</xdr:rowOff>
    </xdr:to>
    <xdr:graphicFrame macro="">
      <xdr:nvGraphicFramePr>
        <xdr:cNvPr id="9" name="Graphique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2.bin"/><Relationship Id="rId13" Type="http://schemas.openxmlformats.org/officeDocument/2006/relationships/ctrlProp" Target="../ctrlProps/ctrlProp3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ty.com/france/plage/la-tranche-sur-mer_p85294/" TargetMode="External"/><Relationship Id="rId12" Type="http://schemas.openxmlformats.org/officeDocument/2006/relationships/image" Target="../media/image2.emf"/><Relationship Id="rId17" Type="http://schemas.openxmlformats.org/officeDocument/2006/relationships/ctrlProp" Target="../ctrlProps/ctrlProp7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6.xml"/><Relationship Id="rId1" Type="http://schemas.openxmlformats.org/officeDocument/2006/relationships/hyperlink" Target="https://www.wunderground.com/dashboard/pws/ILATRA6" TargetMode="External"/><Relationship Id="rId6" Type="http://schemas.openxmlformats.org/officeDocument/2006/relationships/hyperlink" Target="http://www.meteociel.fr/previsions/31439/la_tranche_sur_mer.htm" TargetMode="External"/><Relationship Id="rId11" Type="http://schemas.openxmlformats.org/officeDocument/2006/relationships/control" Target="../activeX/activeX2.xml"/><Relationship Id="rId5" Type="http://schemas.openxmlformats.org/officeDocument/2006/relationships/hyperlink" Target="http://www.meteociel.fr/climatologie/villes.php?code2=7306&amp;mois=6&amp;annee=2020" TargetMode="External"/><Relationship Id="rId15" Type="http://schemas.openxmlformats.org/officeDocument/2006/relationships/ctrlProp" Target="../ctrlProps/ctrlProp5.xml"/><Relationship Id="rId10" Type="http://schemas.openxmlformats.org/officeDocument/2006/relationships/vmlDrawing" Target="../drawings/vmlDrawing2.vml"/><Relationship Id="rId4" Type="http://schemas.openxmlformats.org/officeDocument/2006/relationships/hyperlink" Target="http://www.meteociel.fr/climatologie/villes.php?code=7316&amp;mois=7&amp;annee=2020" TargetMode="External"/><Relationship Id="rId9" Type="http://schemas.openxmlformats.org/officeDocument/2006/relationships/drawing" Target="../drawings/drawing2.xml"/><Relationship Id="rId1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0">
    <tabColor theme="3" tint="-0.249977111117893"/>
  </sheetPr>
  <dimension ref="A1:BG1451"/>
  <sheetViews>
    <sheetView showGridLines="0" showOutlineSymbols="0" topLeftCell="AW1" workbookViewId="0">
      <pane ySplit="8" topLeftCell="A9" activePane="bottomLeft" state="frozen"/>
      <selection activeCell="AH40" sqref="AH40"/>
      <selection pane="bottomLeft" activeCell="B9" sqref="B9"/>
    </sheetView>
  </sheetViews>
  <sheetFormatPr baseColWidth="10" defaultColWidth="11" defaultRowHeight="15" x14ac:dyDescent="0.25"/>
  <cols>
    <col min="1" max="1" width="1.140625" style="396" customWidth="1"/>
    <col min="2" max="2" width="8.7109375" style="226" customWidth="1"/>
    <col min="3" max="3" width="6" style="226" bestFit="1" customWidth="1"/>
    <col min="4" max="4" width="7.85546875" style="226" bestFit="1" customWidth="1"/>
    <col min="5" max="5" width="9.5703125" style="226" customWidth="1"/>
    <col min="6" max="6" width="5.42578125" style="226" customWidth="1"/>
    <col min="7" max="7" width="5.5703125" style="226" bestFit="1" customWidth="1"/>
    <col min="8" max="8" width="7" style="226" bestFit="1" customWidth="1"/>
    <col min="9" max="9" width="6" style="226" bestFit="1" customWidth="1"/>
    <col min="10" max="10" width="7.5703125" style="226" customWidth="1"/>
    <col min="11" max="11" width="7.140625" style="226" bestFit="1" customWidth="1"/>
    <col min="12" max="12" width="6.85546875" style="226" bestFit="1" customWidth="1"/>
    <col min="13" max="13" width="7.85546875" style="226" bestFit="1" customWidth="1"/>
    <col min="14" max="14" width="7.140625" style="226" bestFit="1" customWidth="1"/>
    <col min="15" max="15" width="6" style="226" bestFit="1" customWidth="1"/>
    <col min="16" max="16" width="6.28515625" style="226" customWidth="1"/>
    <col min="17" max="17" width="9.28515625" style="274" bestFit="1" customWidth="1"/>
    <col min="18" max="18" width="9" style="272" bestFit="1" customWidth="1"/>
    <col min="19" max="19" width="5.85546875" style="396" bestFit="1" customWidth="1"/>
    <col min="20" max="20" width="2.140625" style="396" customWidth="1"/>
    <col min="21" max="21" width="8.5703125" style="272" bestFit="1" customWidth="1"/>
    <col min="22" max="22" width="1.5703125" style="396" customWidth="1"/>
    <col min="23" max="24" width="8.5703125" style="272" bestFit="1" customWidth="1"/>
    <col min="25" max="25" width="1.5703125" style="272" customWidth="1"/>
    <col min="26" max="26" width="5.28515625" style="272" bestFit="1" customWidth="1"/>
    <col min="27" max="27" width="2.5703125" style="272" customWidth="1"/>
    <col min="28" max="28" width="7.140625" style="272" bestFit="1" customWidth="1"/>
    <col min="29" max="29" width="5.7109375" style="272" customWidth="1"/>
    <col min="30" max="30" width="5.85546875" style="272" bestFit="1" customWidth="1"/>
    <col min="31" max="31" width="4" style="272" customWidth="1"/>
    <col min="32" max="32" width="5.28515625" style="272" bestFit="1" customWidth="1"/>
    <col min="33" max="33" width="1" style="272" customWidth="1"/>
    <col min="34" max="34" width="5.85546875" style="272" bestFit="1" customWidth="1"/>
    <col min="35" max="35" width="0.85546875" style="272" customWidth="1"/>
    <col min="36" max="36" width="5.28515625" style="272" bestFit="1" customWidth="1"/>
    <col min="37" max="37" width="8.42578125" style="272" customWidth="1"/>
    <col min="38" max="38" width="0.85546875" style="272" customWidth="1"/>
    <col min="39" max="39" width="5.85546875" style="272" bestFit="1" customWidth="1"/>
    <col min="40" max="40" width="0.7109375" style="272" customWidth="1"/>
    <col min="41" max="41" width="5.7109375" style="272" customWidth="1"/>
    <col min="42" max="42" width="1" style="272" customWidth="1"/>
    <col min="43" max="43" width="6.140625" style="272" bestFit="1" customWidth="1"/>
    <col min="44" max="44" width="0.85546875" style="272" customWidth="1"/>
    <col min="45" max="45" width="7.42578125" style="272" bestFit="1" customWidth="1"/>
    <col min="46" max="46" width="0.85546875" style="272" customWidth="1"/>
    <col min="47" max="47" width="7.85546875" style="232" bestFit="1" customWidth="1"/>
    <col min="48" max="48" width="11.5703125" style="232" customWidth="1"/>
    <col min="49" max="49" width="10.7109375" style="233" bestFit="1" customWidth="1"/>
    <col min="50" max="50" width="10" style="161" customWidth="1"/>
    <col min="51" max="51" width="11" style="491"/>
    <col min="52" max="52" width="12" style="161" customWidth="1"/>
    <col min="53" max="53" width="11.42578125" style="491" customWidth="1"/>
    <col min="54" max="54" width="11" style="270"/>
    <col min="55" max="55" width="11" style="359"/>
    <col min="56" max="56" width="11" style="270"/>
    <col min="57" max="57" width="11" style="359"/>
    <col min="58" max="58" width="11" style="270"/>
    <col min="59" max="59" width="12.28515625" style="359" bestFit="1" customWidth="1"/>
    <col min="60" max="16384" width="11" style="272"/>
  </cols>
  <sheetData>
    <row r="1" spans="1:59" s="425" customFormat="1" ht="16.5" thickBot="1" x14ac:dyDescent="0.3">
      <c r="A1" s="467">
        <v>0.3666666666666667</v>
      </c>
      <c r="B1" s="468"/>
      <c r="C1" s="414"/>
      <c r="D1" s="414"/>
      <c r="E1" s="413"/>
      <c r="F1" s="415"/>
      <c r="G1" s="414"/>
      <c r="H1" s="465"/>
      <c r="I1" s="466"/>
      <c r="J1" s="417"/>
      <c r="K1" s="416" t="s">
        <v>64</v>
      </c>
      <c r="L1" s="418"/>
      <c r="M1" s="417"/>
      <c r="N1" s="419" t="s">
        <v>15</v>
      </c>
      <c r="O1" s="420"/>
      <c r="P1" s="419"/>
      <c r="Q1" s="419" t="s">
        <v>61</v>
      </c>
      <c r="R1" s="486"/>
      <c r="S1" s="485"/>
      <c r="T1" s="419"/>
      <c r="U1" s="419"/>
      <c r="V1" s="419"/>
      <c r="W1" s="419"/>
      <c r="X1" s="419"/>
      <c r="Y1" s="413"/>
      <c r="Z1" s="419"/>
      <c r="AA1" s="419"/>
      <c r="AB1" s="419"/>
      <c r="AC1" s="419"/>
      <c r="AD1" s="419"/>
      <c r="AE1" s="419"/>
      <c r="AF1" s="419"/>
      <c r="AG1" s="419"/>
      <c r="AH1" s="421"/>
      <c r="AI1" s="419"/>
      <c r="AJ1" s="419"/>
      <c r="AK1" s="419"/>
      <c r="AL1" s="419" t="s">
        <v>62</v>
      </c>
      <c r="AM1" s="419"/>
      <c r="AN1" s="419"/>
      <c r="AO1" s="422" t="s">
        <v>99</v>
      </c>
      <c r="AP1" s="423"/>
      <c r="AQ1" s="423"/>
      <c r="AR1" s="423"/>
      <c r="AS1" s="422"/>
      <c r="AT1" s="424"/>
      <c r="AU1" s="424"/>
      <c r="AV1" s="425" t="s">
        <v>34</v>
      </c>
      <c r="AX1" s="359"/>
      <c r="AY1" s="359"/>
      <c r="AZ1" s="270"/>
      <c r="BA1" s="359"/>
      <c r="BB1" s="270"/>
      <c r="BC1" s="495"/>
      <c r="BD1" s="270"/>
      <c r="BE1" s="359"/>
      <c r="BF1" s="270"/>
      <c r="BG1" s="359"/>
    </row>
    <row r="2" spans="1:59" ht="15.75" thickBot="1" x14ac:dyDescent="0.3">
      <c r="B2" s="330" t="s">
        <v>78</v>
      </c>
      <c r="C2" s="331"/>
      <c r="D2" s="332"/>
      <c r="E2" s="333" t="s">
        <v>80</v>
      </c>
      <c r="F2" s="333"/>
      <c r="G2" s="334"/>
      <c r="H2" s="365" t="s">
        <v>85</v>
      </c>
      <c r="I2" s="363"/>
      <c r="J2" s="364"/>
      <c r="K2" s="326" t="s">
        <v>86</v>
      </c>
      <c r="L2" s="336"/>
      <c r="M2" s="337"/>
      <c r="N2" s="338" t="s">
        <v>77</v>
      </c>
      <c r="O2" s="338"/>
      <c r="P2" s="339"/>
      <c r="Q2" s="304" t="s">
        <v>36</v>
      </c>
      <c r="R2" s="305"/>
      <c r="S2" s="407"/>
      <c r="T2" s="407"/>
      <c r="U2" s="306"/>
      <c r="V2" s="407"/>
      <c r="W2" s="305"/>
      <c r="X2" s="305"/>
      <c r="Y2" s="305"/>
      <c r="Z2" s="305"/>
      <c r="AA2" s="305"/>
      <c r="AB2" s="528" t="s">
        <v>100</v>
      </c>
      <c r="AC2" s="529"/>
      <c r="AD2" s="529"/>
      <c r="AE2" s="529"/>
      <c r="AF2" s="529"/>
      <c r="AG2" s="529"/>
      <c r="AH2" s="529"/>
      <c r="AI2" s="529"/>
      <c r="AJ2" s="530"/>
      <c r="AK2" s="341"/>
      <c r="AL2" s="375" t="s">
        <v>6</v>
      </c>
      <c r="AM2" s="340"/>
      <c r="AN2" s="374"/>
      <c r="AO2" s="110" t="s">
        <v>79</v>
      </c>
      <c r="AP2" s="145"/>
      <c r="AQ2" s="248"/>
      <c r="AR2" s="145"/>
      <c r="AS2" s="249"/>
      <c r="AT2" s="145"/>
      <c r="AU2" s="111"/>
      <c r="AV2" s="199" t="s">
        <v>118</v>
      </c>
      <c r="AW2" s="229"/>
      <c r="AX2" s="345" t="s">
        <v>119</v>
      </c>
      <c r="AY2" s="496"/>
      <c r="AZ2" s="345" t="s">
        <v>120</v>
      </c>
      <c r="BA2" s="497"/>
      <c r="BB2" s="345" t="s">
        <v>4</v>
      </c>
      <c r="BC2" s="497"/>
      <c r="BD2" s="507" t="s">
        <v>6</v>
      </c>
      <c r="BE2" s="508"/>
      <c r="BF2" s="345" t="s">
        <v>7</v>
      </c>
      <c r="BG2" s="497"/>
    </row>
    <row r="3" spans="1:59" ht="15.75" thickBot="1" x14ac:dyDescent="0.3">
      <c r="B3" s="209" t="s">
        <v>22</v>
      </c>
      <c r="C3" s="132"/>
      <c r="D3" s="211" t="s">
        <v>23</v>
      </c>
      <c r="E3" s="214" t="s">
        <v>24</v>
      </c>
      <c r="F3" s="133"/>
      <c r="G3" s="216" t="s">
        <v>23</v>
      </c>
      <c r="H3" s="366" t="s">
        <v>22</v>
      </c>
      <c r="I3" s="367"/>
      <c r="J3" s="368" t="s">
        <v>23</v>
      </c>
      <c r="K3" s="178" t="s">
        <v>24</v>
      </c>
      <c r="L3" s="136"/>
      <c r="M3" s="179" t="s">
        <v>23</v>
      </c>
      <c r="N3" s="320" t="s">
        <v>24</v>
      </c>
      <c r="O3" s="133"/>
      <c r="P3" s="321" t="s">
        <v>23</v>
      </c>
      <c r="Q3" s="307" t="s">
        <v>24</v>
      </c>
      <c r="R3" s="7"/>
      <c r="S3" s="308" t="s">
        <v>2</v>
      </c>
      <c r="T3" s="112"/>
      <c r="U3" s="309" t="s">
        <v>31</v>
      </c>
      <c r="V3" s="112"/>
      <c r="W3" s="117"/>
      <c r="X3" s="310" t="s">
        <v>5</v>
      </c>
      <c r="Y3" s="117"/>
      <c r="Z3" s="311" t="s">
        <v>5</v>
      </c>
      <c r="AA3" s="113"/>
      <c r="AB3" s="182" t="s">
        <v>1</v>
      </c>
      <c r="AC3" s="130"/>
      <c r="AD3" s="185" t="s">
        <v>2</v>
      </c>
      <c r="AE3" s="9"/>
      <c r="AF3" s="187" t="s">
        <v>3</v>
      </c>
      <c r="AG3" s="109"/>
      <c r="AH3" s="189" t="s">
        <v>2</v>
      </c>
      <c r="AI3" s="9"/>
      <c r="AJ3" s="242" t="s">
        <v>35</v>
      </c>
      <c r="AK3" s="202" t="s">
        <v>8</v>
      </c>
      <c r="AL3" s="8"/>
      <c r="AM3" s="206" t="s">
        <v>2</v>
      </c>
      <c r="AN3" s="373"/>
      <c r="AO3" s="27" t="s">
        <v>99</v>
      </c>
      <c r="AP3" s="244"/>
      <c r="AQ3" s="114"/>
      <c r="AR3" s="8"/>
      <c r="AS3" s="27"/>
      <c r="AT3" s="8"/>
      <c r="AU3" s="114"/>
      <c r="AV3" s="395">
        <f>X1450/60/1440</f>
        <v>0.49166666666666664</v>
      </c>
      <c r="AW3" s="199"/>
      <c r="AX3" s="487"/>
      <c r="AY3" s="490"/>
      <c r="AZ3" s="488"/>
      <c r="BA3" s="498"/>
      <c r="BB3" s="488"/>
      <c r="BC3" s="498"/>
      <c r="BD3" s="509"/>
      <c r="BE3" s="510"/>
      <c r="BF3" s="488"/>
      <c r="BG3" s="498"/>
    </row>
    <row r="4" spans="1:59" s="274" customFormat="1" ht="15.75" thickBot="1" x14ac:dyDescent="0.3">
      <c r="B4" s="210"/>
      <c r="C4" s="132"/>
      <c r="D4" s="212"/>
      <c r="E4" s="215"/>
      <c r="F4" s="133"/>
      <c r="G4" s="217"/>
      <c r="H4" s="369"/>
      <c r="I4" s="367"/>
      <c r="J4" s="370"/>
      <c r="K4" s="177"/>
      <c r="L4" s="136"/>
      <c r="M4" s="180"/>
      <c r="N4" s="324"/>
      <c r="O4" s="133"/>
      <c r="P4" s="322"/>
      <c r="Q4" s="328"/>
      <c r="R4" s="7"/>
      <c r="S4" s="317"/>
      <c r="T4" s="112"/>
      <c r="U4" s="317"/>
      <c r="V4" s="112"/>
      <c r="W4" s="195"/>
      <c r="X4" s="315"/>
      <c r="Y4" s="195"/>
      <c r="Z4" s="312"/>
      <c r="AA4" s="8"/>
      <c r="AB4" s="252"/>
      <c r="AC4" s="9"/>
      <c r="AD4" s="253"/>
      <c r="AE4" s="9"/>
      <c r="AF4" s="253"/>
      <c r="AG4" s="9"/>
      <c r="AH4" s="252"/>
      <c r="AI4" s="9"/>
      <c r="AJ4" s="252"/>
      <c r="AK4" s="203"/>
      <c r="AL4" s="11"/>
      <c r="AM4" s="207"/>
      <c r="AN4" s="360"/>
      <c r="AO4" s="158" t="s">
        <v>65</v>
      </c>
      <c r="AP4" s="245"/>
      <c r="AQ4" s="254" t="s">
        <v>66</v>
      </c>
      <c r="AR4" s="11"/>
      <c r="AS4" s="158" t="s">
        <v>67</v>
      </c>
      <c r="AT4" s="11"/>
      <c r="AU4" s="254" t="s">
        <v>68</v>
      </c>
      <c r="AV4" s="403">
        <f>O1450/60/1440</f>
        <v>0.3087164351851851</v>
      </c>
      <c r="AW4" s="228"/>
      <c r="AX4" s="488" t="s">
        <v>121</v>
      </c>
      <c r="AY4" s="499">
        <v>-1</v>
      </c>
      <c r="AZ4" s="488" t="s">
        <v>121</v>
      </c>
      <c r="BA4" s="501">
        <v>14.3</v>
      </c>
      <c r="BB4" s="488" t="s">
        <v>121</v>
      </c>
      <c r="BC4" s="503">
        <v>56.9</v>
      </c>
      <c r="BD4" s="509" t="s">
        <v>121</v>
      </c>
      <c r="BE4" s="511">
        <v>94.14</v>
      </c>
      <c r="BF4" s="488" t="s">
        <v>121</v>
      </c>
      <c r="BG4" s="505">
        <v>4.5791666666666666</v>
      </c>
    </row>
    <row r="5" spans="1:59" s="197" customFormat="1" ht="15.75" thickBot="1" x14ac:dyDescent="0.3">
      <c r="B5" s="387">
        <f>MIN(H9:H1448)</f>
        <v>1021</v>
      </c>
      <c r="C5" s="134"/>
      <c r="D5" s="213">
        <f>VLOOKUP($B5,$H$9:$Q$1448,10,0)</f>
        <v>0.85763888888888895</v>
      </c>
      <c r="E5" s="388">
        <f>MAX(H9:H1448)</f>
        <v>1024</v>
      </c>
      <c r="F5" s="135"/>
      <c r="G5" s="218">
        <f>VLOOKUP($E5,$H$9:$Q$1448,10,0)</f>
        <v>0.46388888888888902</v>
      </c>
      <c r="H5" s="392">
        <f>MIN($D$9:$D$1448)</f>
        <v>10.6</v>
      </c>
      <c r="I5" s="371"/>
      <c r="J5" s="372">
        <f>VLOOKUP($K5,$D$9:$Q$1448,14,0)</f>
        <v>0.30694444444444402</v>
      </c>
      <c r="K5" s="390">
        <f>MIN($B$9:$B$1448)</f>
        <v>10.6</v>
      </c>
      <c r="L5" s="137"/>
      <c r="M5" s="181">
        <f>VLOOKUP($K5,$B$9:$Q$1448,16,0)</f>
        <v>0.30694444444444402</v>
      </c>
      <c r="N5" s="389">
        <f>MAX(B9:B1448)</f>
        <v>23.5</v>
      </c>
      <c r="O5" s="138"/>
      <c r="P5" s="323">
        <f>VLOOKUP($N5,$B$9:$Q$1448,16,0)</f>
        <v>0.65486111111111101</v>
      </c>
      <c r="Q5" s="391">
        <f>MAX($E$9:$F$1448)</f>
        <v>16.600000000000001</v>
      </c>
      <c r="R5" s="12"/>
      <c r="S5" s="313">
        <f>VLOOKUP($Q5,$F$9:$Q$1448,12,0)</f>
        <v>0.69791666666666696</v>
      </c>
      <c r="T5" s="116"/>
      <c r="U5" s="393">
        <f>AVERAGE(E9:E1448)</f>
        <v>2.047291666666669</v>
      </c>
      <c r="V5" s="116"/>
      <c r="W5" s="117"/>
      <c r="X5" s="316"/>
      <c r="Y5" s="117"/>
      <c r="Z5" s="335" t="s">
        <v>18</v>
      </c>
      <c r="AA5" s="118"/>
      <c r="AB5" s="183">
        <f>MIN(C9:C1448)</f>
        <v>49</v>
      </c>
      <c r="AC5" s="129"/>
      <c r="AD5" s="186">
        <f>VLOOKUP($AB5,$C$9:$Q$1448,14,0)</f>
        <v>38.299999999999997</v>
      </c>
      <c r="AE5" s="129"/>
      <c r="AF5" s="188">
        <f>MAX(C9:C1448)</f>
        <v>96</v>
      </c>
      <c r="AG5" s="26"/>
      <c r="AH5" s="190">
        <f>VLOOKUP($AF5,$C$9:$Q$1448,15,0)</f>
        <v>0.27916666666666701</v>
      </c>
      <c r="AI5" s="129"/>
      <c r="AJ5" s="243">
        <f>AVERAGE(C9:C1448)</f>
        <v>76.627083333333331</v>
      </c>
      <c r="AK5" s="204">
        <f>K1450</f>
        <v>0</v>
      </c>
      <c r="AL5" s="13"/>
      <c r="AM5" s="208">
        <f>(U1450/60)/1440</f>
        <v>0</v>
      </c>
      <c r="AN5" s="361"/>
      <c r="AO5" s="131">
        <f>AO6+AQ6</f>
        <v>0</v>
      </c>
      <c r="AP5" s="246"/>
      <c r="AQ5" s="115"/>
      <c r="AR5" s="13"/>
      <c r="AS5" s="131">
        <f>AS6+AU6</f>
        <v>0</v>
      </c>
      <c r="AT5" s="13"/>
      <c r="AU5" s="115"/>
      <c r="AV5" s="519"/>
      <c r="AW5" s="342"/>
      <c r="AX5" s="488" t="s">
        <v>122</v>
      </c>
      <c r="AY5" s="499">
        <v>1.1000000000000001</v>
      </c>
      <c r="AZ5" s="488" t="s">
        <v>122</v>
      </c>
      <c r="BA5" s="501">
        <v>15.7</v>
      </c>
      <c r="BB5" s="488" t="s">
        <v>122</v>
      </c>
      <c r="BC5" s="503">
        <v>48.3</v>
      </c>
      <c r="BD5" s="509" t="s">
        <v>122</v>
      </c>
      <c r="BE5" s="511">
        <v>81</v>
      </c>
      <c r="BF5" s="488" t="s">
        <v>122</v>
      </c>
      <c r="BG5" s="505">
        <v>6.2770833333333336</v>
      </c>
    </row>
    <row r="6" spans="1:59" ht="15.75" thickBot="1" x14ac:dyDescent="0.3">
      <c r="B6" s="327"/>
      <c r="C6" s="132"/>
      <c r="D6" s="212"/>
      <c r="E6" s="215"/>
      <c r="F6" s="133"/>
      <c r="G6" s="217"/>
      <c r="H6" s="366"/>
      <c r="I6" s="367"/>
      <c r="J6" s="368"/>
      <c r="K6" s="178"/>
      <c r="L6" s="136"/>
      <c r="M6" s="179"/>
      <c r="N6" s="325"/>
      <c r="O6" s="133"/>
      <c r="P6" s="321"/>
      <c r="Q6" s="319"/>
      <c r="R6" s="7"/>
      <c r="S6" s="318"/>
      <c r="T6" s="112"/>
      <c r="U6" s="314"/>
      <c r="V6" s="112"/>
      <c r="W6" s="195"/>
      <c r="X6" s="314"/>
      <c r="Y6" s="195"/>
      <c r="Z6" s="314"/>
      <c r="AA6" s="9"/>
      <c r="AB6" s="184"/>
      <c r="AC6" s="128"/>
      <c r="AD6" s="184"/>
      <c r="AE6" s="128"/>
      <c r="AF6" s="184"/>
      <c r="AG6" s="10"/>
      <c r="AH6" s="184"/>
      <c r="AI6" s="128"/>
      <c r="AJ6" s="184"/>
      <c r="AK6" s="205"/>
      <c r="AL6" s="11"/>
      <c r="AM6" s="205"/>
      <c r="AN6" s="362"/>
      <c r="AO6" s="122">
        <f>SUM(U9:U428)/60/1440</f>
        <v>0</v>
      </c>
      <c r="AP6" s="247"/>
      <c r="AQ6" s="123">
        <f>SUM(U429:U728)/60/1440</f>
        <v>0</v>
      </c>
      <c r="AR6" s="11"/>
      <c r="AS6" s="122">
        <f>SUM(U729:U1148)/60/1440</f>
        <v>0</v>
      </c>
      <c r="AT6" s="11"/>
      <c r="AU6" s="123">
        <f>SUM(U1148:U1448)/60/1440</f>
        <v>0</v>
      </c>
      <c r="AV6" s="519">
        <f>P1450/60/1440</f>
        <v>0.2934375000000003</v>
      </c>
      <c r="AW6" s="24"/>
      <c r="AX6" s="488" t="s">
        <v>123</v>
      </c>
      <c r="AY6" s="499">
        <v>1.1000000000000001</v>
      </c>
      <c r="AZ6" s="488" t="s">
        <v>123</v>
      </c>
      <c r="BA6" s="501">
        <v>21.8</v>
      </c>
      <c r="BB6" s="488" t="s">
        <v>123</v>
      </c>
      <c r="BC6" s="503">
        <v>71.599999999999994</v>
      </c>
      <c r="BD6" s="509" t="s">
        <v>123</v>
      </c>
      <c r="BE6" s="511">
        <v>89.2</v>
      </c>
      <c r="BF6" s="488" t="s">
        <v>123</v>
      </c>
      <c r="BG6" s="505">
        <v>10.178472222222222</v>
      </c>
    </row>
    <row r="7" spans="1:59" s="106" customFormat="1" ht="11.25" customHeight="1" x14ac:dyDescent="0.2">
      <c r="B7" s="171" t="s">
        <v>39</v>
      </c>
      <c r="C7" s="171" t="s">
        <v>40</v>
      </c>
      <c r="D7" s="170" t="s">
        <v>41</v>
      </c>
      <c r="E7" s="170" t="s">
        <v>42</v>
      </c>
      <c r="F7" s="171" t="s">
        <v>43</v>
      </c>
      <c r="G7" s="170" t="s">
        <v>44</v>
      </c>
      <c r="H7" s="171" t="s">
        <v>45</v>
      </c>
      <c r="I7" s="171" t="s">
        <v>46</v>
      </c>
      <c r="J7" s="171" t="s">
        <v>47</v>
      </c>
      <c r="K7" s="171" t="s">
        <v>48</v>
      </c>
      <c r="L7" s="329"/>
      <c r="M7" s="172"/>
      <c r="N7" s="173"/>
      <c r="O7" s="173"/>
      <c r="P7" s="171"/>
      <c r="Q7" s="174"/>
      <c r="R7" s="175"/>
      <c r="S7" s="176"/>
      <c r="W7" s="120"/>
      <c r="AA7" s="119"/>
      <c r="AU7" s="231"/>
      <c r="AV7" s="231"/>
      <c r="AW7" s="250"/>
      <c r="AX7" s="488" t="s">
        <v>124</v>
      </c>
      <c r="AY7" s="499">
        <v>1.8</v>
      </c>
      <c r="AZ7" s="488" t="s">
        <v>124</v>
      </c>
      <c r="BA7" s="501">
        <v>26.3</v>
      </c>
      <c r="BB7" s="488" t="s">
        <v>124</v>
      </c>
      <c r="BC7" s="503">
        <v>40</v>
      </c>
      <c r="BD7" s="509" t="s">
        <v>124</v>
      </c>
      <c r="BE7" s="511">
        <v>45.4</v>
      </c>
      <c r="BF7" s="488" t="s">
        <v>124</v>
      </c>
      <c r="BG7" s="505">
        <v>11.672916666666666</v>
      </c>
    </row>
    <row r="8" spans="1:59" x14ac:dyDescent="0.25">
      <c r="B8" s="251" t="s">
        <v>72</v>
      </c>
      <c r="C8" s="251" t="s">
        <v>73</v>
      </c>
      <c r="D8" s="251" t="s">
        <v>33</v>
      </c>
      <c r="E8" s="251" t="s">
        <v>4</v>
      </c>
      <c r="F8" s="251" t="s">
        <v>71</v>
      </c>
      <c r="G8" s="251" t="s">
        <v>5</v>
      </c>
      <c r="H8" s="251" t="s">
        <v>25</v>
      </c>
      <c r="I8" s="251" t="s">
        <v>90</v>
      </c>
      <c r="J8" s="251" t="s">
        <v>128</v>
      </c>
      <c r="K8" s="251" t="s">
        <v>32</v>
      </c>
      <c r="L8" s="169" t="s">
        <v>89</v>
      </c>
      <c r="M8" s="169" t="s">
        <v>49</v>
      </c>
      <c r="N8" s="169" t="s">
        <v>91</v>
      </c>
      <c r="O8" s="408" t="s">
        <v>109</v>
      </c>
      <c r="P8" s="408" t="s">
        <v>108</v>
      </c>
      <c r="Q8" s="251" t="s">
        <v>69</v>
      </c>
      <c r="R8" s="251" t="s">
        <v>0</v>
      </c>
      <c r="S8" s="406"/>
      <c r="T8" s="251"/>
      <c r="U8" s="157" t="s">
        <v>6</v>
      </c>
      <c r="V8" s="303"/>
      <c r="W8" s="475" t="s">
        <v>111</v>
      </c>
      <c r="X8" s="474" t="s">
        <v>7</v>
      </c>
      <c r="AK8" s="386" t="s">
        <v>106</v>
      </c>
      <c r="AM8" s="386" t="s">
        <v>110</v>
      </c>
      <c r="AT8" s="232"/>
      <c r="AV8" s="473" t="s">
        <v>7</v>
      </c>
      <c r="AW8" s="232"/>
      <c r="AX8" s="488" t="s">
        <v>92</v>
      </c>
      <c r="AY8" s="499">
        <v>7.3</v>
      </c>
      <c r="AZ8" s="488" t="s">
        <v>92</v>
      </c>
      <c r="BA8" s="501">
        <v>29.2</v>
      </c>
      <c r="BB8" s="488" t="s">
        <v>92</v>
      </c>
      <c r="BC8" s="503">
        <v>43.9</v>
      </c>
      <c r="BD8" s="509" t="s">
        <v>92</v>
      </c>
      <c r="BE8" s="511">
        <v>126.3</v>
      </c>
      <c r="BF8" s="488" t="s">
        <v>92</v>
      </c>
      <c r="BG8" s="505">
        <v>14.06111111111111</v>
      </c>
    </row>
    <row r="9" spans="1:59" x14ac:dyDescent="0.25">
      <c r="B9" s="274">
        <v>15.1</v>
      </c>
      <c r="C9" s="274">
        <v>85</v>
      </c>
      <c r="D9" s="274">
        <v>15.1</v>
      </c>
      <c r="E9" s="274">
        <v>1.4</v>
      </c>
      <c r="F9" s="274">
        <v>1.8</v>
      </c>
      <c r="G9" s="274">
        <v>305</v>
      </c>
      <c r="H9" s="274">
        <v>1022.6</v>
      </c>
      <c r="I9" s="274">
        <v>0</v>
      </c>
      <c r="J9" s="274">
        <v>0</v>
      </c>
      <c r="K9" s="274">
        <v>0</v>
      </c>
      <c r="L9" s="274">
        <v>0</v>
      </c>
      <c r="M9" s="274">
        <v>65.3</v>
      </c>
      <c r="N9" s="396">
        <v>599.79999999999995</v>
      </c>
      <c r="O9" s="396">
        <v>13.5</v>
      </c>
      <c r="P9" s="396">
        <v>13.7</v>
      </c>
      <c r="Q9" s="397">
        <v>0</v>
      </c>
      <c r="R9" s="481" t="s">
        <v>145</v>
      </c>
      <c r="S9" s="412"/>
      <c r="T9" s="399"/>
      <c r="U9" s="167" t="str">
        <f t="shared" ref="U9:U21" si="0">IF(J9&gt;0,60,"")</f>
        <v/>
      </c>
      <c r="V9" s="399"/>
      <c r="W9" s="410">
        <f t="shared" ref="W9:W72" si="1">MAX(O9:P9)</f>
        <v>13.7</v>
      </c>
      <c r="X9" s="472"/>
      <c r="Z9" s="14" t="s">
        <v>15</v>
      </c>
      <c r="AD9" s="272">
        <v>0</v>
      </c>
      <c r="AE9" s="272">
        <v>0</v>
      </c>
      <c r="AI9"/>
      <c r="AJ9"/>
      <c r="AK9"/>
      <c r="AL9"/>
      <c r="AM9"/>
      <c r="AN9"/>
      <c r="AO9"/>
      <c r="AQ9"/>
      <c r="AR9"/>
      <c r="AS9"/>
      <c r="AT9"/>
      <c r="AU9"/>
      <c r="AV9"/>
      <c r="AW9"/>
      <c r="AX9" s="488" t="s">
        <v>93</v>
      </c>
      <c r="AY9" s="499">
        <v>7.6</v>
      </c>
      <c r="AZ9" s="488" t="s">
        <v>93</v>
      </c>
      <c r="BA9" s="501">
        <v>30.5</v>
      </c>
      <c r="BB9" s="488" t="s">
        <v>93</v>
      </c>
      <c r="BC9" s="503">
        <v>38.5</v>
      </c>
      <c r="BD9" s="509" t="s">
        <v>93</v>
      </c>
      <c r="BE9" s="511">
        <v>92.2</v>
      </c>
      <c r="BF9" s="488" t="s">
        <v>93</v>
      </c>
      <c r="BG9" s="505">
        <v>11.827777777777778</v>
      </c>
    </row>
    <row r="10" spans="1:59" x14ac:dyDescent="0.25">
      <c r="B10" s="274">
        <v>15.1</v>
      </c>
      <c r="C10" s="274">
        <v>85</v>
      </c>
      <c r="D10" s="274">
        <v>15.1</v>
      </c>
      <c r="E10" s="274">
        <v>0</v>
      </c>
      <c r="F10" s="274">
        <v>0</v>
      </c>
      <c r="G10" s="274">
        <v>305</v>
      </c>
      <c r="H10" s="274">
        <v>1022.6</v>
      </c>
      <c r="I10" s="274">
        <v>0</v>
      </c>
      <c r="J10" s="274">
        <v>0</v>
      </c>
      <c r="K10" s="274">
        <v>0</v>
      </c>
      <c r="L10" s="274">
        <v>0</v>
      </c>
      <c r="M10" s="274">
        <v>65.3</v>
      </c>
      <c r="N10" s="396">
        <v>599.79999999999995</v>
      </c>
      <c r="O10" s="396">
        <v>13.5</v>
      </c>
      <c r="P10" s="396">
        <v>13.6</v>
      </c>
      <c r="Q10" s="397">
        <v>6.9444444444444447E-4</v>
      </c>
      <c r="R10" s="396"/>
      <c r="S10" s="412"/>
      <c r="T10" s="409"/>
      <c r="U10" s="398" t="str">
        <f t="shared" si="0"/>
        <v/>
      </c>
      <c r="V10" s="400"/>
      <c r="W10" s="410">
        <f t="shared" si="1"/>
        <v>13.6</v>
      </c>
      <c r="X10" s="472"/>
      <c r="Z10" s="194" t="s">
        <v>15</v>
      </c>
      <c r="AA10" s="197"/>
      <c r="AB10" s="272">
        <v>0</v>
      </c>
      <c r="AD10" s="15">
        <v>11</v>
      </c>
      <c r="AE10" s="272">
        <v>22</v>
      </c>
      <c r="AI10"/>
      <c r="AJ10"/>
      <c r="AK10"/>
      <c r="AL10"/>
      <c r="AM10"/>
      <c r="AN10"/>
      <c r="AO10"/>
      <c r="AQ10"/>
      <c r="AR10"/>
      <c r="AS10"/>
      <c r="AT10"/>
      <c r="AU10"/>
      <c r="AV10"/>
      <c r="AW10"/>
      <c r="AX10" s="488" t="s">
        <v>94</v>
      </c>
      <c r="AY10" s="499">
        <v>10.7</v>
      </c>
      <c r="AZ10" s="488" t="s">
        <v>94</v>
      </c>
      <c r="BA10" s="501">
        <v>32.1</v>
      </c>
      <c r="BB10" s="488" t="s">
        <v>94</v>
      </c>
      <c r="BC10" s="503">
        <v>34.9</v>
      </c>
      <c r="BD10" s="509" t="s">
        <v>94</v>
      </c>
      <c r="BE10" s="511"/>
      <c r="BF10" s="488" t="s">
        <v>94</v>
      </c>
      <c r="BG10" s="505"/>
    </row>
    <row r="11" spans="1:59" ht="15.75" x14ac:dyDescent="0.25">
      <c r="B11" s="274">
        <v>15.1</v>
      </c>
      <c r="C11" s="274">
        <v>85</v>
      </c>
      <c r="D11" s="274">
        <v>15.1</v>
      </c>
      <c r="E11" s="274">
        <v>0</v>
      </c>
      <c r="F11" s="274">
        <v>0</v>
      </c>
      <c r="G11" s="274">
        <v>305</v>
      </c>
      <c r="H11" s="274">
        <v>1022.4</v>
      </c>
      <c r="I11" s="274">
        <v>0</v>
      </c>
      <c r="J11" s="274">
        <v>0</v>
      </c>
      <c r="K11" s="274">
        <v>0</v>
      </c>
      <c r="L11" s="274">
        <v>0</v>
      </c>
      <c r="M11" s="274">
        <v>65.3</v>
      </c>
      <c r="N11" s="396">
        <v>599.79999999999995</v>
      </c>
      <c r="O11" s="396">
        <v>13.4</v>
      </c>
      <c r="P11" s="396">
        <v>13.6</v>
      </c>
      <c r="Q11" s="397">
        <v>1.38888888888889E-3</v>
      </c>
      <c r="R11" s="396"/>
      <c r="S11" s="412"/>
      <c r="T11" s="409"/>
      <c r="U11" s="398" t="str">
        <f t="shared" si="0"/>
        <v/>
      </c>
      <c r="V11" s="400"/>
      <c r="W11" s="410">
        <f t="shared" si="1"/>
        <v>13.6</v>
      </c>
      <c r="X11" s="472"/>
      <c r="Z11" s="194" t="s">
        <v>26</v>
      </c>
      <c r="AA11" s="197"/>
      <c r="AB11" s="272">
        <v>22.5</v>
      </c>
      <c r="AD11" s="15">
        <f t="shared" ref="AD11:AD26" si="2">AB11+$AD$10</f>
        <v>33.5</v>
      </c>
      <c r="AE11" s="272">
        <v>45</v>
      </c>
      <c r="AG11" s="300"/>
      <c r="AI11"/>
      <c r="AJ11"/>
      <c r="AK11"/>
      <c r="AL11"/>
      <c r="AM11"/>
      <c r="AN11"/>
      <c r="AO11"/>
      <c r="AQ11"/>
      <c r="AR11"/>
      <c r="AS11"/>
      <c r="AT11"/>
      <c r="AU11"/>
      <c r="AV11"/>
      <c r="AW11"/>
      <c r="AX11" s="488" t="s">
        <v>95</v>
      </c>
      <c r="AY11" s="499"/>
      <c r="AZ11" s="488" t="s">
        <v>95</v>
      </c>
      <c r="BA11" s="501"/>
      <c r="BB11" s="488" t="s">
        <v>95</v>
      </c>
      <c r="BC11" s="503"/>
      <c r="BD11" s="509" t="s">
        <v>95</v>
      </c>
      <c r="BE11" s="511"/>
      <c r="BF11" s="488" t="s">
        <v>95</v>
      </c>
      <c r="BG11" s="505"/>
    </row>
    <row r="12" spans="1:59" x14ac:dyDescent="0.25">
      <c r="B12" s="274">
        <v>15</v>
      </c>
      <c r="C12" s="274">
        <v>85</v>
      </c>
      <c r="D12" s="274">
        <v>15</v>
      </c>
      <c r="E12" s="274">
        <v>0</v>
      </c>
      <c r="F12" s="274">
        <v>0</v>
      </c>
      <c r="G12" s="274">
        <v>323</v>
      </c>
      <c r="H12" s="274">
        <v>1022.6</v>
      </c>
      <c r="I12" s="274">
        <v>0</v>
      </c>
      <c r="J12" s="274">
        <v>0</v>
      </c>
      <c r="K12" s="274">
        <v>0</v>
      </c>
      <c r="L12" s="274">
        <v>0</v>
      </c>
      <c r="M12" s="274">
        <v>65.3</v>
      </c>
      <c r="N12" s="396">
        <v>599.79999999999995</v>
      </c>
      <c r="O12" s="396">
        <v>13.5</v>
      </c>
      <c r="P12" s="396">
        <v>13.6</v>
      </c>
      <c r="Q12" s="397">
        <v>2.0833333333333298E-3</v>
      </c>
      <c r="R12" s="396"/>
      <c r="S12" s="412"/>
      <c r="T12" s="409"/>
      <c r="U12" s="398" t="str">
        <f t="shared" si="0"/>
        <v/>
      </c>
      <c r="V12" s="400"/>
      <c r="W12" s="410">
        <f t="shared" si="1"/>
        <v>13.6</v>
      </c>
      <c r="X12" s="472"/>
      <c r="Z12" s="194" t="s">
        <v>9</v>
      </c>
      <c r="AA12" s="197"/>
      <c r="AB12" s="272">
        <v>45</v>
      </c>
      <c r="AD12" s="15">
        <f t="shared" si="2"/>
        <v>56</v>
      </c>
      <c r="AE12" s="272">
        <v>67</v>
      </c>
      <c r="AI12"/>
      <c r="AJ12"/>
      <c r="AK12"/>
      <c r="AL12"/>
      <c r="AM12"/>
      <c r="AN12"/>
      <c r="AO12"/>
      <c r="AQ12"/>
      <c r="AR12"/>
      <c r="AS12"/>
      <c r="AT12"/>
      <c r="AU12"/>
      <c r="AV12"/>
      <c r="AW12"/>
      <c r="AX12" s="488" t="s">
        <v>96</v>
      </c>
      <c r="AY12" s="499"/>
      <c r="AZ12" s="488" t="s">
        <v>96</v>
      </c>
      <c r="BA12" s="501"/>
      <c r="BB12" s="488" t="s">
        <v>96</v>
      </c>
      <c r="BC12" s="503"/>
      <c r="BD12" s="509" t="s">
        <v>96</v>
      </c>
      <c r="BE12" s="511"/>
      <c r="BF12" s="488" t="s">
        <v>96</v>
      </c>
      <c r="BG12" s="505"/>
    </row>
    <row r="13" spans="1:59" x14ac:dyDescent="0.25">
      <c r="B13" s="274">
        <v>15</v>
      </c>
      <c r="C13" s="274">
        <v>85</v>
      </c>
      <c r="D13" s="274">
        <v>15</v>
      </c>
      <c r="E13" s="274">
        <v>0.7</v>
      </c>
      <c r="F13" s="274">
        <v>1.8</v>
      </c>
      <c r="G13" s="274">
        <v>303</v>
      </c>
      <c r="H13" s="274">
        <v>1022.7</v>
      </c>
      <c r="I13" s="274">
        <v>0</v>
      </c>
      <c r="J13" s="274">
        <v>0</v>
      </c>
      <c r="K13" s="274">
        <v>0</v>
      </c>
      <c r="L13" s="274">
        <v>0</v>
      </c>
      <c r="M13" s="274">
        <v>65.3</v>
      </c>
      <c r="N13" s="396">
        <v>599.79999999999995</v>
      </c>
      <c r="O13" s="396">
        <v>13.4</v>
      </c>
      <c r="P13" s="396">
        <v>13.6</v>
      </c>
      <c r="Q13" s="397">
        <v>2.7777777777777801E-3</v>
      </c>
      <c r="R13" s="396"/>
      <c r="S13" s="412"/>
      <c r="T13" s="409"/>
      <c r="U13" s="398" t="str">
        <f t="shared" si="0"/>
        <v/>
      </c>
      <c r="V13" s="400"/>
      <c r="W13" s="410">
        <f t="shared" si="1"/>
        <v>13.6</v>
      </c>
      <c r="X13" s="472"/>
      <c r="Z13" s="194" t="s">
        <v>12</v>
      </c>
      <c r="AA13" s="197"/>
      <c r="AB13" s="272">
        <v>67.5</v>
      </c>
      <c r="AD13" s="15">
        <f t="shared" si="2"/>
        <v>78.5</v>
      </c>
      <c r="AE13" s="272">
        <v>90</v>
      </c>
      <c r="AH13" s="486"/>
      <c r="AI13"/>
      <c r="AJ13"/>
      <c r="AK13"/>
      <c r="AL13"/>
      <c r="AM13"/>
      <c r="AN13"/>
      <c r="AO13"/>
      <c r="AQ13"/>
      <c r="AR13"/>
      <c r="AS13"/>
      <c r="AT13"/>
      <c r="AU13"/>
      <c r="AV13"/>
      <c r="AW13"/>
      <c r="AX13" s="488" t="s">
        <v>97</v>
      </c>
      <c r="AY13" s="499"/>
      <c r="AZ13" s="488" t="s">
        <v>97</v>
      </c>
      <c r="BA13" s="501"/>
      <c r="BB13" s="488" t="s">
        <v>97</v>
      </c>
      <c r="BC13" s="503"/>
      <c r="BD13" s="509" t="s">
        <v>97</v>
      </c>
      <c r="BE13" s="511"/>
      <c r="BF13" s="488" t="s">
        <v>97</v>
      </c>
      <c r="BG13" s="505"/>
    </row>
    <row r="14" spans="1:59" x14ac:dyDescent="0.25">
      <c r="B14" s="274">
        <v>15</v>
      </c>
      <c r="C14" s="274">
        <v>86</v>
      </c>
      <c r="D14" s="274">
        <v>15</v>
      </c>
      <c r="E14" s="274">
        <v>1.4</v>
      </c>
      <c r="F14" s="274">
        <v>1.8</v>
      </c>
      <c r="G14" s="274">
        <v>336</v>
      </c>
      <c r="H14" s="274">
        <v>1022.6</v>
      </c>
      <c r="I14" s="274">
        <v>0</v>
      </c>
      <c r="J14" s="274">
        <v>0</v>
      </c>
      <c r="K14" s="274">
        <v>0</v>
      </c>
      <c r="L14" s="274">
        <v>0</v>
      </c>
      <c r="M14" s="274">
        <v>65.3</v>
      </c>
      <c r="N14" s="396">
        <v>599.79999999999995</v>
      </c>
      <c r="O14" s="396">
        <v>13.4</v>
      </c>
      <c r="P14" s="396">
        <v>13.6</v>
      </c>
      <c r="Q14" s="397">
        <v>3.4722222222222199E-3</v>
      </c>
      <c r="R14" s="396"/>
      <c r="S14" s="400"/>
      <c r="T14" s="409"/>
      <c r="U14" s="398" t="str">
        <f t="shared" si="0"/>
        <v/>
      </c>
      <c r="V14" s="400"/>
      <c r="W14" s="410">
        <f t="shared" si="1"/>
        <v>13.6</v>
      </c>
      <c r="X14" s="472"/>
      <c r="Z14" s="159" t="s">
        <v>27</v>
      </c>
      <c r="AA14" s="197"/>
      <c r="AB14" s="272">
        <v>90</v>
      </c>
      <c r="AD14" s="15">
        <f t="shared" si="2"/>
        <v>101</v>
      </c>
      <c r="AE14" s="272">
        <v>112</v>
      </c>
      <c r="AI14"/>
      <c r="AJ14"/>
      <c r="AK14"/>
      <c r="AL14"/>
      <c r="AM14"/>
      <c r="AN14"/>
      <c r="AO14"/>
      <c r="AQ14"/>
      <c r="AR14"/>
      <c r="AS14"/>
      <c r="AT14"/>
      <c r="AU14"/>
      <c r="AV14"/>
      <c r="AW14"/>
      <c r="AX14" s="488" t="s">
        <v>98</v>
      </c>
      <c r="AY14" s="499"/>
      <c r="AZ14" s="488" t="s">
        <v>98</v>
      </c>
      <c r="BA14" s="501"/>
      <c r="BB14" s="488" t="s">
        <v>98</v>
      </c>
      <c r="BC14" s="503"/>
      <c r="BD14" s="509" t="s">
        <v>98</v>
      </c>
      <c r="BE14" s="511"/>
      <c r="BF14" s="488" t="s">
        <v>98</v>
      </c>
      <c r="BG14" s="505"/>
    </row>
    <row r="15" spans="1:59" x14ac:dyDescent="0.25">
      <c r="B15" s="274">
        <v>15</v>
      </c>
      <c r="C15" s="274">
        <v>85</v>
      </c>
      <c r="D15" s="274">
        <v>15</v>
      </c>
      <c r="E15" s="274">
        <v>1.1000000000000001</v>
      </c>
      <c r="F15" s="274">
        <v>1.8</v>
      </c>
      <c r="G15" s="274">
        <v>336</v>
      </c>
      <c r="H15" s="274">
        <v>1022.7</v>
      </c>
      <c r="I15" s="274">
        <v>0</v>
      </c>
      <c r="J15" s="274">
        <v>0</v>
      </c>
      <c r="K15" s="274">
        <v>0</v>
      </c>
      <c r="L15" s="274">
        <v>0</v>
      </c>
      <c r="M15" s="274">
        <v>65.3</v>
      </c>
      <c r="N15" s="396">
        <v>599.79999999999995</v>
      </c>
      <c r="O15" s="396">
        <v>13.4</v>
      </c>
      <c r="P15" s="396">
        <v>13.5</v>
      </c>
      <c r="Q15" s="397">
        <v>4.1666666666666701E-3</v>
      </c>
      <c r="R15" s="396"/>
      <c r="S15" s="400"/>
      <c r="T15" s="409"/>
      <c r="U15" s="398" t="str">
        <f t="shared" si="0"/>
        <v/>
      </c>
      <c r="V15" s="400"/>
      <c r="W15" s="410">
        <f t="shared" si="1"/>
        <v>13.5</v>
      </c>
      <c r="X15" s="472"/>
      <c r="Z15" s="160" t="s">
        <v>17</v>
      </c>
      <c r="AA15" s="197"/>
      <c r="AB15" s="272">
        <v>112.5</v>
      </c>
      <c r="AD15" s="15">
        <f t="shared" si="2"/>
        <v>123.5</v>
      </c>
      <c r="AE15" s="272">
        <v>135</v>
      </c>
      <c r="AI15"/>
      <c r="AJ15"/>
      <c r="AK15"/>
      <c r="AL15"/>
      <c r="AM15"/>
      <c r="AN15"/>
      <c r="AO15"/>
      <c r="AQ15"/>
      <c r="AR15"/>
      <c r="AS15"/>
      <c r="AT15"/>
      <c r="AU15"/>
      <c r="AV15"/>
      <c r="AW15"/>
      <c r="AX15" s="489" t="s">
        <v>101</v>
      </c>
      <c r="AY15" s="500"/>
      <c r="AZ15" s="489" t="s">
        <v>101</v>
      </c>
      <c r="BA15" s="502"/>
      <c r="BB15" s="489" t="s">
        <v>101</v>
      </c>
      <c r="BC15" s="504"/>
      <c r="BD15" s="512" t="s">
        <v>101</v>
      </c>
      <c r="BE15" s="513"/>
      <c r="BF15" s="489" t="s">
        <v>101</v>
      </c>
      <c r="BG15" s="506"/>
    </row>
    <row r="16" spans="1:59" x14ac:dyDescent="0.25">
      <c r="B16" s="274">
        <v>15</v>
      </c>
      <c r="C16" s="274">
        <v>85</v>
      </c>
      <c r="D16" s="274">
        <v>15</v>
      </c>
      <c r="E16" s="274">
        <v>0.4</v>
      </c>
      <c r="F16" s="274">
        <v>1.8</v>
      </c>
      <c r="G16" s="274">
        <v>336</v>
      </c>
      <c r="H16" s="274">
        <v>1022.8</v>
      </c>
      <c r="I16" s="274">
        <v>0</v>
      </c>
      <c r="J16" s="274">
        <v>0</v>
      </c>
      <c r="K16" s="274">
        <v>0</v>
      </c>
      <c r="L16" s="274">
        <v>0</v>
      </c>
      <c r="M16" s="274">
        <v>65.3</v>
      </c>
      <c r="N16" s="396">
        <v>599.79999999999995</v>
      </c>
      <c r="O16" s="396">
        <v>13.4</v>
      </c>
      <c r="P16" s="396">
        <v>13.5</v>
      </c>
      <c r="Q16" s="397">
        <v>4.8611111111111103E-3</v>
      </c>
      <c r="R16" s="396"/>
      <c r="S16" s="400"/>
      <c r="T16" s="409"/>
      <c r="U16" s="398" t="str">
        <f t="shared" si="0"/>
        <v/>
      </c>
      <c r="V16" s="400"/>
      <c r="W16" s="410">
        <f t="shared" si="1"/>
        <v>13.5</v>
      </c>
      <c r="X16" s="472"/>
      <c r="Z16" s="160" t="s">
        <v>11</v>
      </c>
      <c r="AA16" s="197"/>
      <c r="AB16" s="272">
        <v>135</v>
      </c>
      <c r="AD16" s="15">
        <f t="shared" si="2"/>
        <v>146</v>
      </c>
      <c r="AE16" s="272">
        <v>157</v>
      </c>
      <c r="AI16"/>
      <c r="AJ16"/>
      <c r="AK16"/>
      <c r="AL16"/>
      <c r="AM16"/>
      <c r="AN16"/>
      <c r="AO16"/>
      <c r="AQ16"/>
      <c r="AR16"/>
      <c r="AS16"/>
      <c r="AT16"/>
      <c r="AU16"/>
      <c r="AV16"/>
      <c r="AW16"/>
      <c r="AX16" s="297"/>
      <c r="AY16" s="514">
        <f>MIN(AY4:AY15)</f>
        <v>-1</v>
      </c>
      <c r="AZ16" s="297"/>
      <c r="BA16" s="514">
        <f>MAX(BA4:BA15)</f>
        <v>32.1</v>
      </c>
      <c r="BB16" s="297"/>
      <c r="BC16" s="515">
        <f>MAX(BC4:BC15)</f>
        <v>71.599999999999994</v>
      </c>
      <c r="BD16" s="297"/>
      <c r="BE16" s="517">
        <f>SUM(BE4:BE15)</f>
        <v>528.24</v>
      </c>
      <c r="BF16" s="297"/>
      <c r="BG16" s="516">
        <f>SUM(BG4:BG15)</f>
        <v>58.596527777777773</v>
      </c>
    </row>
    <row r="17" spans="2:55" x14ac:dyDescent="0.25">
      <c r="B17" s="274">
        <v>15</v>
      </c>
      <c r="C17" s="274">
        <v>86</v>
      </c>
      <c r="D17" s="274">
        <v>15</v>
      </c>
      <c r="E17" s="274">
        <v>3.2</v>
      </c>
      <c r="F17" s="274">
        <v>3.6</v>
      </c>
      <c r="G17" s="274">
        <v>339</v>
      </c>
      <c r="H17" s="274">
        <v>1022.9</v>
      </c>
      <c r="I17" s="274">
        <v>0</v>
      </c>
      <c r="J17" s="274">
        <v>0</v>
      </c>
      <c r="K17" s="274">
        <v>0</v>
      </c>
      <c r="L17" s="274">
        <v>0</v>
      </c>
      <c r="M17" s="274">
        <v>65.3</v>
      </c>
      <c r="N17" s="396">
        <v>599.79999999999995</v>
      </c>
      <c r="O17" s="396">
        <v>13.3</v>
      </c>
      <c r="P17" s="396">
        <v>13.5</v>
      </c>
      <c r="Q17" s="397">
        <v>5.5555555555555601E-3</v>
      </c>
      <c r="R17" s="396"/>
      <c r="S17" s="400"/>
      <c r="T17" s="409"/>
      <c r="U17" s="398" t="str">
        <f t="shared" si="0"/>
        <v/>
      </c>
      <c r="V17" s="400"/>
      <c r="W17" s="410">
        <f t="shared" si="1"/>
        <v>13.5</v>
      </c>
      <c r="X17" s="472"/>
      <c r="Z17" s="160" t="s">
        <v>28</v>
      </c>
      <c r="AA17" s="197"/>
      <c r="AB17" s="272">
        <v>157.5</v>
      </c>
      <c r="AD17" s="15">
        <f t="shared" si="2"/>
        <v>168.5</v>
      </c>
      <c r="AE17" s="272">
        <v>180</v>
      </c>
      <c r="AI17"/>
      <c r="AJ17"/>
      <c r="AK17"/>
      <c r="AL17"/>
      <c r="AM17"/>
      <c r="AN17"/>
      <c r="AO17"/>
      <c r="AQ17"/>
      <c r="AR17"/>
      <c r="AS17"/>
      <c r="AT17"/>
      <c r="AU17"/>
      <c r="AV17"/>
      <c r="AW17"/>
      <c r="AX17" s="270"/>
      <c r="AY17" s="359"/>
      <c r="AZ17" s="270"/>
      <c r="BA17" s="492"/>
    </row>
    <row r="18" spans="2:55" x14ac:dyDescent="0.25">
      <c r="B18" s="274">
        <v>15</v>
      </c>
      <c r="C18" s="274">
        <v>85</v>
      </c>
      <c r="D18" s="274">
        <v>15</v>
      </c>
      <c r="E18" s="274">
        <v>0</v>
      </c>
      <c r="F18" s="274">
        <v>0</v>
      </c>
      <c r="G18" s="274">
        <v>328</v>
      </c>
      <c r="H18" s="274">
        <v>1022.6</v>
      </c>
      <c r="I18" s="274">
        <v>0</v>
      </c>
      <c r="J18" s="274">
        <v>0</v>
      </c>
      <c r="K18" s="274">
        <v>0</v>
      </c>
      <c r="L18" s="274">
        <v>0</v>
      </c>
      <c r="M18" s="274">
        <v>65.3</v>
      </c>
      <c r="N18" s="396">
        <v>599.79999999999995</v>
      </c>
      <c r="O18" s="396">
        <v>13.3</v>
      </c>
      <c r="P18" s="396">
        <v>13.5</v>
      </c>
      <c r="Q18" s="397">
        <v>6.2500000000000003E-3</v>
      </c>
      <c r="R18" s="396"/>
      <c r="S18" s="400"/>
      <c r="T18" s="409"/>
      <c r="U18" s="398" t="str">
        <f t="shared" si="0"/>
        <v/>
      </c>
      <c r="V18" s="400"/>
      <c r="W18" s="410">
        <f t="shared" si="1"/>
        <v>13.5</v>
      </c>
      <c r="X18" s="472"/>
      <c r="Z18" s="160" t="s">
        <v>13</v>
      </c>
      <c r="AA18" s="197"/>
      <c r="AB18" s="272">
        <v>180</v>
      </c>
      <c r="AD18" s="15">
        <f t="shared" si="2"/>
        <v>191</v>
      </c>
      <c r="AE18" s="272">
        <v>202</v>
      </c>
      <c r="AI18"/>
      <c r="AJ18"/>
      <c r="AK18"/>
      <c r="AL18"/>
      <c r="AM18"/>
      <c r="AN18"/>
      <c r="AO18"/>
      <c r="AQ18"/>
      <c r="AR18"/>
      <c r="AS18"/>
      <c r="AT18"/>
      <c r="AU18"/>
      <c r="AV18"/>
      <c r="AW18"/>
      <c r="AX18" s="270"/>
      <c r="AY18" s="359"/>
      <c r="AZ18" s="270"/>
      <c r="BA18" s="493"/>
    </row>
    <row r="19" spans="2:55" x14ac:dyDescent="0.25">
      <c r="B19" s="274">
        <v>15</v>
      </c>
      <c r="C19" s="274">
        <v>86</v>
      </c>
      <c r="D19" s="274">
        <v>15</v>
      </c>
      <c r="E19" s="274">
        <v>1.4</v>
      </c>
      <c r="F19" s="274">
        <v>1.8</v>
      </c>
      <c r="G19" s="274">
        <v>345</v>
      </c>
      <c r="H19" s="274">
        <v>1022.9</v>
      </c>
      <c r="I19" s="274">
        <v>0</v>
      </c>
      <c r="J19" s="274">
        <v>0</v>
      </c>
      <c r="K19" s="274">
        <v>0</v>
      </c>
      <c r="L19" s="274">
        <v>0</v>
      </c>
      <c r="M19" s="274">
        <v>65.3</v>
      </c>
      <c r="N19" s="396">
        <v>599.79999999999995</v>
      </c>
      <c r="O19" s="396">
        <v>13.4</v>
      </c>
      <c r="P19" s="396">
        <v>13.4</v>
      </c>
      <c r="Q19" s="397">
        <v>6.9444444444444397E-3</v>
      </c>
      <c r="R19" s="396"/>
      <c r="S19" s="400"/>
      <c r="T19" s="409"/>
      <c r="U19" s="398" t="str">
        <f t="shared" si="0"/>
        <v/>
      </c>
      <c r="V19" s="400"/>
      <c r="W19" s="410">
        <f t="shared" si="1"/>
        <v>13.4</v>
      </c>
      <c r="X19" s="472"/>
      <c r="Z19" s="160" t="s">
        <v>14</v>
      </c>
      <c r="AA19" s="197"/>
      <c r="AB19" s="272">
        <v>202.5</v>
      </c>
      <c r="AD19" s="15">
        <f t="shared" si="2"/>
        <v>213.5</v>
      </c>
      <c r="AE19" s="272">
        <v>225</v>
      </c>
      <c r="AI19"/>
      <c r="AJ19"/>
      <c r="AK19"/>
      <c r="AL19"/>
      <c r="AM19"/>
      <c r="AN19"/>
      <c r="AO19"/>
      <c r="AQ19"/>
      <c r="AR19"/>
      <c r="AS19"/>
      <c r="AT19"/>
      <c r="AU19"/>
      <c r="AV19"/>
      <c r="AW19"/>
      <c r="AX19" s="270"/>
      <c r="AY19" s="359"/>
      <c r="AZ19" s="270"/>
      <c r="BA19" s="494"/>
    </row>
    <row r="20" spans="2:55" x14ac:dyDescent="0.25">
      <c r="B20" s="274">
        <v>15</v>
      </c>
      <c r="C20" s="274">
        <v>86</v>
      </c>
      <c r="D20" s="274">
        <v>15</v>
      </c>
      <c r="E20" s="274">
        <v>0.4</v>
      </c>
      <c r="F20" s="274">
        <v>1.8</v>
      </c>
      <c r="G20" s="274">
        <v>345</v>
      </c>
      <c r="H20" s="274">
        <v>1022.7</v>
      </c>
      <c r="I20" s="274">
        <v>0</v>
      </c>
      <c r="J20" s="274">
        <v>0</v>
      </c>
      <c r="K20" s="274">
        <v>0</v>
      </c>
      <c r="L20" s="274">
        <v>0</v>
      </c>
      <c r="M20" s="274">
        <v>65.3</v>
      </c>
      <c r="N20" s="396">
        <v>599.79999999999995</v>
      </c>
      <c r="O20" s="396">
        <v>13.3</v>
      </c>
      <c r="P20" s="396">
        <v>13.4</v>
      </c>
      <c r="Q20" s="397">
        <v>7.6388888888888904E-3</v>
      </c>
      <c r="R20" s="396"/>
      <c r="S20" s="400"/>
      <c r="T20" s="409"/>
      <c r="U20" s="398" t="str">
        <f t="shared" si="0"/>
        <v/>
      </c>
      <c r="V20" s="400"/>
      <c r="W20" s="410">
        <f t="shared" si="1"/>
        <v>13.4</v>
      </c>
      <c r="X20" s="472"/>
      <c r="Z20" s="160" t="s">
        <v>21</v>
      </c>
      <c r="AA20" s="197"/>
      <c r="AB20" s="272">
        <v>225</v>
      </c>
      <c r="AD20" s="15">
        <f t="shared" si="2"/>
        <v>236</v>
      </c>
      <c r="AE20" s="272">
        <v>247</v>
      </c>
      <c r="AI20"/>
      <c r="AJ20"/>
      <c r="AK20"/>
      <c r="AL20"/>
      <c r="AM20"/>
      <c r="AN20"/>
      <c r="AO20"/>
      <c r="AQ20"/>
      <c r="AR20"/>
      <c r="AS20"/>
      <c r="AT20"/>
      <c r="AU20"/>
      <c r="AV20"/>
      <c r="AW20"/>
      <c r="AX20" s="270">
        <v>94.14</v>
      </c>
      <c r="AY20" s="359"/>
      <c r="AZ20" s="270"/>
      <c r="BA20" s="494"/>
    </row>
    <row r="21" spans="2:55" x14ac:dyDescent="0.25">
      <c r="B21" s="274">
        <v>14.9</v>
      </c>
      <c r="C21" s="274">
        <v>86</v>
      </c>
      <c r="D21" s="274">
        <v>14.9</v>
      </c>
      <c r="E21" s="274">
        <v>1.4</v>
      </c>
      <c r="F21" s="274">
        <v>1.8</v>
      </c>
      <c r="G21" s="274">
        <v>345</v>
      </c>
      <c r="H21" s="274">
        <v>1022.7</v>
      </c>
      <c r="I21" s="274">
        <v>0</v>
      </c>
      <c r="J21" s="274">
        <v>0</v>
      </c>
      <c r="K21" s="274">
        <v>0</v>
      </c>
      <c r="L21" s="274">
        <v>0</v>
      </c>
      <c r="M21" s="274">
        <v>65.3</v>
      </c>
      <c r="N21" s="396">
        <v>599.79999999999995</v>
      </c>
      <c r="O21" s="396">
        <v>13.3</v>
      </c>
      <c r="P21" s="396">
        <v>13.4</v>
      </c>
      <c r="Q21" s="397">
        <v>8.3333333333333297E-3</v>
      </c>
      <c r="R21" s="396"/>
      <c r="S21" s="400"/>
      <c r="T21" s="409"/>
      <c r="U21" s="398" t="str">
        <f t="shared" si="0"/>
        <v/>
      </c>
      <c r="V21" s="400"/>
      <c r="W21" s="410">
        <f t="shared" si="1"/>
        <v>13.4</v>
      </c>
      <c r="X21" s="472"/>
      <c r="Z21" s="160" t="s">
        <v>10</v>
      </c>
      <c r="AA21" s="197"/>
      <c r="AB21" s="272">
        <v>247.5</v>
      </c>
      <c r="AD21" s="15">
        <f t="shared" si="2"/>
        <v>258.5</v>
      </c>
      <c r="AE21" s="272">
        <v>270</v>
      </c>
      <c r="AI21"/>
      <c r="AJ21"/>
      <c r="AK21"/>
      <c r="AL21"/>
      <c r="AM21"/>
      <c r="AN21"/>
      <c r="AO21"/>
      <c r="AQ21"/>
      <c r="AR21"/>
      <c r="AS21"/>
      <c r="AT21"/>
      <c r="AU21"/>
      <c r="AV21"/>
      <c r="AW21"/>
      <c r="AX21" s="270"/>
      <c r="AY21" s="359"/>
      <c r="AZ21" s="270"/>
      <c r="BA21" s="359"/>
      <c r="BC21" s="270"/>
    </row>
    <row r="22" spans="2:55" x14ac:dyDescent="0.25">
      <c r="B22" s="274">
        <v>14.9</v>
      </c>
      <c r="C22" s="274">
        <v>86</v>
      </c>
      <c r="D22" s="274">
        <v>14.9</v>
      </c>
      <c r="E22" s="274">
        <v>0.4</v>
      </c>
      <c r="F22" s="274">
        <v>1.8</v>
      </c>
      <c r="G22" s="274">
        <v>345</v>
      </c>
      <c r="H22" s="274">
        <v>1022.7</v>
      </c>
      <c r="I22" s="274">
        <v>0</v>
      </c>
      <c r="J22" s="274">
        <v>0</v>
      </c>
      <c r="K22" s="274">
        <v>0</v>
      </c>
      <c r="L22" s="274">
        <v>0</v>
      </c>
      <c r="M22" s="274">
        <v>65.3</v>
      </c>
      <c r="N22" s="396">
        <v>599.79999999999995</v>
      </c>
      <c r="O22" s="396">
        <v>13.3</v>
      </c>
      <c r="P22" s="396">
        <v>13.4</v>
      </c>
      <c r="Q22" s="397">
        <v>9.0277777777777804E-3</v>
      </c>
      <c r="R22" s="396"/>
      <c r="S22" s="400"/>
      <c r="T22" s="409"/>
      <c r="U22" s="398"/>
      <c r="V22" s="400"/>
      <c r="W22" s="410">
        <f t="shared" si="1"/>
        <v>13.4</v>
      </c>
      <c r="X22" s="472"/>
      <c r="Z22" s="160" t="s">
        <v>16</v>
      </c>
      <c r="AA22" s="197"/>
      <c r="AB22" s="272">
        <v>270</v>
      </c>
      <c r="AD22" s="15">
        <f t="shared" si="2"/>
        <v>281</v>
      </c>
      <c r="AE22" s="272">
        <v>292</v>
      </c>
      <c r="AI22"/>
      <c r="AJ22"/>
      <c r="AK22"/>
      <c r="AL22"/>
      <c r="AM22"/>
      <c r="AN22"/>
      <c r="AO22"/>
      <c r="AQ22"/>
      <c r="AR22"/>
      <c r="AS22"/>
      <c r="AT22"/>
      <c r="AU22"/>
      <c r="AV22"/>
      <c r="AW22"/>
      <c r="AX22" s="270"/>
      <c r="AY22" s="359"/>
      <c r="AZ22" s="270"/>
      <c r="BA22" s="359"/>
    </row>
    <row r="23" spans="2:55" x14ac:dyDescent="0.25">
      <c r="B23" s="274">
        <v>14.9</v>
      </c>
      <c r="C23" s="274">
        <v>86</v>
      </c>
      <c r="D23" s="274">
        <v>14.9</v>
      </c>
      <c r="E23" s="274">
        <v>0</v>
      </c>
      <c r="F23" s="274">
        <v>0</v>
      </c>
      <c r="G23" s="274">
        <v>345</v>
      </c>
      <c r="H23" s="274">
        <v>1022.8</v>
      </c>
      <c r="I23" s="274">
        <v>0</v>
      </c>
      <c r="J23" s="274">
        <v>0</v>
      </c>
      <c r="K23" s="274">
        <v>0</v>
      </c>
      <c r="L23" s="274">
        <v>0</v>
      </c>
      <c r="M23" s="274">
        <v>65.3</v>
      </c>
      <c r="N23" s="396">
        <v>599.79999999999995</v>
      </c>
      <c r="O23" s="396">
        <v>13.3</v>
      </c>
      <c r="P23" s="396">
        <v>13.4</v>
      </c>
      <c r="Q23" s="397">
        <v>9.7222222222222206E-3</v>
      </c>
      <c r="R23" s="396"/>
      <c r="S23" s="400"/>
      <c r="T23" s="409"/>
      <c r="U23" s="398"/>
      <c r="V23" s="400"/>
      <c r="W23" s="410">
        <f t="shared" si="1"/>
        <v>13.4</v>
      </c>
      <c r="X23" s="472"/>
      <c r="Z23" s="194" t="s">
        <v>18</v>
      </c>
      <c r="AA23" s="197"/>
      <c r="AB23" s="272">
        <v>292.5</v>
      </c>
      <c r="AD23" s="15">
        <f t="shared" si="2"/>
        <v>303.5</v>
      </c>
      <c r="AE23" s="272">
        <v>315</v>
      </c>
      <c r="AI23"/>
      <c r="AJ23"/>
      <c r="AK23"/>
      <c r="AL23"/>
      <c r="AM23"/>
      <c r="AN23"/>
      <c r="AO23"/>
      <c r="AQ23"/>
      <c r="AR23"/>
      <c r="AS23"/>
      <c r="AT23"/>
      <c r="AU23"/>
      <c r="AV23"/>
      <c r="AW23"/>
      <c r="AX23" s="270"/>
      <c r="AY23" s="359"/>
      <c r="AZ23" s="270"/>
      <c r="BA23" s="359"/>
    </row>
    <row r="24" spans="2:55" x14ac:dyDescent="0.25">
      <c r="B24" s="274">
        <v>14.9</v>
      </c>
      <c r="C24" s="274">
        <v>86</v>
      </c>
      <c r="D24" s="274">
        <v>14.9</v>
      </c>
      <c r="E24" s="274">
        <v>1.8</v>
      </c>
      <c r="F24" s="274">
        <v>1.8</v>
      </c>
      <c r="G24" s="274">
        <v>346</v>
      </c>
      <c r="H24" s="274">
        <v>1022.8</v>
      </c>
      <c r="I24" s="274">
        <v>0</v>
      </c>
      <c r="J24" s="274">
        <v>0</v>
      </c>
      <c r="K24" s="274">
        <v>0</v>
      </c>
      <c r="L24" s="274">
        <v>0</v>
      </c>
      <c r="M24" s="274">
        <v>65.3</v>
      </c>
      <c r="N24" s="396">
        <v>599.79999999999995</v>
      </c>
      <c r="O24" s="396">
        <v>13.3</v>
      </c>
      <c r="P24" s="396">
        <v>13.3</v>
      </c>
      <c r="Q24" s="397">
        <v>1.0416666666666701E-2</v>
      </c>
      <c r="R24" s="396"/>
      <c r="S24" s="400"/>
      <c r="T24" s="409"/>
      <c r="U24" s="398"/>
      <c r="V24" s="400"/>
      <c r="W24" s="410">
        <f t="shared" si="1"/>
        <v>13.3</v>
      </c>
      <c r="X24" s="472"/>
      <c r="Z24" s="194" t="s">
        <v>20</v>
      </c>
      <c r="AA24" s="197"/>
      <c r="AB24" s="272">
        <v>315</v>
      </c>
      <c r="AD24" s="15">
        <f t="shared" si="2"/>
        <v>326</v>
      </c>
      <c r="AE24" s="272">
        <v>337</v>
      </c>
      <c r="AI24"/>
      <c r="AJ24"/>
      <c r="AK24"/>
      <c r="AL24"/>
      <c r="AM24"/>
      <c r="AN24"/>
      <c r="AO24"/>
      <c r="AQ24"/>
      <c r="AR24"/>
      <c r="AS24"/>
      <c r="AT24"/>
      <c r="AU24"/>
      <c r="AV24"/>
      <c r="AW24"/>
      <c r="AX24" s="270"/>
      <c r="AY24" s="359"/>
      <c r="AZ24" s="270"/>
      <c r="BA24" s="359"/>
    </row>
    <row r="25" spans="2:55" x14ac:dyDescent="0.25">
      <c r="B25" s="274">
        <v>14.9</v>
      </c>
      <c r="C25" s="274">
        <v>86</v>
      </c>
      <c r="D25" s="274">
        <v>14.9</v>
      </c>
      <c r="E25" s="274">
        <v>0</v>
      </c>
      <c r="F25" s="274">
        <v>0</v>
      </c>
      <c r="G25" s="274">
        <v>345</v>
      </c>
      <c r="H25" s="274">
        <v>1022.8</v>
      </c>
      <c r="I25" s="274">
        <v>0</v>
      </c>
      <c r="J25" s="274">
        <v>0</v>
      </c>
      <c r="K25" s="274">
        <v>0</v>
      </c>
      <c r="L25" s="274">
        <v>0</v>
      </c>
      <c r="M25" s="274">
        <v>65.3</v>
      </c>
      <c r="N25" s="396">
        <v>599.79999999999995</v>
      </c>
      <c r="O25" s="396">
        <v>13.3</v>
      </c>
      <c r="P25" s="396">
        <v>13.3</v>
      </c>
      <c r="Q25" s="397">
        <v>1.1111111111111099E-2</v>
      </c>
      <c r="R25" s="396"/>
      <c r="S25" s="400"/>
      <c r="T25" s="409"/>
      <c r="U25" s="398"/>
      <c r="V25" s="400"/>
      <c r="W25" s="410">
        <f t="shared" si="1"/>
        <v>13.3</v>
      </c>
      <c r="X25" s="472"/>
      <c r="Z25" s="194" t="s">
        <v>19</v>
      </c>
      <c r="AA25" s="197"/>
      <c r="AB25" s="272">
        <v>337.5</v>
      </c>
      <c r="AD25" s="15">
        <f t="shared" si="2"/>
        <v>348.5</v>
      </c>
      <c r="AE25" s="272">
        <v>349</v>
      </c>
      <c r="AT25" s="232"/>
      <c r="AV25" s="198"/>
      <c r="AW25" s="274"/>
      <c r="AX25" s="270"/>
      <c r="AY25" s="359"/>
      <c r="AZ25" s="270"/>
      <c r="BA25" s="359"/>
    </row>
    <row r="26" spans="2:55" x14ac:dyDescent="0.25">
      <c r="B26" s="274">
        <v>14.9</v>
      </c>
      <c r="C26" s="274">
        <v>86</v>
      </c>
      <c r="D26" s="274">
        <v>14.9</v>
      </c>
      <c r="E26" s="274">
        <v>1.4</v>
      </c>
      <c r="F26" s="274">
        <v>1.8</v>
      </c>
      <c r="G26" s="274">
        <v>345</v>
      </c>
      <c r="H26" s="274">
        <v>1022.8</v>
      </c>
      <c r="I26" s="274">
        <v>0</v>
      </c>
      <c r="J26" s="274">
        <v>0</v>
      </c>
      <c r="K26" s="274">
        <v>0</v>
      </c>
      <c r="L26" s="274">
        <v>0</v>
      </c>
      <c r="M26" s="274">
        <v>65.3</v>
      </c>
      <c r="N26" s="396">
        <v>599.79999999999995</v>
      </c>
      <c r="O26" s="396">
        <v>13.2</v>
      </c>
      <c r="P26" s="396">
        <v>13.3</v>
      </c>
      <c r="Q26" s="397">
        <v>1.18055555555556E-2</v>
      </c>
      <c r="R26" s="396"/>
      <c r="S26" s="400"/>
      <c r="T26" s="409"/>
      <c r="U26" s="398"/>
      <c r="V26" s="400"/>
      <c r="W26" s="410">
        <f t="shared" si="1"/>
        <v>13.3</v>
      </c>
      <c r="X26" s="472"/>
      <c r="Z26" s="14" t="s">
        <v>15</v>
      </c>
      <c r="AA26" s="197"/>
      <c r="AB26" s="272">
        <v>349</v>
      </c>
      <c r="AD26" s="15">
        <f t="shared" si="2"/>
        <v>360</v>
      </c>
      <c r="AF26" s="15"/>
      <c r="AT26" s="232"/>
      <c r="AV26" s="198"/>
      <c r="AW26" s="274"/>
      <c r="AX26" s="270"/>
      <c r="AY26" s="359"/>
      <c r="AZ26" s="270"/>
      <c r="BA26" s="359"/>
    </row>
    <row r="27" spans="2:55" x14ac:dyDescent="0.25">
      <c r="B27" s="274">
        <v>14.9</v>
      </c>
      <c r="C27" s="274">
        <v>86</v>
      </c>
      <c r="D27" s="274">
        <v>14.9</v>
      </c>
      <c r="E27" s="274">
        <v>1.4</v>
      </c>
      <c r="F27" s="274">
        <v>1.8</v>
      </c>
      <c r="G27" s="274">
        <v>345</v>
      </c>
      <c r="H27" s="274">
        <v>1022.7</v>
      </c>
      <c r="I27" s="274">
        <v>0</v>
      </c>
      <c r="J27" s="274">
        <v>0</v>
      </c>
      <c r="K27" s="274">
        <v>0</v>
      </c>
      <c r="L27" s="274">
        <v>0</v>
      </c>
      <c r="M27" s="274">
        <v>65.3</v>
      </c>
      <c r="N27" s="396">
        <v>599.79999999999995</v>
      </c>
      <c r="O27" s="396">
        <v>13.2</v>
      </c>
      <c r="P27" s="396">
        <v>13.2</v>
      </c>
      <c r="Q27" s="397">
        <v>1.2500000000000001E-2</v>
      </c>
      <c r="R27" s="396"/>
      <c r="S27" s="400"/>
      <c r="T27" s="409"/>
      <c r="U27" s="398"/>
      <c r="V27" s="400"/>
      <c r="W27" s="410">
        <f t="shared" si="1"/>
        <v>13.2</v>
      </c>
      <c r="X27" s="472"/>
      <c r="AT27" s="232"/>
      <c r="AV27" s="198"/>
      <c r="AW27" s="274"/>
      <c r="AX27" s="270"/>
      <c r="AY27" s="359"/>
      <c r="AZ27" s="270"/>
      <c r="BA27" s="359"/>
    </row>
    <row r="28" spans="2:55" x14ac:dyDescent="0.25">
      <c r="B28" s="274">
        <v>14.8</v>
      </c>
      <c r="C28" s="274">
        <v>86</v>
      </c>
      <c r="D28" s="274">
        <v>14.8</v>
      </c>
      <c r="E28" s="274">
        <v>1.8</v>
      </c>
      <c r="F28" s="274">
        <v>1.8</v>
      </c>
      <c r="G28" s="274">
        <v>345</v>
      </c>
      <c r="H28" s="274">
        <v>1022.9</v>
      </c>
      <c r="I28" s="274">
        <v>0</v>
      </c>
      <c r="J28" s="274">
        <v>0</v>
      </c>
      <c r="K28" s="274">
        <v>0</v>
      </c>
      <c r="L28" s="274">
        <v>0</v>
      </c>
      <c r="M28" s="274">
        <v>65.3</v>
      </c>
      <c r="N28" s="396">
        <v>599.79999999999995</v>
      </c>
      <c r="O28" s="396">
        <v>13.2</v>
      </c>
      <c r="P28" s="396">
        <v>13.2</v>
      </c>
      <c r="Q28" s="397">
        <v>1.3194444444444399E-2</v>
      </c>
      <c r="R28" s="396"/>
      <c r="S28" s="400"/>
      <c r="T28" s="409"/>
      <c r="U28" s="398"/>
      <c r="V28" s="400"/>
      <c r="W28" s="410">
        <f t="shared" si="1"/>
        <v>13.2</v>
      </c>
      <c r="X28" s="472"/>
      <c r="AD28" s="227" t="str">
        <f>INDEX($Z$9:$Z$26,IF(ISNA(MATCH($AD$30,$AD$9:$AD$26,0)),MATCH($AD$30,$AD$9:$AD$26,1)+1,MATCH($AD$30,$AD$9:$AD$26,0)),1)</f>
        <v>NNO</v>
      </c>
      <c r="AT28" s="232"/>
      <c r="AV28" s="198"/>
      <c r="AW28" s="274"/>
    </row>
    <row r="29" spans="2:55" x14ac:dyDescent="0.25">
      <c r="B29" s="274">
        <v>14.8</v>
      </c>
      <c r="C29" s="274">
        <v>86</v>
      </c>
      <c r="D29" s="274">
        <v>14.8</v>
      </c>
      <c r="E29" s="274">
        <v>2.9</v>
      </c>
      <c r="F29" s="274">
        <v>5.4</v>
      </c>
      <c r="G29" s="274">
        <v>284</v>
      </c>
      <c r="H29" s="274">
        <v>1022.7</v>
      </c>
      <c r="I29" s="274">
        <v>0</v>
      </c>
      <c r="J29" s="274">
        <v>0</v>
      </c>
      <c r="K29" s="274">
        <v>0</v>
      </c>
      <c r="L29" s="274">
        <v>0</v>
      </c>
      <c r="M29" s="274">
        <v>65.3</v>
      </c>
      <c r="N29" s="396">
        <v>599.79999999999995</v>
      </c>
      <c r="O29" s="396">
        <v>13.2</v>
      </c>
      <c r="P29" s="396">
        <v>13.2</v>
      </c>
      <c r="Q29" s="397">
        <v>1.38888888888889E-2</v>
      </c>
      <c r="R29" s="396"/>
      <c r="S29" s="400"/>
      <c r="T29" s="409"/>
      <c r="U29" s="398"/>
      <c r="V29" s="400"/>
      <c r="W29" s="410">
        <f t="shared" si="1"/>
        <v>13.2</v>
      </c>
      <c r="X29" s="472"/>
      <c r="AB29" s="16">
        <f>SUM(AB32:AB47)</f>
        <v>1</v>
      </c>
      <c r="AD29" s="17">
        <f>MAX(AB32:AB47)</f>
        <v>0.24</v>
      </c>
      <c r="AF29" s="18">
        <f>SUM(AF32:AF47)</f>
        <v>25</v>
      </c>
      <c r="AT29" s="232"/>
      <c r="AV29" s="198"/>
      <c r="AW29" s="274"/>
    </row>
    <row r="30" spans="2:55" x14ac:dyDescent="0.25">
      <c r="B30" s="274">
        <v>14.8</v>
      </c>
      <c r="C30" s="274">
        <v>86</v>
      </c>
      <c r="D30" s="274">
        <v>14.8</v>
      </c>
      <c r="E30" s="274">
        <v>0.4</v>
      </c>
      <c r="F30" s="274">
        <v>1.8</v>
      </c>
      <c r="G30" s="274">
        <v>268</v>
      </c>
      <c r="H30" s="274">
        <v>1022.7</v>
      </c>
      <c r="I30" s="274">
        <v>0</v>
      </c>
      <c r="J30" s="274">
        <v>0</v>
      </c>
      <c r="K30" s="274">
        <v>0</v>
      </c>
      <c r="L30" s="274">
        <v>0</v>
      </c>
      <c r="M30" s="274">
        <v>65.3</v>
      </c>
      <c r="N30" s="396">
        <v>599.79999999999995</v>
      </c>
      <c r="O30" s="396">
        <v>13.2</v>
      </c>
      <c r="P30" s="396">
        <v>13.2</v>
      </c>
      <c r="Q30" s="397">
        <v>1.4583333333333301E-2</v>
      </c>
      <c r="R30" s="396"/>
      <c r="S30" s="400"/>
      <c r="T30" s="409"/>
      <c r="U30" s="398"/>
      <c r="V30" s="400"/>
      <c r="W30" s="410">
        <f t="shared" si="1"/>
        <v>13.2</v>
      </c>
      <c r="X30" s="472"/>
      <c r="AD30" s="19">
        <f>VLOOKUP(AD29,AB32:AD47,AD31,0)</f>
        <v>337</v>
      </c>
      <c r="AT30" s="232"/>
      <c r="AV30" s="198"/>
      <c r="AW30" s="274"/>
    </row>
    <row r="31" spans="2:55" x14ac:dyDescent="0.25">
      <c r="B31" s="274">
        <v>14.8</v>
      </c>
      <c r="C31" s="274">
        <v>86</v>
      </c>
      <c r="D31" s="274">
        <v>14.8</v>
      </c>
      <c r="E31" s="274">
        <v>0.4</v>
      </c>
      <c r="F31" s="274">
        <v>1.8</v>
      </c>
      <c r="G31" s="274">
        <v>268</v>
      </c>
      <c r="H31" s="274">
        <v>1022.9</v>
      </c>
      <c r="I31" s="274">
        <v>0</v>
      </c>
      <c r="J31" s="274">
        <v>0</v>
      </c>
      <c r="K31" s="274">
        <v>0</v>
      </c>
      <c r="L31" s="274">
        <v>0</v>
      </c>
      <c r="M31" s="274">
        <v>65.3</v>
      </c>
      <c r="N31" s="396">
        <v>599.79999999999995</v>
      </c>
      <c r="O31" s="396">
        <v>13.2</v>
      </c>
      <c r="P31" s="396">
        <v>13.2</v>
      </c>
      <c r="Q31" s="397">
        <v>1.52777777777778E-2</v>
      </c>
      <c r="R31" s="396"/>
      <c r="S31" s="400"/>
      <c r="T31" s="409"/>
      <c r="U31" s="398"/>
      <c r="V31" s="400"/>
      <c r="W31" s="410">
        <f t="shared" si="1"/>
        <v>13.2</v>
      </c>
      <c r="X31" s="472"/>
      <c r="AD31" s="272">
        <v>3</v>
      </c>
      <c r="AT31" s="232"/>
      <c r="AV31" s="198"/>
      <c r="AW31" s="274"/>
    </row>
    <row r="32" spans="2:55" x14ac:dyDescent="0.25">
      <c r="B32" s="274">
        <v>14.8</v>
      </c>
      <c r="C32" s="274">
        <v>86</v>
      </c>
      <c r="D32" s="274">
        <v>14.8</v>
      </c>
      <c r="E32" s="274">
        <v>0</v>
      </c>
      <c r="F32" s="274">
        <v>0</v>
      </c>
      <c r="G32" s="274">
        <v>268</v>
      </c>
      <c r="H32" s="274">
        <v>1022.7</v>
      </c>
      <c r="I32" s="274">
        <v>0</v>
      </c>
      <c r="J32" s="274">
        <v>0</v>
      </c>
      <c r="K32" s="274">
        <v>0</v>
      </c>
      <c r="L32" s="274">
        <v>0</v>
      </c>
      <c r="M32" s="274">
        <v>65.3</v>
      </c>
      <c r="N32" s="396">
        <v>599.79999999999995</v>
      </c>
      <c r="O32" s="396">
        <v>13.2</v>
      </c>
      <c r="P32" s="396">
        <v>13.1</v>
      </c>
      <c r="Q32" s="397">
        <v>1.59722222222222E-2</v>
      </c>
      <c r="R32" s="396"/>
      <c r="S32" s="400"/>
      <c r="T32" s="409"/>
      <c r="U32" s="398"/>
      <c r="V32" s="400"/>
      <c r="W32" s="410">
        <f t="shared" si="1"/>
        <v>13.2</v>
      </c>
      <c r="X32" s="472"/>
      <c r="AB32" s="20">
        <f>AF32/$AF$29</f>
        <v>0</v>
      </c>
      <c r="AD32" s="192">
        <v>0</v>
      </c>
      <c r="AF32" s="21">
        <f>COUNTIF($G$9:$G$1448,AD32)</f>
        <v>0</v>
      </c>
      <c r="AT32" s="232"/>
      <c r="AV32" s="198"/>
      <c r="AW32" s="274"/>
    </row>
    <row r="33" spans="2:49" x14ac:dyDescent="0.25">
      <c r="B33" s="274">
        <v>14.8</v>
      </c>
      <c r="C33" s="274">
        <v>86</v>
      </c>
      <c r="D33" s="274">
        <v>14.8</v>
      </c>
      <c r="E33" s="274">
        <v>1.1000000000000001</v>
      </c>
      <c r="F33" s="274">
        <v>1.8</v>
      </c>
      <c r="G33" s="274">
        <v>316</v>
      </c>
      <c r="H33" s="274">
        <v>1022.8</v>
      </c>
      <c r="I33" s="274">
        <v>0</v>
      </c>
      <c r="J33" s="274">
        <v>0</v>
      </c>
      <c r="K33" s="274">
        <v>0</v>
      </c>
      <c r="L33" s="274">
        <v>0</v>
      </c>
      <c r="M33" s="274">
        <v>65.3</v>
      </c>
      <c r="N33" s="396">
        <v>599.79999999999995</v>
      </c>
      <c r="O33" s="396">
        <v>13.2</v>
      </c>
      <c r="P33" s="396">
        <v>13.1</v>
      </c>
      <c r="Q33" s="397">
        <v>1.6666666666666701E-2</v>
      </c>
      <c r="R33" s="396"/>
      <c r="S33" s="400"/>
      <c r="T33" s="409"/>
      <c r="U33" s="398"/>
      <c r="V33" s="400"/>
      <c r="W33" s="410">
        <f t="shared" si="1"/>
        <v>13.2</v>
      </c>
      <c r="X33" s="472"/>
      <c r="AB33" s="20">
        <f t="shared" ref="AB33:AB47" si="3">AF33/$AF$29</f>
        <v>0</v>
      </c>
      <c r="AD33" s="192">
        <v>22</v>
      </c>
      <c r="AF33" s="21">
        <f t="shared" ref="AF33:AF47" si="4">COUNTIF($G$9:$G$1448,AD33)</f>
        <v>0</v>
      </c>
      <c r="AT33" s="232"/>
      <c r="AV33" s="198"/>
      <c r="AW33" s="274"/>
    </row>
    <row r="34" spans="2:49" x14ac:dyDescent="0.25">
      <c r="B34" s="274">
        <v>14.8</v>
      </c>
      <c r="C34" s="274">
        <v>86</v>
      </c>
      <c r="D34" s="274">
        <v>14.8</v>
      </c>
      <c r="E34" s="274">
        <v>0.4</v>
      </c>
      <c r="F34" s="274">
        <v>1.8</v>
      </c>
      <c r="G34" s="274">
        <v>325</v>
      </c>
      <c r="H34" s="274">
        <v>1022.9</v>
      </c>
      <c r="I34" s="274">
        <v>0</v>
      </c>
      <c r="J34" s="274">
        <v>0</v>
      </c>
      <c r="K34" s="274">
        <v>0</v>
      </c>
      <c r="L34" s="274">
        <v>0</v>
      </c>
      <c r="M34" s="274">
        <v>65.3</v>
      </c>
      <c r="N34" s="396">
        <v>599.79999999999995</v>
      </c>
      <c r="O34" s="396">
        <v>13.1</v>
      </c>
      <c r="P34" s="396">
        <v>13.1</v>
      </c>
      <c r="Q34" s="397">
        <v>1.7361111111111101E-2</v>
      </c>
      <c r="R34" s="396"/>
      <c r="S34" s="400"/>
      <c r="T34" s="409"/>
      <c r="U34" s="398"/>
      <c r="V34" s="400"/>
      <c r="W34" s="410">
        <f t="shared" si="1"/>
        <v>13.1</v>
      </c>
      <c r="X34" s="472"/>
      <c r="AB34" s="20">
        <f>AF34/$AF$29</f>
        <v>0.12</v>
      </c>
      <c r="AD34" s="192">
        <v>45</v>
      </c>
      <c r="AF34" s="21">
        <f t="shared" si="4"/>
        <v>3</v>
      </c>
      <c r="AT34" s="232"/>
      <c r="AV34" s="198"/>
      <c r="AW34" s="274"/>
    </row>
    <row r="35" spans="2:49" x14ac:dyDescent="0.25">
      <c r="B35" s="274">
        <v>14.8</v>
      </c>
      <c r="C35" s="274">
        <v>86</v>
      </c>
      <c r="D35" s="274">
        <v>14.8</v>
      </c>
      <c r="E35" s="274">
        <v>0</v>
      </c>
      <c r="F35" s="274">
        <v>0</v>
      </c>
      <c r="G35" s="274">
        <v>325</v>
      </c>
      <c r="H35" s="274">
        <v>1022.7</v>
      </c>
      <c r="I35" s="274">
        <v>0</v>
      </c>
      <c r="J35" s="274">
        <v>0</v>
      </c>
      <c r="K35" s="274">
        <v>0</v>
      </c>
      <c r="L35" s="274">
        <v>0</v>
      </c>
      <c r="M35" s="274">
        <v>65.3</v>
      </c>
      <c r="N35" s="396">
        <v>599.79999999999995</v>
      </c>
      <c r="O35" s="396">
        <v>13.1</v>
      </c>
      <c r="P35" s="396">
        <v>13.1</v>
      </c>
      <c r="Q35" s="397">
        <v>1.8055555555555599E-2</v>
      </c>
      <c r="R35" s="396"/>
      <c r="S35" s="400"/>
      <c r="T35" s="409"/>
      <c r="U35" s="398"/>
      <c r="V35" s="400"/>
      <c r="W35" s="410">
        <f t="shared" si="1"/>
        <v>13.1</v>
      </c>
      <c r="X35" s="472"/>
      <c r="AB35" s="20">
        <f t="shared" si="3"/>
        <v>0.16</v>
      </c>
      <c r="AD35" s="192">
        <v>67</v>
      </c>
      <c r="AF35" s="21">
        <f>COUNTIF($G$9:$G$1448,AD35)</f>
        <v>4</v>
      </c>
      <c r="AT35" s="232"/>
      <c r="AV35" s="198"/>
      <c r="AW35" s="274"/>
    </row>
    <row r="36" spans="2:49" x14ac:dyDescent="0.25">
      <c r="B36" s="274">
        <v>14.7</v>
      </c>
      <c r="C36" s="274">
        <v>86</v>
      </c>
      <c r="D36" s="274">
        <v>14.7</v>
      </c>
      <c r="E36" s="274">
        <v>0</v>
      </c>
      <c r="F36" s="274">
        <v>0</v>
      </c>
      <c r="G36" s="274">
        <v>325</v>
      </c>
      <c r="H36" s="274">
        <v>1022.9</v>
      </c>
      <c r="I36" s="274">
        <v>0</v>
      </c>
      <c r="J36" s="274">
        <v>0</v>
      </c>
      <c r="K36" s="274">
        <v>0</v>
      </c>
      <c r="L36" s="274">
        <v>0</v>
      </c>
      <c r="M36" s="274">
        <v>65.3</v>
      </c>
      <c r="N36" s="396">
        <v>599.79999999999995</v>
      </c>
      <c r="O36" s="396">
        <v>13.1</v>
      </c>
      <c r="P36" s="396">
        <v>13</v>
      </c>
      <c r="Q36" s="397">
        <v>1.8749999999999999E-2</v>
      </c>
      <c r="R36" s="396"/>
      <c r="S36" s="400"/>
      <c r="T36" s="409"/>
      <c r="U36" s="398" t="str">
        <f t="shared" ref="U36:U74" si="5">IF(J36&gt;0,60,"")</f>
        <v/>
      </c>
      <c r="V36" s="400"/>
      <c r="W36" s="410">
        <f t="shared" si="1"/>
        <v>13.1</v>
      </c>
      <c r="X36" s="472"/>
      <c r="AB36" s="20">
        <f t="shared" si="3"/>
        <v>0.12</v>
      </c>
      <c r="AD36" s="192">
        <v>90</v>
      </c>
      <c r="AF36" s="21">
        <f t="shared" si="4"/>
        <v>3</v>
      </c>
      <c r="AT36" s="232"/>
      <c r="AV36" s="198"/>
      <c r="AW36" s="274"/>
    </row>
    <row r="37" spans="2:49" x14ac:dyDescent="0.25">
      <c r="B37" s="274">
        <v>14.7</v>
      </c>
      <c r="C37" s="274">
        <v>87</v>
      </c>
      <c r="D37" s="274">
        <v>14.7</v>
      </c>
      <c r="E37" s="274">
        <v>0.4</v>
      </c>
      <c r="F37" s="274">
        <v>1.8</v>
      </c>
      <c r="G37" s="274">
        <v>325</v>
      </c>
      <c r="H37" s="274">
        <v>1023</v>
      </c>
      <c r="I37" s="274">
        <v>0</v>
      </c>
      <c r="J37" s="274">
        <v>0</v>
      </c>
      <c r="K37" s="274">
        <v>0</v>
      </c>
      <c r="L37" s="274">
        <v>0</v>
      </c>
      <c r="M37" s="274">
        <v>65.3</v>
      </c>
      <c r="N37" s="396">
        <v>599.79999999999995</v>
      </c>
      <c r="O37" s="396">
        <v>13.1</v>
      </c>
      <c r="P37" s="396">
        <v>13</v>
      </c>
      <c r="Q37" s="397">
        <v>1.94444444444444E-2</v>
      </c>
      <c r="R37" s="396"/>
      <c r="S37" s="400"/>
      <c r="T37" s="409"/>
      <c r="U37" s="398" t="str">
        <f t="shared" si="5"/>
        <v/>
      </c>
      <c r="V37" s="400"/>
      <c r="W37" s="410">
        <f t="shared" si="1"/>
        <v>13.1</v>
      </c>
      <c r="X37" s="472"/>
      <c r="AB37" s="20">
        <f t="shared" si="3"/>
        <v>0.04</v>
      </c>
      <c r="AD37" s="192">
        <v>112</v>
      </c>
      <c r="AF37" s="21">
        <f t="shared" si="4"/>
        <v>1</v>
      </c>
      <c r="AT37" s="232"/>
      <c r="AV37" s="198"/>
      <c r="AW37" s="274"/>
    </row>
    <row r="38" spans="2:49" x14ac:dyDescent="0.25">
      <c r="B38" s="274">
        <v>14.7</v>
      </c>
      <c r="C38" s="274">
        <v>87</v>
      </c>
      <c r="D38" s="274">
        <v>14.7</v>
      </c>
      <c r="E38" s="274">
        <v>1.4</v>
      </c>
      <c r="F38" s="274">
        <v>1.8</v>
      </c>
      <c r="G38" s="274">
        <v>325</v>
      </c>
      <c r="H38" s="274">
        <v>1022.9</v>
      </c>
      <c r="I38" s="274">
        <v>0</v>
      </c>
      <c r="J38" s="274">
        <v>0</v>
      </c>
      <c r="K38" s="274">
        <v>0</v>
      </c>
      <c r="L38" s="274">
        <v>0</v>
      </c>
      <c r="M38" s="274">
        <v>65.3</v>
      </c>
      <c r="N38" s="396">
        <v>599.79999999999995</v>
      </c>
      <c r="O38" s="396">
        <v>13</v>
      </c>
      <c r="P38" s="396">
        <v>13</v>
      </c>
      <c r="Q38" s="397">
        <v>2.0138888888888901E-2</v>
      </c>
      <c r="R38" s="396"/>
      <c r="S38" s="400"/>
      <c r="T38" s="409"/>
      <c r="U38" s="398" t="str">
        <f t="shared" si="5"/>
        <v/>
      </c>
      <c r="V38" s="400"/>
      <c r="W38" s="410">
        <f t="shared" si="1"/>
        <v>13</v>
      </c>
      <c r="X38" s="472"/>
      <c r="AB38" s="20">
        <f t="shared" si="3"/>
        <v>0.04</v>
      </c>
      <c r="AD38" s="192">
        <v>135</v>
      </c>
      <c r="AF38" s="21">
        <f t="shared" si="4"/>
        <v>1</v>
      </c>
      <c r="AT38" s="232"/>
      <c r="AV38" s="198"/>
      <c r="AW38" s="274"/>
    </row>
    <row r="39" spans="2:49" x14ac:dyDescent="0.25">
      <c r="B39" s="274">
        <v>14.7</v>
      </c>
      <c r="C39" s="274">
        <v>87</v>
      </c>
      <c r="D39" s="274">
        <v>14.7</v>
      </c>
      <c r="E39" s="274">
        <v>0</v>
      </c>
      <c r="F39" s="274">
        <v>0</v>
      </c>
      <c r="G39" s="274">
        <v>325</v>
      </c>
      <c r="H39" s="274">
        <v>1022.8</v>
      </c>
      <c r="I39" s="274">
        <v>0</v>
      </c>
      <c r="J39" s="274">
        <v>0</v>
      </c>
      <c r="K39" s="274">
        <v>0</v>
      </c>
      <c r="L39" s="274">
        <v>0</v>
      </c>
      <c r="M39" s="274">
        <v>65.3</v>
      </c>
      <c r="N39" s="396">
        <v>599.79999999999995</v>
      </c>
      <c r="O39" s="396">
        <v>13</v>
      </c>
      <c r="P39" s="396">
        <v>12.9</v>
      </c>
      <c r="Q39" s="397">
        <v>2.0833333333333301E-2</v>
      </c>
      <c r="R39" s="396"/>
      <c r="S39" s="400"/>
      <c r="T39" s="409"/>
      <c r="U39" s="398" t="str">
        <f t="shared" si="5"/>
        <v/>
      </c>
      <c r="V39" s="400"/>
      <c r="W39" s="410">
        <f t="shared" si="1"/>
        <v>13</v>
      </c>
      <c r="X39" s="472"/>
      <c r="AB39" s="20">
        <f t="shared" si="3"/>
        <v>0</v>
      </c>
      <c r="AD39" s="192">
        <v>157</v>
      </c>
      <c r="AF39" s="21">
        <f t="shared" si="4"/>
        <v>0</v>
      </c>
      <c r="AT39" s="232"/>
      <c r="AV39" s="198"/>
      <c r="AW39" s="274"/>
    </row>
    <row r="40" spans="2:49" x14ac:dyDescent="0.25">
      <c r="B40" s="274">
        <v>14.7</v>
      </c>
      <c r="C40" s="274">
        <v>87</v>
      </c>
      <c r="D40" s="274">
        <v>14.7</v>
      </c>
      <c r="E40" s="274">
        <v>0</v>
      </c>
      <c r="F40" s="274">
        <v>0</v>
      </c>
      <c r="G40" s="274">
        <v>325</v>
      </c>
      <c r="H40" s="274">
        <v>1022.8</v>
      </c>
      <c r="I40" s="274">
        <v>0</v>
      </c>
      <c r="J40" s="274">
        <v>0</v>
      </c>
      <c r="K40" s="274">
        <v>0</v>
      </c>
      <c r="L40" s="274">
        <v>0</v>
      </c>
      <c r="M40" s="274">
        <v>65.3</v>
      </c>
      <c r="N40" s="396">
        <v>599.79999999999995</v>
      </c>
      <c r="O40" s="396">
        <v>13</v>
      </c>
      <c r="P40" s="396">
        <v>12.9</v>
      </c>
      <c r="Q40" s="397">
        <v>2.1527777777777798E-2</v>
      </c>
      <c r="R40" s="396"/>
      <c r="S40" s="400"/>
      <c r="T40" s="409"/>
      <c r="U40" s="398" t="str">
        <f t="shared" si="5"/>
        <v/>
      </c>
      <c r="V40" s="400"/>
      <c r="W40" s="410">
        <f t="shared" si="1"/>
        <v>13</v>
      </c>
      <c r="X40" s="472"/>
      <c r="AB40" s="20">
        <f t="shared" si="3"/>
        <v>0.04</v>
      </c>
      <c r="AD40" s="192">
        <v>180</v>
      </c>
      <c r="AF40" s="21">
        <f t="shared" si="4"/>
        <v>1</v>
      </c>
      <c r="AT40" s="232"/>
      <c r="AV40" s="198"/>
      <c r="AW40" s="274"/>
    </row>
    <row r="41" spans="2:49" x14ac:dyDescent="0.25">
      <c r="B41" s="274">
        <v>14.7</v>
      </c>
      <c r="C41" s="274">
        <v>87</v>
      </c>
      <c r="D41" s="274">
        <v>14.7</v>
      </c>
      <c r="E41" s="274">
        <v>0.4</v>
      </c>
      <c r="F41" s="274">
        <v>1.8</v>
      </c>
      <c r="G41" s="274">
        <v>325</v>
      </c>
      <c r="H41" s="274">
        <v>1022.7</v>
      </c>
      <c r="I41" s="274">
        <v>0</v>
      </c>
      <c r="J41" s="274">
        <v>0</v>
      </c>
      <c r="K41" s="274">
        <v>0</v>
      </c>
      <c r="L41" s="274">
        <v>0</v>
      </c>
      <c r="M41" s="274">
        <v>65.3</v>
      </c>
      <c r="N41" s="396">
        <v>599.79999999999995</v>
      </c>
      <c r="O41" s="396">
        <v>13</v>
      </c>
      <c r="P41" s="396">
        <v>12.9</v>
      </c>
      <c r="Q41" s="397">
        <v>2.2222222222222199E-2</v>
      </c>
      <c r="R41" s="396"/>
      <c r="S41" s="400"/>
      <c r="T41" s="409"/>
      <c r="U41" s="398" t="str">
        <f t="shared" si="5"/>
        <v/>
      </c>
      <c r="V41" s="400"/>
      <c r="W41" s="410">
        <f t="shared" si="1"/>
        <v>13</v>
      </c>
      <c r="X41" s="472"/>
      <c r="AB41" s="20">
        <f t="shared" si="3"/>
        <v>0</v>
      </c>
      <c r="AD41" s="192">
        <v>202</v>
      </c>
      <c r="AF41" s="21">
        <f t="shared" si="4"/>
        <v>0</v>
      </c>
      <c r="AT41" s="232"/>
      <c r="AV41" s="198"/>
      <c r="AW41" s="274"/>
    </row>
    <row r="42" spans="2:49" x14ac:dyDescent="0.25">
      <c r="B42" s="274">
        <v>14.7</v>
      </c>
      <c r="C42" s="274">
        <v>87</v>
      </c>
      <c r="D42" s="274">
        <v>14.7</v>
      </c>
      <c r="E42" s="274">
        <v>2.2000000000000002</v>
      </c>
      <c r="F42" s="274">
        <v>3.6</v>
      </c>
      <c r="G42" s="274">
        <v>324</v>
      </c>
      <c r="H42" s="274">
        <v>1022.8</v>
      </c>
      <c r="I42" s="274">
        <v>0</v>
      </c>
      <c r="J42" s="274">
        <v>0</v>
      </c>
      <c r="K42" s="274">
        <v>0</v>
      </c>
      <c r="L42" s="274">
        <v>0</v>
      </c>
      <c r="M42" s="274">
        <v>65.3</v>
      </c>
      <c r="N42" s="396">
        <v>599.79999999999995</v>
      </c>
      <c r="O42" s="396">
        <v>13</v>
      </c>
      <c r="P42" s="396">
        <v>12.9</v>
      </c>
      <c r="Q42" s="397">
        <v>2.29166666666667E-2</v>
      </c>
      <c r="R42" s="396"/>
      <c r="S42" s="400"/>
      <c r="T42" s="409"/>
      <c r="U42" s="398" t="str">
        <f t="shared" si="5"/>
        <v/>
      </c>
      <c r="V42" s="400"/>
      <c r="W42" s="410">
        <f t="shared" si="1"/>
        <v>13</v>
      </c>
      <c r="X42" s="472"/>
      <c r="AB42" s="20">
        <f t="shared" si="3"/>
        <v>0.04</v>
      </c>
      <c r="AD42" s="192">
        <v>225</v>
      </c>
      <c r="AF42" s="21">
        <f t="shared" si="4"/>
        <v>1</v>
      </c>
      <c r="AT42" s="232"/>
      <c r="AV42" s="198"/>
      <c r="AW42" s="274"/>
    </row>
    <row r="43" spans="2:49" x14ac:dyDescent="0.25">
      <c r="B43" s="274">
        <v>14.7</v>
      </c>
      <c r="C43" s="274">
        <v>87</v>
      </c>
      <c r="D43" s="274">
        <v>14.7</v>
      </c>
      <c r="E43" s="274">
        <v>1.1000000000000001</v>
      </c>
      <c r="F43" s="274">
        <v>1.8</v>
      </c>
      <c r="G43" s="274">
        <v>324</v>
      </c>
      <c r="H43" s="274">
        <v>1022.9</v>
      </c>
      <c r="I43" s="274">
        <v>0</v>
      </c>
      <c r="J43" s="274">
        <v>0</v>
      </c>
      <c r="K43" s="274">
        <v>0</v>
      </c>
      <c r="L43" s="274">
        <v>0</v>
      </c>
      <c r="M43" s="274">
        <v>65.3</v>
      </c>
      <c r="N43" s="396">
        <v>599.79999999999995</v>
      </c>
      <c r="O43" s="396">
        <v>13</v>
      </c>
      <c r="P43" s="396">
        <v>12.9</v>
      </c>
      <c r="Q43" s="397">
        <v>2.36111111111111E-2</v>
      </c>
      <c r="R43" s="396"/>
      <c r="S43" s="400"/>
      <c r="T43" s="409"/>
      <c r="U43" s="398" t="str">
        <f t="shared" si="5"/>
        <v/>
      </c>
      <c r="V43" s="400"/>
      <c r="W43" s="410">
        <f t="shared" si="1"/>
        <v>13</v>
      </c>
      <c r="X43" s="472"/>
      <c r="AB43" s="20">
        <f t="shared" si="3"/>
        <v>0.12</v>
      </c>
      <c r="AD43" s="192">
        <v>247</v>
      </c>
      <c r="AF43" s="21">
        <f t="shared" si="4"/>
        <v>3</v>
      </c>
      <c r="AT43" s="232"/>
      <c r="AV43" s="198"/>
      <c r="AW43" s="274"/>
    </row>
    <row r="44" spans="2:49" x14ac:dyDescent="0.25">
      <c r="B44" s="274">
        <v>14.7</v>
      </c>
      <c r="C44" s="274">
        <v>87</v>
      </c>
      <c r="D44" s="274">
        <v>14.7</v>
      </c>
      <c r="E44" s="274">
        <v>2.5</v>
      </c>
      <c r="F44" s="274">
        <v>3.6</v>
      </c>
      <c r="G44" s="274">
        <v>324</v>
      </c>
      <c r="H44" s="274">
        <v>1023</v>
      </c>
      <c r="I44" s="274">
        <v>0</v>
      </c>
      <c r="J44" s="274">
        <v>0</v>
      </c>
      <c r="K44" s="274">
        <v>0</v>
      </c>
      <c r="L44" s="274">
        <v>0</v>
      </c>
      <c r="M44" s="274">
        <v>65.3</v>
      </c>
      <c r="N44" s="396">
        <v>599.79999999999995</v>
      </c>
      <c r="O44" s="396">
        <v>13</v>
      </c>
      <c r="P44" s="396">
        <v>12.9</v>
      </c>
      <c r="Q44" s="397">
        <v>2.4305555555555601E-2</v>
      </c>
      <c r="R44" s="396"/>
      <c r="S44" s="400"/>
      <c r="T44" s="409"/>
      <c r="U44" s="398" t="str">
        <f t="shared" si="5"/>
        <v/>
      </c>
      <c r="V44" s="400"/>
      <c r="W44" s="410">
        <f t="shared" si="1"/>
        <v>13</v>
      </c>
      <c r="X44" s="472"/>
      <c r="AB44" s="20">
        <f t="shared" si="3"/>
        <v>0.04</v>
      </c>
      <c r="AD44" s="192">
        <v>270</v>
      </c>
      <c r="AF44" s="21">
        <f t="shared" si="4"/>
        <v>1</v>
      </c>
      <c r="AT44" s="232"/>
      <c r="AV44" s="198"/>
      <c r="AW44" s="274"/>
    </row>
    <row r="45" spans="2:49" x14ac:dyDescent="0.25">
      <c r="B45" s="274">
        <v>14.7</v>
      </c>
      <c r="C45" s="274">
        <v>86</v>
      </c>
      <c r="D45" s="274">
        <v>14.7</v>
      </c>
      <c r="E45" s="274">
        <v>0</v>
      </c>
      <c r="F45" s="274">
        <v>0</v>
      </c>
      <c r="G45" s="274">
        <v>324</v>
      </c>
      <c r="H45" s="274">
        <v>1023</v>
      </c>
      <c r="I45" s="274">
        <v>0</v>
      </c>
      <c r="J45" s="274">
        <v>0</v>
      </c>
      <c r="K45" s="274">
        <v>0</v>
      </c>
      <c r="L45" s="274">
        <v>0</v>
      </c>
      <c r="M45" s="274">
        <v>65.3</v>
      </c>
      <c r="N45" s="396">
        <v>599.79999999999995</v>
      </c>
      <c r="O45" s="396">
        <v>13</v>
      </c>
      <c r="P45" s="396">
        <v>12.9</v>
      </c>
      <c r="Q45" s="397">
        <v>2.5000000000000001E-2</v>
      </c>
      <c r="R45" s="396"/>
      <c r="S45" s="400"/>
      <c r="T45" s="409"/>
      <c r="U45" s="398" t="str">
        <f t="shared" si="5"/>
        <v/>
      </c>
      <c r="V45" s="400"/>
      <c r="W45" s="410">
        <f t="shared" si="1"/>
        <v>13</v>
      </c>
      <c r="X45" s="472"/>
      <c r="AB45" s="20">
        <f t="shared" si="3"/>
        <v>0</v>
      </c>
      <c r="AD45" s="192">
        <v>292</v>
      </c>
      <c r="AF45" s="21">
        <f t="shared" si="4"/>
        <v>0</v>
      </c>
      <c r="AT45" s="232"/>
      <c r="AV45" s="198"/>
      <c r="AW45" s="274"/>
    </row>
    <row r="46" spans="2:49" x14ac:dyDescent="0.25">
      <c r="B46" s="274">
        <v>14.7</v>
      </c>
      <c r="C46" s="274">
        <v>87</v>
      </c>
      <c r="D46" s="274">
        <v>14.7</v>
      </c>
      <c r="E46" s="274">
        <v>1.8</v>
      </c>
      <c r="F46" s="274">
        <v>1.8</v>
      </c>
      <c r="G46" s="274">
        <v>289</v>
      </c>
      <c r="H46" s="274">
        <v>1023.1</v>
      </c>
      <c r="I46" s="274">
        <v>0</v>
      </c>
      <c r="J46" s="274">
        <v>0</v>
      </c>
      <c r="K46" s="274">
        <v>0</v>
      </c>
      <c r="L46" s="274">
        <v>0</v>
      </c>
      <c r="M46" s="274">
        <v>65.3</v>
      </c>
      <c r="N46" s="396">
        <v>599.79999999999995</v>
      </c>
      <c r="O46" s="396">
        <v>13</v>
      </c>
      <c r="P46" s="396">
        <v>12.9</v>
      </c>
      <c r="Q46" s="397">
        <v>2.5694444444444402E-2</v>
      </c>
      <c r="R46" s="396"/>
      <c r="S46" s="400"/>
      <c r="T46" s="409"/>
      <c r="U46" s="398" t="str">
        <f t="shared" si="5"/>
        <v/>
      </c>
      <c r="V46" s="400"/>
      <c r="W46" s="410">
        <f t="shared" si="1"/>
        <v>13</v>
      </c>
      <c r="X46" s="472"/>
      <c r="AB46" s="20">
        <f t="shared" si="3"/>
        <v>0.04</v>
      </c>
      <c r="AD46" s="192">
        <v>315</v>
      </c>
      <c r="AF46" s="21">
        <f t="shared" si="4"/>
        <v>1</v>
      </c>
      <c r="AT46" s="232"/>
      <c r="AV46" s="198"/>
      <c r="AW46" s="274"/>
    </row>
    <row r="47" spans="2:49" x14ac:dyDescent="0.25">
      <c r="B47" s="274">
        <v>14.7</v>
      </c>
      <c r="C47" s="274">
        <v>87</v>
      </c>
      <c r="D47" s="274">
        <v>14.7</v>
      </c>
      <c r="E47" s="274">
        <v>2.9</v>
      </c>
      <c r="F47" s="274">
        <v>3.6</v>
      </c>
      <c r="G47" s="274">
        <v>302</v>
      </c>
      <c r="H47" s="274">
        <v>1022.9</v>
      </c>
      <c r="I47" s="274">
        <v>0</v>
      </c>
      <c r="J47" s="274">
        <v>0</v>
      </c>
      <c r="K47" s="274">
        <v>0</v>
      </c>
      <c r="L47" s="274">
        <v>0</v>
      </c>
      <c r="M47" s="274">
        <v>65.3</v>
      </c>
      <c r="N47" s="396">
        <v>599.79999999999995</v>
      </c>
      <c r="O47" s="396">
        <v>13</v>
      </c>
      <c r="P47" s="396">
        <v>12.9</v>
      </c>
      <c r="Q47" s="397">
        <v>2.6388888888888899E-2</v>
      </c>
      <c r="R47" s="396"/>
      <c r="S47" s="400"/>
      <c r="T47" s="409"/>
      <c r="U47" s="398" t="str">
        <f t="shared" si="5"/>
        <v/>
      </c>
      <c r="V47" s="400"/>
      <c r="W47" s="410">
        <f t="shared" si="1"/>
        <v>13</v>
      </c>
      <c r="X47" s="472"/>
      <c r="Y47" s="273"/>
      <c r="AB47" s="20">
        <f t="shared" si="3"/>
        <v>0.24</v>
      </c>
      <c r="AD47" s="192">
        <v>337</v>
      </c>
      <c r="AF47" s="21">
        <f t="shared" si="4"/>
        <v>6</v>
      </c>
      <c r="AT47" s="232"/>
      <c r="AV47" s="198"/>
      <c r="AW47" s="274"/>
    </row>
    <row r="48" spans="2:49" x14ac:dyDescent="0.25">
      <c r="B48" s="274">
        <v>14.7</v>
      </c>
      <c r="C48" s="274">
        <v>86</v>
      </c>
      <c r="D48" s="274">
        <v>14.7</v>
      </c>
      <c r="E48" s="274">
        <v>0.7</v>
      </c>
      <c r="F48" s="274">
        <v>1.8</v>
      </c>
      <c r="G48" s="274">
        <v>312</v>
      </c>
      <c r="H48" s="274">
        <v>1023</v>
      </c>
      <c r="I48" s="274">
        <v>0</v>
      </c>
      <c r="J48" s="274">
        <v>0</v>
      </c>
      <c r="K48" s="274">
        <v>0</v>
      </c>
      <c r="L48" s="274">
        <v>0</v>
      </c>
      <c r="M48" s="274">
        <v>65.3</v>
      </c>
      <c r="N48" s="396">
        <v>599.79999999999995</v>
      </c>
      <c r="O48" s="396">
        <v>13</v>
      </c>
      <c r="P48" s="396">
        <v>12.9</v>
      </c>
      <c r="Q48" s="397">
        <v>2.70833333333333E-2</v>
      </c>
      <c r="R48" s="396"/>
      <c r="S48" s="400"/>
      <c r="T48" s="409"/>
      <c r="U48" s="398" t="str">
        <f t="shared" si="5"/>
        <v/>
      </c>
      <c r="V48" s="400"/>
      <c r="W48" s="410">
        <f t="shared" si="1"/>
        <v>13</v>
      </c>
      <c r="X48" s="472"/>
      <c r="AT48" s="232"/>
      <c r="AV48" s="198"/>
      <c r="AW48" s="274"/>
    </row>
    <row r="49" spans="2:49" x14ac:dyDescent="0.25">
      <c r="B49" s="274">
        <v>14.7</v>
      </c>
      <c r="C49" s="274">
        <v>86</v>
      </c>
      <c r="D49" s="274">
        <v>14.7</v>
      </c>
      <c r="E49" s="274">
        <v>1.4</v>
      </c>
      <c r="F49" s="274">
        <v>1.8</v>
      </c>
      <c r="G49" s="274">
        <v>322</v>
      </c>
      <c r="H49" s="274">
        <v>1023.3</v>
      </c>
      <c r="I49" s="274">
        <v>0</v>
      </c>
      <c r="J49" s="274">
        <v>0</v>
      </c>
      <c r="K49" s="274">
        <v>0</v>
      </c>
      <c r="L49" s="274">
        <v>0</v>
      </c>
      <c r="M49" s="274">
        <v>65.3</v>
      </c>
      <c r="N49" s="396">
        <v>599.79999999999995</v>
      </c>
      <c r="O49" s="396">
        <v>13</v>
      </c>
      <c r="P49" s="396">
        <v>12.9</v>
      </c>
      <c r="Q49" s="397">
        <v>2.7777777777777801E-2</v>
      </c>
      <c r="R49" s="396"/>
      <c r="S49" s="400"/>
      <c r="T49" s="409"/>
      <c r="U49" s="398" t="str">
        <f t="shared" si="5"/>
        <v/>
      </c>
      <c r="V49" s="400"/>
      <c r="W49" s="410">
        <f t="shared" si="1"/>
        <v>13</v>
      </c>
      <c r="X49" s="472"/>
      <c r="Y49" s="273"/>
      <c r="AT49" s="232"/>
      <c r="AV49" s="198"/>
      <c r="AW49" s="274"/>
    </row>
    <row r="50" spans="2:49" x14ac:dyDescent="0.25">
      <c r="B50" s="274">
        <v>14.7</v>
      </c>
      <c r="C50" s="274">
        <v>86</v>
      </c>
      <c r="D50" s="274">
        <v>14.7</v>
      </c>
      <c r="E50" s="274">
        <v>1.8</v>
      </c>
      <c r="F50" s="274">
        <v>1.8</v>
      </c>
      <c r="G50" s="274">
        <v>328</v>
      </c>
      <c r="H50" s="274">
        <v>1023</v>
      </c>
      <c r="I50" s="274">
        <v>0</v>
      </c>
      <c r="J50" s="274">
        <v>0</v>
      </c>
      <c r="K50" s="274">
        <v>0</v>
      </c>
      <c r="L50" s="274">
        <v>0</v>
      </c>
      <c r="M50" s="274">
        <v>65.3</v>
      </c>
      <c r="N50" s="396">
        <v>599.79999999999995</v>
      </c>
      <c r="O50" s="396">
        <v>13</v>
      </c>
      <c r="P50" s="396">
        <v>12.9</v>
      </c>
      <c r="Q50" s="397">
        <v>2.8472222222222201E-2</v>
      </c>
      <c r="R50" s="396"/>
      <c r="S50" s="400"/>
      <c r="T50" s="409"/>
      <c r="U50" s="398" t="str">
        <f t="shared" si="5"/>
        <v/>
      </c>
      <c r="V50" s="400"/>
      <c r="W50" s="410">
        <f t="shared" si="1"/>
        <v>13</v>
      </c>
      <c r="X50" s="472"/>
      <c r="Y50" s="273"/>
      <c r="AT50" s="232"/>
      <c r="AV50" s="198"/>
      <c r="AW50" s="274"/>
    </row>
    <row r="51" spans="2:49" x14ac:dyDescent="0.25">
      <c r="B51" s="274">
        <v>14.7</v>
      </c>
      <c r="C51" s="274">
        <v>86</v>
      </c>
      <c r="D51" s="274">
        <v>14.7</v>
      </c>
      <c r="E51" s="274">
        <v>1.1000000000000001</v>
      </c>
      <c r="F51" s="274">
        <v>1.8</v>
      </c>
      <c r="G51" s="274">
        <v>328</v>
      </c>
      <c r="H51" s="274">
        <v>1023.1</v>
      </c>
      <c r="I51" s="274">
        <v>0</v>
      </c>
      <c r="J51" s="274">
        <v>0</v>
      </c>
      <c r="K51" s="274">
        <v>0</v>
      </c>
      <c r="L51" s="274">
        <v>0</v>
      </c>
      <c r="M51" s="274">
        <v>65.3</v>
      </c>
      <c r="N51" s="396">
        <v>599.79999999999995</v>
      </c>
      <c r="O51" s="396">
        <v>13</v>
      </c>
      <c r="P51" s="396">
        <v>13</v>
      </c>
      <c r="Q51" s="397">
        <v>2.9166666666666698E-2</v>
      </c>
      <c r="R51" s="396"/>
      <c r="S51" s="400"/>
      <c r="T51" s="409"/>
      <c r="U51" s="398" t="str">
        <f t="shared" si="5"/>
        <v/>
      </c>
      <c r="V51" s="400"/>
      <c r="W51" s="410">
        <f t="shared" si="1"/>
        <v>13</v>
      </c>
      <c r="X51" s="472"/>
      <c r="Y51" s="273"/>
      <c r="AT51" s="232"/>
      <c r="AV51" s="198"/>
      <c r="AW51" s="274"/>
    </row>
    <row r="52" spans="2:49" x14ac:dyDescent="0.25">
      <c r="B52" s="274">
        <v>14.7</v>
      </c>
      <c r="C52" s="274">
        <v>86</v>
      </c>
      <c r="D52" s="274">
        <v>14.7</v>
      </c>
      <c r="E52" s="274">
        <v>0.7</v>
      </c>
      <c r="F52" s="274">
        <v>1.8</v>
      </c>
      <c r="G52" s="274">
        <v>328</v>
      </c>
      <c r="H52" s="274">
        <v>1023.1</v>
      </c>
      <c r="I52" s="274">
        <v>0</v>
      </c>
      <c r="J52" s="274">
        <v>0</v>
      </c>
      <c r="K52" s="274">
        <v>0</v>
      </c>
      <c r="L52" s="274">
        <v>0</v>
      </c>
      <c r="M52" s="274">
        <v>65.3</v>
      </c>
      <c r="N52" s="396">
        <v>599.79999999999995</v>
      </c>
      <c r="O52" s="396">
        <v>13</v>
      </c>
      <c r="P52" s="396">
        <v>13</v>
      </c>
      <c r="Q52" s="397">
        <v>2.9861111111111099E-2</v>
      </c>
      <c r="R52" s="396"/>
      <c r="S52" s="400"/>
      <c r="T52" s="409"/>
      <c r="U52" s="398" t="str">
        <f t="shared" si="5"/>
        <v/>
      </c>
      <c r="V52" s="400"/>
      <c r="W52" s="410">
        <f t="shared" si="1"/>
        <v>13</v>
      </c>
      <c r="X52" s="472"/>
      <c r="AT52" s="232"/>
      <c r="AV52" s="198"/>
      <c r="AW52" s="274"/>
    </row>
    <row r="53" spans="2:49" x14ac:dyDescent="0.25">
      <c r="B53" s="274">
        <v>14.7</v>
      </c>
      <c r="C53" s="274">
        <v>86</v>
      </c>
      <c r="D53" s="274">
        <v>14.7</v>
      </c>
      <c r="E53" s="274">
        <v>1.1000000000000001</v>
      </c>
      <c r="F53" s="274">
        <v>1.8</v>
      </c>
      <c r="G53" s="274">
        <v>337</v>
      </c>
      <c r="H53" s="274">
        <v>1022.9</v>
      </c>
      <c r="I53" s="274">
        <v>0</v>
      </c>
      <c r="J53" s="274">
        <v>0</v>
      </c>
      <c r="K53" s="274">
        <v>0</v>
      </c>
      <c r="L53" s="274">
        <v>0</v>
      </c>
      <c r="M53" s="274">
        <v>65.3</v>
      </c>
      <c r="N53" s="396">
        <v>599.79999999999995</v>
      </c>
      <c r="O53" s="396">
        <v>13.1</v>
      </c>
      <c r="P53" s="396">
        <v>13</v>
      </c>
      <c r="Q53" s="397">
        <v>3.05555555555556E-2</v>
      </c>
      <c r="R53" s="396"/>
      <c r="S53" s="400"/>
      <c r="T53" s="409"/>
      <c r="U53" s="398" t="str">
        <f t="shared" si="5"/>
        <v/>
      </c>
      <c r="V53" s="400"/>
      <c r="W53" s="410">
        <f t="shared" si="1"/>
        <v>13.1</v>
      </c>
      <c r="X53" s="472"/>
      <c r="Y53" s="273"/>
      <c r="AC53" s="273"/>
      <c r="AD53" s="273"/>
      <c r="AF53" s="273"/>
      <c r="AT53" s="232"/>
      <c r="AV53" s="198"/>
      <c r="AW53" s="274"/>
    </row>
    <row r="54" spans="2:49" x14ac:dyDescent="0.25">
      <c r="B54" s="274">
        <v>14.7</v>
      </c>
      <c r="C54" s="274">
        <v>86</v>
      </c>
      <c r="D54" s="274">
        <v>14.7</v>
      </c>
      <c r="E54" s="274">
        <v>2.9</v>
      </c>
      <c r="F54" s="274">
        <v>3.6</v>
      </c>
      <c r="G54" s="274">
        <v>328</v>
      </c>
      <c r="H54" s="274">
        <v>1022.7</v>
      </c>
      <c r="I54" s="274">
        <v>0</v>
      </c>
      <c r="J54" s="274">
        <v>0</v>
      </c>
      <c r="K54" s="274">
        <v>0</v>
      </c>
      <c r="L54" s="274">
        <v>0</v>
      </c>
      <c r="M54" s="274">
        <v>65.3</v>
      </c>
      <c r="N54" s="396">
        <v>599.79999999999995</v>
      </c>
      <c r="O54" s="396">
        <v>13.1</v>
      </c>
      <c r="P54" s="396">
        <v>13</v>
      </c>
      <c r="Q54" s="397">
        <v>3.125E-2</v>
      </c>
      <c r="R54" s="396"/>
      <c r="S54" s="400"/>
      <c r="T54" s="409"/>
      <c r="U54" s="398" t="str">
        <f t="shared" si="5"/>
        <v/>
      </c>
      <c r="V54" s="400"/>
      <c r="W54" s="410">
        <f t="shared" si="1"/>
        <v>13.1</v>
      </c>
      <c r="X54" s="472"/>
      <c r="Y54" s="273"/>
      <c r="AC54" s="273"/>
      <c r="AD54" s="273"/>
      <c r="AF54" s="273"/>
      <c r="AT54" s="232"/>
      <c r="AV54" s="198"/>
      <c r="AW54" s="274"/>
    </row>
    <row r="55" spans="2:49" x14ac:dyDescent="0.25">
      <c r="B55" s="274">
        <v>14.7</v>
      </c>
      <c r="C55" s="274">
        <v>86</v>
      </c>
      <c r="D55" s="274">
        <v>14.7</v>
      </c>
      <c r="E55" s="274">
        <v>2.5</v>
      </c>
      <c r="F55" s="274">
        <v>3.6</v>
      </c>
      <c r="G55" s="274">
        <v>334</v>
      </c>
      <c r="H55" s="274">
        <v>1023.1</v>
      </c>
      <c r="I55" s="274">
        <v>0</v>
      </c>
      <c r="J55" s="274">
        <v>0</v>
      </c>
      <c r="K55" s="274">
        <v>0</v>
      </c>
      <c r="L55" s="274">
        <v>0</v>
      </c>
      <c r="M55" s="274">
        <v>65.3</v>
      </c>
      <c r="N55" s="396">
        <v>599.79999999999995</v>
      </c>
      <c r="O55" s="396">
        <v>13.1</v>
      </c>
      <c r="P55" s="396">
        <v>13.1</v>
      </c>
      <c r="Q55" s="397">
        <v>3.19444444444444E-2</v>
      </c>
      <c r="R55" s="396"/>
      <c r="S55" s="400"/>
      <c r="T55" s="409"/>
      <c r="U55" s="398" t="str">
        <f t="shared" si="5"/>
        <v/>
      </c>
      <c r="V55" s="400"/>
      <c r="W55" s="410">
        <f t="shared" si="1"/>
        <v>13.1</v>
      </c>
      <c r="X55" s="472"/>
      <c r="Y55" s="273"/>
      <c r="AC55" s="273"/>
      <c r="AD55" s="273"/>
      <c r="AF55" s="273"/>
      <c r="AT55" s="232"/>
      <c r="AV55" s="198"/>
      <c r="AW55" s="274"/>
    </row>
    <row r="56" spans="2:49" x14ac:dyDescent="0.25">
      <c r="B56" s="274">
        <v>14.8</v>
      </c>
      <c r="C56" s="274">
        <v>86</v>
      </c>
      <c r="D56" s="274">
        <v>14.8</v>
      </c>
      <c r="E56" s="274">
        <v>0.4</v>
      </c>
      <c r="F56" s="274">
        <v>1.8</v>
      </c>
      <c r="G56" s="274">
        <v>334</v>
      </c>
      <c r="H56" s="274">
        <v>1023</v>
      </c>
      <c r="I56" s="274">
        <v>0</v>
      </c>
      <c r="J56" s="274">
        <v>0</v>
      </c>
      <c r="K56" s="274">
        <v>0</v>
      </c>
      <c r="L56" s="274">
        <v>0</v>
      </c>
      <c r="M56" s="274">
        <v>65.3</v>
      </c>
      <c r="N56" s="396">
        <v>599.79999999999995</v>
      </c>
      <c r="O56" s="396">
        <v>13.2</v>
      </c>
      <c r="P56" s="396">
        <v>13.1</v>
      </c>
      <c r="Q56" s="397">
        <v>3.2638888888888898E-2</v>
      </c>
      <c r="R56" s="396"/>
      <c r="S56" s="400"/>
      <c r="T56" s="409"/>
      <c r="U56" s="398" t="str">
        <f t="shared" si="5"/>
        <v/>
      </c>
      <c r="V56" s="400"/>
      <c r="W56" s="410">
        <f t="shared" si="1"/>
        <v>13.2</v>
      </c>
      <c r="X56" s="472"/>
      <c r="Y56" s="273"/>
      <c r="AC56" s="273"/>
      <c r="AD56" s="273"/>
      <c r="AF56" s="273"/>
      <c r="AT56" s="232"/>
      <c r="AV56" s="198"/>
      <c r="AW56" s="274"/>
    </row>
    <row r="57" spans="2:49" x14ac:dyDescent="0.25">
      <c r="B57" s="274">
        <v>14.8</v>
      </c>
      <c r="C57" s="274">
        <v>86</v>
      </c>
      <c r="D57" s="274">
        <v>14.8</v>
      </c>
      <c r="E57" s="274">
        <v>1.8</v>
      </c>
      <c r="F57" s="274">
        <v>1.8</v>
      </c>
      <c r="G57" s="274">
        <v>331</v>
      </c>
      <c r="H57" s="274">
        <v>1023.1</v>
      </c>
      <c r="I57" s="274">
        <v>0</v>
      </c>
      <c r="J57" s="274">
        <v>0</v>
      </c>
      <c r="K57" s="274">
        <v>0</v>
      </c>
      <c r="L57" s="274">
        <v>0</v>
      </c>
      <c r="M57" s="274">
        <v>65.3</v>
      </c>
      <c r="N57" s="396">
        <v>599.79999999999995</v>
      </c>
      <c r="O57" s="396">
        <v>13.2</v>
      </c>
      <c r="P57" s="396">
        <v>13.2</v>
      </c>
      <c r="Q57" s="397">
        <v>3.3333333333333298E-2</v>
      </c>
      <c r="R57" s="396"/>
      <c r="S57" s="400"/>
      <c r="T57" s="409"/>
      <c r="U57" s="398" t="str">
        <f t="shared" si="5"/>
        <v/>
      </c>
      <c r="V57" s="400"/>
      <c r="W57" s="410">
        <f t="shared" si="1"/>
        <v>13.2</v>
      </c>
      <c r="X57" s="472"/>
      <c r="AT57" s="232"/>
      <c r="AV57" s="198"/>
      <c r="AW57" s="274"/>
    </row>
    <row r="58" spans="2:49" x14ac:dyDescent="0.25">
      <c r="B58" s="274">
        <v>14.8</v>
      </c>
      <c r="C58" s="274">
        <v>86</v>
      </c>
      <c r="D58" s="274">
        <v>14.8</v>
      </c>
      <c r="E58" s="274">
        <v>1.8</v>
      </c>
      <c r="F58" s="274">
        <v>1.8</v>
      </c>
      <c r="G58" s="274">
        <v>330</v>
      </c>
      <c r="H58" s="274">
        <v>1023</v>
      </c>
      <c r="I58" s="274">
        <v>0</v>
      </c>
      <c r="J58" s="274">
        <v>0</v>
      </c>
      <c r="K58" s="274">
        <v>0</v>
      </c>
      <c r="L58" s="274">
        <v>0</v>
      </c>
      <c r="M58" s="274">
        <v>65.3</v>
      </c>
      <c r="N58" s="396">
        <v>599.79999999999995</v>
      </c>
      <c r="O58" s="396">
        <v>13.2</v>
      </c>
      <c r="P58" s="396">
        <v>13.2</v>
      </c>
      <c r="Q58" s="397">
        <v>3.4027777777777803E-2</v>
      </c>
      <c r="R58" s="396"/>
      <c r="S58" s="400"/>
      <c r="T58" s="409"/>
      <c r="U58" s="398" t="str">
        <f t="shared" si="5"/>
        <v/>
      </c>
      <c r="V58" s="400"/>
      <c r="W58" s="410">
        <f t="shared" si="1"/>
        <v>13.2</v>
      </c>
      <c r="X58" s="472"/>
      <c r="Y58" s="273"/>
      <c r="AC58" s="273"/>
      <c r="AD58" s="273"/>
      <c r="AF58" s="273"/>
      <c r="AT58" s="232"/>
      <c r="AV58" s="198"/>
      <c r="AW58" s="274"/>
    </row>
    <row r="59" spans="2:49" x14ac:dyDescent="0.25">
      <c r="B59" s="274">
        <v>14.8</v>
      </c>
      <c r="C59" s="274">
        <v>85</v>
      </c>
      <c r="D59" s="274">
        <v>14.8</v>
      </c>
      <c r="E59" s="274">
        <v>3.6</v>
      </c>
      <c r="F59" s="274">
        <v>3.6</v>
      </c>
      <c r="G59" s="274">
        <v>327</v>
      </c>
      <c r="H59" s="274">
        <v>1022.9</v>
      </c>
      <c r="I59" s="274">
        <v>0</v>
      </c>
      <c r="J59" s="274">
        <v>0</v>
      </c>
      <c r="K59" s="274">
        <v>0</v>
      </c>
      <c r="L59" s="274">
        <v>0</v>
      </c>
      <c r="M59" s="274">
        <v>65.3</v>
      </c>
      <c r="N59" s="396">
        <v>599.79999999999995</v>
      </c>
      <c r="O59" s="396">
        <v>13.2</v>
      </c>
      <c r="P59" s="396">
        <v>13.2</v>
      </c>
      <c r="Q59" s="397">
        <v>3.4722222222222203E-2</v>
      </c>
      <c r="R59" s="396"/>
      <c r="S59" s="400"/>
      <c r="T59" s="409"/>
      <c r="U59" s="398" t="str">
        <f t="shared" si="5"/>
        <v/>
      </c>
      <c r="V59" s="400"/>
      <c r="W59" s="410">
        <f t="shared" si="1"/>
        <v>13.2</v>
      </c>
      <c r="X59" s="472"/>
      <c r="Y59" s="273"/>
      <c r="AC59" s="273"/>
      <c r="AD59" s="273"/>
      <c r="AF59" s="273"/>
      <c r="AT59" s="232"/>
      <c r="AV59" s="198"/>
      <c r="AW59" s="274"/>
    </row>
    <row r="60" spans="2:49" x14ac:dyDescent="0.25">
      <c r="B60" s="274">
        <v>14.8</v>
      </c>
      <c r="C60" s="274">
        <v>85</v>
      </c>
      <c r="D60" s="274">
        <v>14.8</v>
      </c>
      <c r="E60" s="274">
        <v>0.4</v>
      </c>
      <c r="F60" s="274">
        <v>1.8</v>
      </c>
      <c r="G60" s="274">
        <v>336</v>
      </c>
      <c r="H60" s="274">
        <v>1023</v>
      </c>
      <c r="I60" s="274">
        <v>0</v>
      </c>
      <c r="J60" s="274">
        <v>0</v>
      </c>
      <c r="K60" s="274">
        <v>0</v>
      </c>
      <c r="L60" s="274">
        <v>0</v>
      </c>
      <c r="M60" s="274">
        <v>65.3</v>
      </c>
      <c r="N60" s="396">
        <v>599.79999999999995</v>
      </c>
      <c r="O60" s="396">
        <v>13.3</v>
      </c>
      <c r="P60" s="396">
        <v>13.3</v>
      </c>
      <c r="Q60" s="397">
        <v>3.54166666666667E-2</v>
      </c>
      <c r="R60" s="396"/>
      <c r="S60" s="400"/>
      <c r="T60" s="409"/>
      <c r="U60" s="398" t="str">
        <f t="shared" si="5"/>
        <v/>
      </c>
      <c r="V60" s="400"/>
      <c r="W60" s="410">
        <f t="shared" si="1"/>
        <v>13.3</v>
      </c>
      <c r="X60" s="472"/>
      <c r="Y60" s="273"/>
      <c r="AC60" s="273"/>
      <c r="AD60" s="273"/>
      <c r="AF60" s="273"/>
      <c r="AT60" s="232"/>
      <c r="AV60" s="198"/>
      <c r="AW60" s="274"/>
    </row>
    <row r="61" spans="2:49" x14ac:dyDescent="0.25">
      <c r="B61" s="274">
        <v>14.9</v>
      </c>
      <c r="C61" s="274">
        <v>85</v>
      </c>
      <c r="D61" s="274">
        <v>14.9</v>
      </c>
      <c r="E61" s="274">
        <v>1.1000000000000001</v>
      </c>
      <c r="F61" s="274">
        <v>1.8</v>
      </c>
      <c r="G61" s="274">
        <v>335</v>
      </c>
      <c r="H61" s="274">
        <v>1023.2</v>
      </c>
      <c r="I61" s="274">
        <v>0</v>
      </c>
      <c r="J61" s="274">
        <v>0</v>
      </c>
      <c r="K61" s="274">
        <v>0</v>
      </c>
      <c r="L61" s="274">
        <v>0</v>
      </c>
      <c r="M61" s="274">
        <v>65.3</v>
      </c>
      <c r="N61" s="396">
        <v>599.79999999999995</v>
      </c>
      <c r="O61" s="396">
        <v>13.3</v>
      </c>
      <c r="P61" s="396">
        <v>13.3</v>
      </c>
      <c r="Q61" s="397">
        <v>3.6111111111111101E-2</v>
      </c>
      <c r="R61" s="396"/>
      <c r="S61" s="400"/>
      <c r="T61" s="409"/>
      <c r="U61" s="398" t="str">
        <f t="shared" si="5"/>
        <v/>
      </c>
      <c r="V61" s="400"/>
      <c r="W61" s="410">
        <f t="shared" si="1"/>
        <v>13.3</v>
      </c>
      <c r="X61" s="472"/>
      <c r="AT61" s="232"/>
      <c r="AV61" s="198"/>
      <c r="AW61" s="274"/>
    </row>
    <row r="62" spans="2:49" x14ac:dyDescent="0.25">
      <c r="B62" s="274">
        <v>14.9</v>
      </c>
      <c r="C62" s="274">
        <v>85</v>
      </c>
      <c r="D62" s="274">
        <v>14.9</v>
      </c>
      <c r="E62" s="274">
        <v>3.6</v>
      </c>
      <c r="F62" s="274">
        <v>5.4</v>
      </c>
      <c r="G62" s="274">
        <v>339</v>
      </c>
      <c r="H62" s="274">
        <v>1023.1</v>
      </c>
      <c r="I62" s="274">
        <v>0</v>
      </c>
      <c r="J62" s="274">
        <v>0</v>
      </c>
      <c r="K62" s="274">
        <v>0</v>
      </c>
      <c r="L62" s="274">
        <v>0</v>
      </c>
      <c r="M62" s="274">
        <v>65.3</v>
      </c>
      <c r="N62" s="396">
        <v>599.79999999999995</v>
      </c>
      <c r="O62" s="396">
        <v>13.3</v>
      </c>
      <c r="P62" s="396">
        <v>13.3</v>
      </c>
      <c r="Q62" s="397">
        <v>3.6805555555555598E-2</v>
      </c>
      <c r="R62" s="396"/>
      <c r="S62" s="400"/>
      <c r="T62" s="409"/>
      <c r="U62" s="398" t="str">
        <f t="shared" si="5"/>
        <v/>
      </c>
      <c r="V62" s="400"/>
      <c r="W62" s="410">
        <f t="shared" si="1"/>
        <v>13.3</v>
      </c>
      <c r="X62" s="472"/>
      <c r="Y62" s="273"/>
      <c r="AC62" s="273"/>
      <c r="AD62" s="273"/>
      <c r="AF62" s="273"/>
      <c r="AT62" s="232"/>
      <c r="AV62" s="198"/>
      <c r="AW62" s="274"/>
    </row>
    <row r="63" spans="2:49" x14ac:dyDescent="0.25">
      <c r="B63" s="274">
        <v>14.9</v>
      </c>
      <c r="C63" s="274">
        <v>85</v>
      </c>
      <c r="D63" s="274">
        <v>14.9</v>
      </c>
      <c r="E63" s="274">
        <v>1.4</v>
      </c>
      <c r="F63" s="274">
        <v>1.8</v>
      </c>
      <c r="G63" s="274">
        <v>346</v>
      </c>
      <c r="H63" s="274">
        <v>1023.1</v>
      </c>
      <c r="I63" s="274">
        <v>0</v>
      </c>
      <c r="J63" s="274">
        <v>0</v>
      </c>
      <c r="K63" s="274">
        <v>0</v>
      </c>
      <c r="L63" s="274">
        <v>0</v>
      </c>
      <c r="M63" s="274">
        <v>65.3</v>
      </c>
      <c r="N63" s="396">
        <v>599.79999999999995</v>
      </c>
      <c r="O63" s="396">
        <v>13.4</v>
      </c>
      <c r="P63" s="396">
        <v>13.3</v>
      </c>
      <c r="Q63" s="397">
        <v>3.7499999999999999E-2</v>
      </c>
      <c r="R63" s="396"/>
      <c r="S63" s="400"/>
      <c r="T63" s="409"/>
      <c r="U63" s="398" t="str">
        <f t="shared" si="5"/>
        <v/>
      </c>
      <c r="V63" s="400"/>
      <c r="W63" s="410">
        <f t="shared" si="1"/>
        <v>13.4</v>
      </c>
      <c r="X63" s="472"/>
      <c r="Y63" s="273"/>
      <c r="AC63" s="273"/>
      <c r="AD63" s="273"/>
      <c r="AF63" s="273"/>
      <c r="AT63" s="232"/>
      <c r="AV63" s="198"/>
      <c r="AW63" s="274"/>
    </row>
    <row r="64" spans="2:49" x14ac:dyDescent="0.25">
      <c r="B64" s="274">
        <v>14.9</v>
      </c>
      <c r="C64" s="274">
        <v>85</v>
      </c>
      <c r="D64" s="274">
        <v>14.9</v>
      </c>
      <c r="E64" s="274">
        <v>0.4</v>
      </c>
      <c r="F64" s="274">
        <v>1.8</v>
      </c>
      <c r="G64" s="274">
        <v>342</v>
      </c>
      <c r="H64" s="274">
        <v>1023</v>
      </c>
      <c r="I64" s="274">
        <v>0</v>
      </c>
      <c r="J64" s="274">
        <v>0</v>
      </c>
      <c r="K64" s="274">
        <v>0</v>
      </c>
      <c r="L64" s="274">
        <v>0</v>
      </c>
      <c r="M64" s="274">
        <v>65.3</v>
      </c>
      <c r="N64" s="396">
        <v>599.79999999999995</v>
      </c>
      <c r="O64" s="396">
        <v>13.4</v>
      </c>
      <c r="P64" s="396">
        <v>13.4</v>
      </c>
      <c r="Q64" s="397">
        <v>3.8194444444444399E-2</v>
      </c>
      <c r="R64" s="396"/>
      <c r="S64" s="400"/>
      <c r="T64" s="409"/>
      <c r="U64" s="398" t="str">
        <f t="shared" si="5"/>
        <v/>
      </c>
      <c r="V64" s="400"/>
      <c r="W64" s="410">
        <f t="shared" si="1"/>
        <v>13.4</v>
      </c>
      <c r="X64" s="472"/>
      <c r="Y64" s="273"/>
      <c r="AC64" s="273"/>
      <c r="AD64" s="273"/>
      <c r="AF64" s="273"/>
      <c r="AT64" s="232"/>
      <c r="AV64" s="198"/>
      <c r="AW64" s="274"/>
    </row>
    <row r="65" spans="2:49" x14ac:dyDescent="0.25">
      <c r="B65" s="274">
        <v>14.9</v>
      </c>
      <c r="C65" s="274">
        <v>85</v>
      </c>
      <c r="D65" s="274">
        <v>14.9</v>
      </c>
      <c r="E65" s="274">
        <v>1.1000000000000001</v>
      </c>
      <c r="F65" s="274">
        <v>1.8</v>
      </c>
      <c r="G65" s="274">
        <v>357</v>
      </c>
      <c r="H65" s="274">
        <v>1023</v>
      </c>
      <c r="I65" s="274">
        <v>0</v>
      </c>
      <c r="J65" s="274">
        <v>0</v>
      </c>
      <c r="K65" s="274">
        <v>0</v>
      </c>
      <c r="L65" s="274">
        <v>0</v>
      </c>
      <c r="M65" s="274">
        <v>65.3</v>
      </c>
      <c r="N65" s="396">
        <v>599.79999999999995</v>
      </c>
      <c r="O65" s="396">
        <v>13.4</v>
      </c>
      <c r="P65" s="396">
        <v>13.4</v>
      </c>
      <c r="Q65" s="397">
        <v>3.8888888888888903E-2</v>
      </c>
      <c r="R65" s="396"/>
      <c r="S65" s="400"/>
      <c r="T65" s="409"/>
      <c r="U65" s="398" t="str">
        <f t="shared" si="5"/>
        <v/>
      </c>
      <c r="V65" s="400"/>
      <c r="W65" s="410">
        <f t="shared" si="1"/>
        <v>13.4</v>
      </c>
      <c r="X65" s="472"/>
      <c r="Y65" s="273"/>
      <c r="AC65" s="273"/>
      <c r="AD65" s="273"/>
      <c r="AF65" s="273"/>
      <c r="AT65" s="232"/>
      <c r="AV65" s="198"/>
      <c r="AW65" s="274"/>
    </row>
    <row r="66" spans="2:49" x14ac:dyDescent="0.25">
      <c r="B66" s="274">
        <v>14.9</v>
      </c>
      <c r="C66" s="274">
        <v>85</v>
      </c>
      <c r="D66" s="274">
        <v>14.9</v>
      </c>
      <c r="E66" s="274">
        <v>1.1000000000000001</v>
      </c>
      <c r="F66" s="274">
        <v>1.8</v>
      </c>
      <c r="G66" s="274">
        <v>357</v>
      </c>
      <c r="H66" s="274">
        <v>1023</v>
      </c>
      <c r="I66" s="274">
        <v>0</v>
      </c>
      <c r="J66" s="274">
        <v>0</v>
      </c>
      <c r="K66" s="274">
        <v>0</v>
      </c>
      <c r="L66" s="274">
        <v>0</v>
      </c>
      <c r="M66" s="274">
        <v>65.3</v>
      </c>
      <c r="N66" s="396">
        <v>599.79999999999995</v>
      </c>
      <c r="O66" s="396">
        <v>13.4</v>
      </c>
      <c r="P66" s="396">
        <v>13.5</v>
      </c>
      <c r="Q66" s="397">
        <v>3.9583333333333297E-2</v>
      </c>
      <c r="R66" s="396"/>
      <c r="S66" s="400"/>
      <c r="T66" s="409"/>
      <c r="U66" s="398" t="str">
        <f t="shared" si="5"/>
        <v/>
      </c>
      <c r="V66" s="400"/>
      <c r="W66" s="410">
        <f t="shared" si="1"/>
        <v>13.5</v>
      </c>
      <c r="X66" s="472"/>
      <c r="AT66" s="232"/>
      <c r="AV66" s="198"/>
      <c r="AW66" s="274"/>
    </row>
    <row r="67" spans="2:49" x14ac:dyDescent="0.25">
      <c r="B67" s="274">
        <v>14.9</v>
      </c>
      <c r="C67" s="274">
        <v>85</v>
      </c>
      <c r="D67" s="274">
        <v>14.9</v>
      </c>
      <c r="E67" s="274">
        <v>0.4</v>
      </c>
      <c r="F67" s="274">
        <v>1.8</v>
      </c>
      <c r="G67" s="274">
        <v>354</v>
      </c>
      <c r="H67" s="274">
        <v>1023.1</v>
      </c>
      <c r="I67" s="274">
        <v>0</v>
      </c>
      <c r="J67" s="274">
        <v>0</v>
      </c>
      <c r="K67" s="274">
        <v>0</v>
      </c>
      <c r="L67" s="274">
        <v>0</v>
      </c>
      <c r="M67" s="274">
        <v>65.3</v>
      </c>
      <c r="N67" s="396">
        <v>599.79999999999995</v>
      </c>
      <c r="O67" s="396">
        <v>13.4</v>
      </c>
      <c r="P67" s="396">
        <v>13.4</v>
      </c>
      <c r="Q67" s="397">
        <v>4.0277777777777801E-2</v>
      </c>
      <c r="R67" s="396"/>
      <c r="S67" s="400"/>
      <c r="T67" s="409"/>
      <c r="U67" s="398" t="str">
        <f t="shared" si="5"/>
        <v/>
      </c>
      <c r="V67" s="400"/>
      <c r="W67" s="410">
        <f t="shared" si="1"/>
        <v>13.4</v>
      </c>
      <c r="X67" s="472"/>
      <c r="Y67" s="273"/>
      <c r="AC67" s="273"/>
      <c r="AD67" s="273"/>
      <c r="AF67" s="273"/>
      <c r="AT67" s="232"/>
      <c r="AV67" s="198"/>
      <c r="AW67" s="274"/>
    </row>
    <row r="68" spans="2:49" x14ac:dyDescent="0.25">
      <c r="B68" s="274">
        <v>14.9</v>
      </c>
      <c r="C68" s="274">
        <v>85</v>
      </c>
      <c r="D68" s="274">
        <v>14.9</v>
      </c>
      <c r="E68" s="274">
        <v>1.1000000000000001</v>
      </c>
      <c r="F68" s="274">
        <v>1.8</v>
      </c>
      <c r="G68" s="274">
        <v>342</v>
      </c>
      <c r="H68" s="274">
        <v>1023.1</v>
      </c>
      <c r="I68" s="274">
        <v>0</v>
      </c>
      <c r="J68" s="274">
        <v>0</v>
      </c>
      <c r="K68" s="274">
        <v>0</v>
      </c>
      <c r="L68" s="274">
        <v>0</v>
      </c>
      <c r="M68" s="274">
        <v>65.3</v>
      </c>
      <c r="N68" s="396">
        <v>599.79999999999995</v>
      </c>
      <c r="O68" s="396">
        <v>13.4</v>
      </c>
      <c r="P68" s="396">
        <v>13.5</v>
      </c>
      <c r="Q68" s="397">
        <v>4.0972222222222202E-2</v>
      </c>
      <c r="R68" s="396"/>
      <c r="S68" s="400"/>
      <c r="T68" s="409"/>
      <c r="U68" s="398" t="str">
        <f t="shared" si="5"/>
        <v/>
      </c>
      <c r="V68" s="400"/>
      <c r="W68" s="410">
        <f t="shared" si="1"/>
        <v>13.5</v>
      </c>
      <c r="X68" s="472"/>
      <c r="Y68" s="273"/>
      <c r="AC68" s="273"/>
      <c r="AD68" s="273"/>
      <c r="AF68" s="273"/>
      <c r="AT68" s="232"/>
      <c r="AV68" s="198"/>
      <c r="AW68" s="274"/>
    </row>
    <row r="69" spans="2:49" x14ac:dyDescent="0.25">
      <c r="B69" s="274">
        <v>14.9</v>
      </c>
      <c r="C69" s="274">
        <v>85</v>
      </c>
      <c r="D69" s="274">
        <v>14.9</v>
      </c>
      <c r="E69" s="274">
        <v>1.1000000000000001</v>
      </c>
      <c r="F69" s="274">
        <v>1.8</v>
      </c>
      <c r="G69" s="274">
        <v>357</v>
      </c>
      <c r="H69" s="274">
        <v>1023.1</v>
      </c>
      <c r="I69" s="274">
        <v>0</v>
      </c>
      <c r="J69" s="274">
        <v>0</v>
      </c>
      <c r="K69" s="274">
        <v>0</v>
      </c>
      <c r="L69" s="274">
        <v>0</v>
      </c>
      <c r="M69" s="274">
        <v>65.3</v>
      </c>
      <c r="N69" s="396">
        <v>599.79999999999995</v>
      </c>
      <c r="O69" s="396">
        <v>13.5</v>
      </c>
      <c r="P69" s="396">
        <v>13.5</v>
      </c>
      <c r="Q69" s="397">
        <v>4.1666666666666699E-2</v>
      </c>
      <c r="R69" s="396"/>
      <c r="S69" s="400"/>
      <c r="T69" s="409"/>
      <c r="U69" s="398" t="str">
        <f t="shared" si="5"/>
        <v/>
      </c>
      <c r="V69" s="400"/>
      <c r="W69" s="410">
        <f t="shared" si="1"/>
        <v>13.5</v>
      </c>
      <c r="X69" s="472"/>
      <c r="Y69" s="273"/>
      <c r="AC69" s="273"/>
      <c r="AD69" s="273"/>
      <c r="AF69" s="273"/>
      <c r="AT69" s="232"/>
      <c r="AV69" s="198"/>
      <c r="AW69" s="274"/>
    </row>
    <row r="70" spans="2:49" x14ac:dyDescent="0.25">
      <c r="B70" s="274">
        <v>14.9</v>
      </c>
      <c r="C70" s="274">
        <v>85</v>
      </c>
      <c r="D70" s="274">
        <v>14.9</v>
      </c>
      <c r="E70" s="274">
        <v>0</v>
      </c>
      <c r="F70" s="274">
        <v>0</v>
      </c>
      <c r="G70" s="274">
        <v>357</v>
      </c>
      <c r="H70" s="274">
        <v>1023.3</v>
      </c>
      <c r="I70" s="274">
        <v>0</v>
      </c>
      <c r="J70" s="274">
        <v>0</v>
      </c>
      <c r="K70" s="274">
        <v>0</v>
      </c>
      <c r="L70" s="274">
        <v>0</v>
      </c>
      <c r="M70" s="274">
        <v>65.3</v>
      </c>
      <c r="N70" s="396">
        <v>599.79999999999995</v>
      </c>
      <c r="O70" s="396">
        <v>13.5</v>
      </c>
      <c r="P70" s="396">
        <v>13.5</v>
      </c>
      <c r="Q70" s="397">
        <v>4.2361111111111099E-2</v>
      </c>
      <c r="R70" s="396"/>
      <c r="S70" s="400"/>
      <c r="T70" s="409"/>
      <c r="U70" s="398" t="str">
        <f t="shared" si="5"/>
        <v/>
      </c>
      <c r="V70" s="400"/>
      <c r="W70" s="410">
        <f t="shared" si="1"/>
        <v>13.5</v>
      </c>
      <c r="X70" s="472"/>
      <c r="AT70" s="232"/>
      <c r="AV70" s="198"/>
      <c r="AW70" s="274"/>
    </row>
    <row r="71" spans="2:49" x14ac:dyDescent="0.25">
      <c r="B71" s="274">
        <v>14.9</v>
      </c>
      <c r="C71" s="274">
        <v>85</v>
      </c>
      <c r="D71" s="274">
        <v>14.9</v>
      </c>
      <c r="E71" s="274">
        <v>2.2000000000000002</v>
      </c>
      <c r="F71" s="274">
        <v>3.6</v>
      </c>
      <c r="G71" s="274">
        <v>326</v>
      </c>
      <c r="H71" s="274">
        <v>1023.1</v>
      </c>
      <c r="I71" s="274">
        <v>0</v>
      </c>
      <c r="J71" s="274">
        <v>0</v>
      </c>
      <c r="K71" s="274">
        <v>0</v>
      </c>
      <c r="L71" s="274">
        <v>0</v>
      </c>
      <c r="M71" s="274">
        <v>65.3</v>
      </c>
      <c r="N71" s="396">
        <v>599.79999999999995</v>
      </c>
      <c r="O71" s="396">
        <v>13.5</v>
      </c>
      <c r="P71" s="396">
        <v>13.5</v>
      </c>
      <c r="Q71" s="397">
        <v>4.3055555555555597E-2</v>
      </c>
      <c r="R71" s="396"/>
      <c r="S71" s="400"/>
      <c r="T71" s="409"/>
      <c r="U71" s="398" t="str">
        <f t="shared" si="5"/>
        <v/>
      </c>
      <c r="V71" s="400"/>
      <c r="W71" s="410">
        <f t="shared" si="1"/>
        <v>13.5</v>
      </c>
      <c r="X71" s="472"/>
      <c r="Y71" s="273"/>
      <c r="AC71" s="273"/>
      <c r="AD71" s="273"/>
      <c r="AF71" s="273"/>
      <c r="AT71" s="232"/>
      <c r="AV71" s="198"/>
      <c r="AW71" s="274"/>
    </row>
    <row r="72" spans="2:49" x14ac:dyDescent="0.25">
      <c r="B72" s="274">
        <v>14.9</v>
      </c>
      <c r="C72" s="274">
        <v>85</v>
      </c>
      <c r="D72" s="274">
        <v>14.9</v>
      </c>
      <c r="E72" s="274">
        <v>0.4</v>
      </c>
      <c r="F72" s="274">
        <v>1.8</v>
      </c>
      <c r="G72" s="274">
        <v>330</v>
      </c>
      <c r="H72" s="274">
        <v>1023</v>
      </c>
      <c r="I72" s="274">
        <v>0</v>
      </c>
      <c r="J72" s="274">
        <v>0</v>
      </c>
      <c r="K72" s="274">
        <v>0</v>
      </c>
      <c r="L72" s="274">
        <v>0</v>
      </c>
      <c r="M72" s="274">
        <v>65.3</v>
      </c>
      <c r="N72" s="396">
        <v>599.79999999999995</v>
      </c>
      <c r="O72" s="396">
        <v>13.5</v>
      </c>
      <c r="P72" s="396">
        <v>13.5</v>
      </c>
      <c r="Q72" s="397">
        <v>4.3749999999999997E-2</v>
      </c>
      <c r="R72" s="396"/>
      <c r="S72" s="400"/>
      <c r="T72" s="409"/>
      <c r="U72" s="398" t="str">
        <f t="shared" si="5"/>
        <v/>
      </c>
      <c r="V72" s="400"/>
      <c r="W72" s="410">
        <f t="shared" si="1"/>
        <v>13.5</v>
      </c>
      <c r="X72" s="472"/>
      <c r="Y72" s="273"/>
      <c r="AC72" s="273"/>
      <c r="AD72" s="273"/>
      <c r="AF72" s="273"/>
      <c r="AT72" s="232"/>
      <c r="AV72" s="198"/>
      <c r="AW72" s="274"/>
    </row>
    <row r="73" spans="2:49" x14ac:dyDescent="0.25">
      <c r="B73" s="274">
        <v>14.9</v>
      </c>
      <c r="C73" s="274">
        <v>85</v>
      </c>
      <c r="D73" s="274">
        <v>14.9</v>
      </c>
      <c r="E73" s="274">
        <v>3.2</v>
      </c>
      <c r="F73" s="274">
        <v>3.6</v>
      </c>
      <c r="G73" s="274">
        <v>287</v>
      </c>
      <c r="H73" s="274">
        <v>1023</v>
      </c>
      <c r="I73" s="274">
        <v>0</v>
      </c>
      <c r="J73" s="274">
        <v>0</v>
      </c>
      <c r="K73" s="274">
        <v>0</v>
      </c>
      <c r="L73" s="274">
        <v>0</v>
      </c>
      <c r="M73" s="274">
        <v>65.3</v>
      </c>
      <c r="N73" s="396">
        <v>599.79999999999995</v>
      </c>
      <c r="O73" s="396">
        <v>13.5</v>
      </c>
      <c r="P73" s="396">
        <v>13.5</v>
      </c>
      <c r="Q73" s="397">
        <v>4.4444444444444398E-2</v>
      </c>
      <c r="R73" s="396"/>
      <c r="S73" s="400"/>
      <c r="T73" s="409"/>
      <c r="U73" s="398" t="str">
        <f t="shared" si="5"/>
        <v/>
      </c>
      <c r="V73" s="400"/>
      <c r="W73" s="410">
        <f t="shared" ref="W73:W136" si="6">MAX(O73:P73)</f>
        <v>13.5</v>
      </c>
      <c r="X73" s="472"/>
      <c r="Y73" s="273"/>
      <c r="AC73" s="273"/>
      <c r="AD73" s="273"/>
      <c r="AF73" s="273"/>
      <c r="AT73" s="232"/>
      <c r="AV73" s="198"/>
      <c r="AW73" s="274"/>
    </row>
    <row r="74" spans="2:49" x14ac:dyDescent="0.25">
      <c r="B74" s="274">
        <v>14.9</v>
      </c>
      <c r="C74" s="274">
        <v>85</v>
      </c>
      <c r="D74" s="274">
        <v>14.9</v>
      </c>
      <c r="E74" s="274">
        <v>1.4</v>
      </c>
      <c r="F74" s="274">
        <v>1.8</v>
      </c>
      <c r="G74" s="274">
        <v>334</v>
      </c>
      <c r="H74" s="274">
        <v>1023.2</v>
      </c>
      <c r="I74" s="274">
        <v>0</v>
      </c>
      <c r="J74" s="274">
        <v>0</v>
      </c>
      <c r="K74" s="274">
        <v>0</v>
      </c>
      <c r="L74" s="274">
        <v>0</v>
      </c>
      <c r="M74" s="274">
        <v>65.3</v>
      </c>
      <c r="N74" s="396">
        <v>599.79999999999995</v>
      </c>
      <c r="O74" s="396">
        <v>13.5</v>
      </c>
      <c r="P74" s="396">
        <v>13.5</v>
      </c>
      <c r="Q74" s="397">
        <v>4.5138888888888902E-2</v>
      </c>
      <c r="R74" s="396"/>
      <c r="S74" s="400"/>
      <c r="T74" s="409"/>
      <c r="U74" s="398" t="str">
        <f t="shared" si="5"/>
        <v/>
      </c>
      <c r="V74" s="400"/>
      <c r="W74" s="410">
        <f t="shared" si="6"/>
        <v>13.5</v>
      </c>
      <c r="X74" s="472"/>
      <c r="Y74" s="273"/>
      <c r="AC74" s="273"/>
      <c r="AD74" s="273"/>
      <c r="AF74" s="273"/>
      <c r="AT74" s="232"/>
      <c r="AV74" s="198"/>
      <c r="AW74" s="274"/>
    </row>
    <row r="75" spans="2:49" x14ac:dyDescent="0.25">
      <c r="B75" s="274">
        <v>14.9</v>
      </c>
      <c r="C75" s="274">
        <v>85</v>
      </c>
      <c r="D75" s="274">
        <v>14.9</v>
      </c>
      <c r="E75" s="274">
        <v>0</v>
      </c>
      <c r="F75" s="274">
        <v>0</v>
      </c>
      <c r="G75" s="274">
        <v>334</v>
      </c>
      <c r="H75" s="274">
        <v>1023.1</v>
      </c>
      <c r="I75" s="274">
        <v>0</v>
      </c>
      <c r="J75" s="274">
        <v>0</v>
      </c>
      <c r="K75" s="274">
        <v>0</v>
      </c>
      <c r="L75" s="274">
        <v>0</v>
      </c>
      <c r="M75" s="274">
        <v>65.3</v>
      </c>
      <c r="N75" s="396">
        <v>599.79999999999995</v>
      </c>
      <c r="O75" s="396">
        <v>13.5</v>
      </c>
      <c r="P75" s="396">
        <v>13.5</v>
      </c>
      <c r="Q75" s="397">
        <v>4.5833333333333302E-2</v>
      </c>
      <c r="R75" s="396"/>
      <c r="S75" s="400"/>
      <c r="T75" s="409"/>
      <c r="U75" s="398" t="str">
        <f t="shared" ref="U75:U138" si="7">IF(J75&gt;0,60,"")</f>
        <v/>
      </c>
      <c r="V75" s="400"/>
      <c r="W75" s="410">
        <f t="shared" si="6"/>
        <v>13.5</v>
      </c>
      <c r="X75" s="472"/>
      <c r="AT75" s="232"/>
      <c r="AV75" s="198"/>
      <c r="AW75" s="274"/>
    </row>
    <row r="76" spans="2:49" x14ac:dyDescent="0.25">
      <c r="B76" s="274">
        <v>14.9</v>
      </c>
      <c r="C76" s="274">
        <v>85</v>
      </c>
      <c r="D76" s="274">
        <v>14.9</v>
      </c>
      <c r="E76" s="274">
        <v>1.1000000000000001</v>
      </c>
      <c r="F76" s="274">
        <v>1.8</v>
      </c>
      <c r="G76" s="274">
        <v>334</v>
      </c>
      <c r="H76" s="274">
        <v>1023.2</v>
      </c>
      <c r="I76" s="274">
        <v>0</v>
      </c>
      <c r="J76" s="274">
        <v>0</v>
      </c>
      <c r="K76" s="274">
        <v>0</v>
      </c>
      <c r="L76" s="274">
        <v>0</v>
      </c>
      <c r="M76" s="274">
        <v>65.3</v>
      </c>
      <c r="N76" s="396">
        <v>599.79999999999995</v>
      </c>
      <c r="O76" s="396">
        <v>13.4</v>
      </c>
      <c r="P76" s="396">
        <v>13.5</v>
      </c>
      <c r="Q76" s="397">
        <v>4.65277777777778E-2</v>
      </c>
      <c r="R76" s="396"/>
      <c r="S76" s="400"/>
      <c r="T76" s="409"/>
      <c r="U76" s="398" t="str">
        <f t="shared" si="7"/>
        <v/>
      </c>
      <c r="V76" s="400"/>
      <c r="W76" s="410">
        <f t="shared" si="6"/>
        <v>13.5</v>
      </c>
      <c r="X76" s="472"/>
      <c r="Y76" s="273"/>
      <c r="AC76" s="273"/>
      <c r="AD76" s="273"/>
      <c r="AF76" s="273"/>
      <c r="AT76" s="232"/>
      <c r="AV76" s="198"/>
      <c r="AW76" s="274"/>
    </row>
    <row r="77" spans="2:49" x14ac:dyDescent="0.25">
      <c r="B77" s="274">
        <v>14.8</v>
      </c>
      <c r="C77" s="274">
        <v>85</v>
      </c>
      <c r="D77" s="274">
        <v>14.8</v>
      </c>
      <c r="E77" s="274">
        <v>5</v>
      </c>
      <c r="F77" s="274">
        <v>5.4</v>
      </c>
      <c r="G77" s="274">
        <v>330</v>
      </c>
      <c r="H77" s="274">
        <v>1023.1</v>
      </c>
      <c r="I77" s="274">
        <v>0</v>
      </c>
      <c r="J77" s="274">
        <v>0</v>
      </c>
      <c r="K77" s="274">
        <v>0</v>
      </c>
      <c r="L77" s="274">
        <v>0</v>
      </c>
      <c r="M77" s="274">
        <v>65.3</v>
      </c>
      <c r="N77" s="396">
        <v>599.79999999999995</v>
      </c>
      <c r="O77" s="396">
        <v>13.4</v>
      </c>
      <c r="P77" s="396">
        <v>13.5</v>
      </c>
      <c r="Q77" s="397">
        <v>4.72222222222222E-2</v>
      </c>
      <c r="R77" s="396"/>
      <c r="S77" s="400"/>
      <c r="T77" s="409"/>
      <c r="U77" s="398" t="str">
        <f t="shared" si="7"/>
        <v/>
      </c>
      <c r="V77" s="400"/>
      <c r="W77" s="410">
        <f t="shared" si="6"/>
        <v>13.5</v>
      </c>
      <c r="X77" s="472"/>
      <c r="Y77" s="273"/>
      <c r="AC77" s="273"/>
      <c r="AD77" s="273"/>
      <c r="AF77" s="273"/>
      <c r="AT77" s="232"/>
      <c r="AV77" s="198"/>
      <c r="AW77" s="274"/>
    </row>
    <row r="78" spans="2:49" x14ac:dyDescent="0.25">
      <c r="B78" s="274">
        <v>14.8</v>
      </c>
      <c r="C78" s="274">
        <v>85</v>
      </c>
      <c r="D78" s="274">
        <v>14.8</v>
      </c>
      <c r="E78" s="274">
        <v>1.4</v>
      </c>
      <c r="F78" s="274">
        <v>3.6</v>
      </c>
      <c r="G78" s="274">
        <v>344</v>
      </c>
      <c r="H78" s="274">
        <v>1023.1</v>
      </c>
      <c r="I78" s="274">
        <v>0</v>
      </c>
      <c r="J78" s="274">
        <v>0</v>
      </c>
      <c r="K78" s="274">
        <v>0</v>
      </c>
      <c r="L78" s="274">
        <v>0</v>
      </c>
      <c r="M78" s="274">
        <v>65.3</v>
      </c>
      <c r="N78" s="396">
        <v>599.79999999999995</v>
      </c>
      <c r="O78" s="396">
        <v>13.4</v>
      </c>
      <c r="P78" s="396">
        <v>13.4</v>
      </c>
      <c r="Q78" s="397">
        <v>4.7916666666666698E-2</v>
      </c>
      <c r="R78" s="396"/>
      <c r="S78" s="400"/>
      <c r="T78" s="409"/>
      <c r="U78" s="398" t="str">
        <f t="shared" si="7"/>
        <v/>
      </c>
      <c r="V78" s="400"/>
      <c r="W78" s="410">
        <f t="shared" si="6"/>
        <v>13.4</v>
      </c>
      <c r="X78" s="472"/>
      <c r="Y78" s="273"/>
      <c r="AC78" s="273"/>
      <c r="AD78" s="273"/>
      <c r="AF78" s="273"/>
      <c r="AT78" s="232"/>
      <c r="AV78" s="198"/>
      <c r="AW78" s="274"/>
    </row>
    <row r="79" spans="2:49" x14ac:dyDescent="0.25">
      <c r="B79" s="274">
        <v>14.8</v>
      </c>
      <c r="C79" s="274">
        <v>85</v>
      </c>
      <c r="D79" s="274">
        <v>14.8</v>
      </c>
      <c r="E79" s="274">
        <v>0</v>
      </c>
      <c r="F79" s="274">
        <v>0</v>
      </c>
      <c r="G79" s="274">
        <v>3</v>
      </c>
      <c r="H79" s="274">
        <v>1023.1</v>
      </c>
      <c r="I79" s="274">
        <v>0</v>
      </c>
      <c r="J79" s="274">
        <v>0</v>
      </c>
      <c r="K79" s="274">
        <v>0</v>
      </c>
      <c r="L79" s="274">
        <v>0</v>
      </c>
      <c r="M79" s="274">
        <v>65.3</v>
      </c>
      <c r="N79" s="396">
        <v>599.79999999999995</v>
      </c>
      <c r="O79" s="396">
        <v>13.4</v>
      </c>
      <c r="P79" s="396">
        <v>13.4</v>
      </c>
      <c r="Q79" s="397">
        <v>4.8611111111111098E-2</v>
      </c>
      <c r="R79" s="396"/>
      <c r="S79" s="400"/>
      <c r="T79" s="409"/>
      <c r="U79" s="398" t="str">
        <f t="shared" si="7"/>
        <v/>
      </c>
      <c r="V79" s="400"/>
      <c r="W79" s="410">
        <f t="shared" si="6"/>
        <v>13.4</v>
      </c>
      <c r="X79" s="472"/>
      <c r="AT79" s="232"/>
      <c r="AV79" s="198"/>
      <c r="AW79" s="274"/>
    </row>
    <row r="80" spans="2:49" x14ac:dyDescent="0.25">
      <c r="B80" s="274">
        <v>14.8</v>
      </c>
      <c r="C80" s="274">
        <v>85</v>
      </c>
      <c r="D80" s="274">
        <v>14.8</v>
      </c>
      <c r="E80" s="274">
        <v>1.1000000000000001</v>
      </c>
      <c r="F80" s="274">
        <v>1.8</v>
      </c>
      <c r="G80" s="274">
        <v>3</v>
      </c>
      <c r="H80" s="274">
        <v>1023.1</v>
      </c>
      <c r="I80" s="274">
        <v>0</v>
      </c>
      <c r="J80" s="274">
        <v>0</v>
      </c>
      <c r="K80" s="274">
        <v>0</v>
      </c>
      <c r="L80" s="274">
        <v>0</v>
      </c>
      <c r="M80" s="274">
        <v>65.3</v>
      </c>
      <c r="N80" s="396">
        <v>599.79999999999995</v>
      </c>
      <c r="O80" s="396">
        <v>13.4</v>
      </c>
      <c r="P80" s="396">
        <v>13.4</v>
      </c>
      <c r="Q80" s="397">
        <v>4.9305555555555602E-2</v>
      </c>
      <c r="R80" s="396"/>
      <c r="S80" s="400"/>
      <c r="T80" s="409"/>
      <c r="U80" s="398" t="str">
        <f t="shared" si="7"/>
        <v/>
      </c>
      <c r="V80" s="400"/>
      <c r="W80" s="410">
        <f t="shared" si="6"/>
        <v>13.4</v>
      </c>
      <c r="X80" s="472"/>
      <c r="Y80" s="273"/>
      <c r="AC80" s="273"/>
      <c r="AD80" s="273"/>
      <c r="AF80" s="273"/>
      <c r="AT80" s="232"/>
      <c r="AV80" s="198"/>
      <c r="AW80" s="274"/>
    </row>
    <row r="81" spans="2:49" x14ac:dyDescent="0.25">
      <c r="B81" s="274">
        <v>14.8</v>
      </c>
      <c r="C81" s="274">
        <v>85</v>
      </c>
      <c r="D81" s="274">
        <v>14.8</v>
      </c>
      <c r="E81" s="274">
        <v>1.8</v>
      </c>
      <c r="F81" s="274">
        <v>1.8</v>
      </c>
      <c r="G81" s="274">
        <v>3</v>
      </c>
      <c r="H81" s="274">
        <v>1023</v>
      </c>
      <c r="I81" s="274">
        <v>0</v>
      </c>
      <c r="J81" s="274">
        <v>0</v>
      </c>
      <c r="K81" s="274">
        <v>0</v>
      </c>
      <c r="L81" s="274">
        <v>0</v>
      </c>
      <c r="M81" s="274">
        <v>65.3</v>
      </c>
      <c r="N81" s="396">
        <v>599.79999999999995</v>
      </c>
      <c r="O81" s="396">
        <v>13.4</v>
      </c>
      <c r="P81" s="396">
        <v>13.4</v>
      </c>
      <c r="Q81" s="397">
        <v>0.05</v>
      </c>
      <c r="R81" s="396"/>
      <c r="S81" s="400"/>
      <c r="T81" s="409"/>
      <c r="U81" s="398" t="str">
        <f t="shared" si="7"/>
        <v/>
      </c>
      <c r="V81" s="400"/>
      <c r="W81" s="410">
        <f t="shared" si="6"/>
        <v>13.4</v>
      </c>
      <c r="X81" s="472"/>
      <c r="Y81" s="273"/>
      <c r="AC81" s="273"/>
      <c r="AD81" s="273"/>
      <c r="AF81" s="273"/>
      <c r="AT81" s="232"/>
      <c r="AV81" s="198"/>
      <c r="AW81" s="274"/>
    </row>
    <row r="82" spans="2:49" x14ac:dyDescent="0.25">
      <c r="B82" s="274">
        <v>14.8</v>
      </c>
      <c r="C82" s="274">
        <v>85</v>
      </c>
      <c r="D82" s="274">
        <v>14.8</v>
      </c>
      <c r="E82" s="274">
        <v>1.1000000000000001</v>
      </c>
      <c r="F82" s="274">
        <v>3.6</v>
      </c>
      <c r="G82" s="274">
        <v>359</v>
      </c>
      <c r="H82" s="274">
        <v>1023.1</v>
      </c>
      <c r="I82" s="274">
        <v>0</v>
      </c>
      <c r="J82" s="274">
        <v>0</v>
      </c>
      <c r="K82" s="274">
        <v>0</v>
      </c>
      <c r="L82" s="274">
        <v>0</v>
      </c>
      <c r="M82" s="274">
        <v>65.3</v>
      </c>
      <c r="N82" s="396">
        <v>599.79999999999995</v>
      </c>
      <c r="O82" s="396">
        <v>13.4</v>
      </c>
      <c r="P82" s="396">
        <v>13.4</v>
      </c>
      <c r="Q82" s="397">
        <v>5.0694444444444403E-2</v>
      </c>
      <c r="R82" s="396"/>
      <c r="S82" s="400"/>
      <c r="T82" s="409"/>
      <c r="U82" s="398" t="str">
        <f t="shared" si="7"/>
        <v/>
      </c>
      <c r="V82" s="400"/>
      <c r="W82" s="410">
        <f t="shared" si="6"/>
        <v>13.4</v>
      </c>
      <c r="X82" s="472"/>
      <c r="Y82" s="273"/>
      <c r="AC82" s="273"/>
      <c r="AD82" s="273"/>
      <c r="AF82" s="273"/>
      <c r="AT82" s="232"/>
      <c r="AV82" s="198"/>
      <c r="AW82" s="274"/>
    </row>
    <row r="83" spans="2:49" x14ac:dyDescent="0.25">
      <c r="B83" s="274">
        <v>14.7</v>
      </c>
      <c r="C83" s="274">
        <v>85</v>
      </c>
      <c r="D83" s="274">
        <v>14.7</v>
      </c>
      <c r="E83" s="274">
        <v>0.7</v>
      </c>
      <c r="F83" s="274">
        <v>1.8</v>
      </c>
      <c r="G83" s="274">
        <v>356</v>
      </c>
      <c r="H83" s="274">
        <v>1023.3</v>
      </c>
      <c r="I83" s="274">
        <v>0</v>
      </c>
      <c r="J83" s="274">
        <v>0</v>
      </c>
      <c r="K83" s="274">
        <v>0</v>
      </c>
      <c r="L83" s="274">
        <v>0</v>
      </c>
      <c r="M83" s="274">
        <v>65.3</v>
      </c>
      <c r="N83" s="396">
        <v>599.79999999999995</v>
      </c>
      <c r="O83" s="396">
        <v>13.3</v>
      </c>
      <c r="P83" s="396">
        <v>13.3</v>
      </c>
      <c r="Q83" s="397">
        <v>5.1388888888888901E-2</v>
      </c>
      <c r="R83" s="396"/>
      <c r="S83" s="400"/>
      <c r="T83" s="409"/>
      <c r="U83" s="398" t="str">
        <f t="shared" si="7"/>
        <v/>
      </c>
      <c r="V83" s="400"/>
      <c r="W83" s="410">
        <f t="shared" si="6"/>
        <v>13.3</v>
      </c>
      <c r="X83" s="472"/>
      <c r="Y83" s="273"/>
      <c r="AC83" s="273"/>
      <c r="AD83" s="273"/>
      <c r="AF83" s="273"/>
      <c r="AT83" s="232"/>
      <c r="AV83" s="198"/>
      <c r="AW83" s="274"/>
    </row>
    <row r="84" spans="2:49" x14ac:dyDescent="0.25">
      <c r="B84" s="274">
        <v>14.7</v>
      </c>
      <c r="C84" s="274">
        <v>86</v>
      </c>
      <c r="D84" s="274">
        <v>14.7</v>
      </c>
      <c r="E84" s="274">
        <v>1.8</v>
      </c>
      <c r="F84" s="274">
        <v>1.8</v>
      </c>
      <c r="G84" s="274">
        <v>356</v>
      </c>
      <c r="H84" s="274">
        <v>1023.2</v>
      </c>
      <c r="I84" s="274">
        <v>0</v>
      </c>
      <c r="J84" s="274">
        <v>0</v>
      </c>
      <c r="K84" s="274">
        <v>0</v>
      </c>
      <c r="L84" s="274">
        <v>0</v>
      </c>
      <c r="M84" s="274">
        <v>65.3</v>
      </c>
      <c r="N84" s="396">
        <v>599.79999999999995</v>
      </c>
      <c r="O84" s="396">
        <v>13.3</v>
      </c>
      <c r="P84" s="396">
        <v>13.3</v>
      </c>
      <c r="Q84" s="397">
        <v>5.2083333333333301E-2</v>
      </c>
      <c r="R84" s="396"/>
      <c r="S84" s="400"/>
      <c r="T84" s="409"/>
      <c r="U84" s="398" t="str">
        <f t="shared" si="7"/>
        <v/>
      </c>
      <c r="V84" s="400"/>
      <c r="W84" s="410">
        <f t="shared" si="6"/>
        <v>13.3</v>
      </c>
      <c r="X84" s="472"/>
      <c r="AT84" s="232"/>
      <c r="AV84" s="198"/>
      <c r="AW84" s="274"/>
    </row>
    <row r="85" spans="2:49" x14ac:dyDescent="0.25">
      <c r="B85" s="274">
        <v>14.7</v>
      </c>
      <c r="C85" s="274">
        <v>86</v>
      </c>
      <c r="D85" s="274">
        <v>14.7</v>
      </c>
      <c r="E85" s="274">
        <v>1.4</v>
      </c>
      <c r="F85" s="274">
        <v>5.4</v>
      </c>
      <c r="G85" s="274">
        <v>329</v>
      </c>
      <c r="H85" s="274">
        <v>1023</v>
      </c>
      <c r="I85" s="274">
        <v>0</v>
      </c>
      <c r="J85" s="274">
        <v>0</v>
      </c>
      <c r="K85" s="274">
        <v>0</v>
      </c>
      <c r="L85" s="274">
        <v>0</v>
      </c>
      <c r="M85" s="274">
        <v>65.3</v>
      </c>
      <c r="N85" s="396">
        <v>599.79999999999995</v>
      </c>
      <c r="O85" s="396">
        <v>13.3</v>
      </c>
      <c r="P85" s="396">
        <v>13.3</v>
      </c>
      <c r="Q85" s="397">
        <v>5.2777777777777798E-2</v>
      </c>
      <c r="R85" s="396"/>
      <c r="S85" s="400"/>
      <c r="T85" s="409"/>
      <c r="U85" s="398" t="str">
        <f t="shared" si="7"/>
        <v/>
      </c>
      <c r="V85" s="400"/>
      <c r="W85" s="410">
        <f t="shared" si="6"/>
        <v>13.3</v>
      </c>
      <c r="X85" s="472"/>
      <c r="Y85" s="273"/>
      <c r="AC85" s="273"/>
      <c r="AD85" s="273"/>
      <c r="AF85" s="273"/>
      <c r="AT85" s="232"/>
      <c r="AV85" s="198"/>
      <c r="AW85" s="274"/>
    </row>
    <row r="86" spans="2:49" x14ac:dyDescent="0.25">
      <c r="B86" s="274">
        <v>14.6</v>
      </c>
      <c r="C86" s="274">
        <v>86</v>
      </c>
      <c r="D86" s="274">
        <v>14.6</v>
      </c>
      <c r="E86" s="274">
        <v>1.1000000000000001</v>
      </c>
      <c r="F86" s="274">
        <v>1.8</v>
      </c>
      <c r="G86" s="274">
        <v>1</v>
      </c>
      <c r="H86" s="274">
        <v>1023.1</v>
      </c>
      <c r="I86" s="274">
        <v>0</v>
      </c>
      <c r="J86" s="274">
        <v>0</v>
      </c>
      <c r="K86" s="274">
        <v>0</v>
      </c>
      <c r="L86" s="274">
        <v>0</v>
      </c>
      <c r="M86" s="274">
        <v>65.3</v>
      </c>
      <c r="N86" s="396">
        <v>599.79999999999995</v>
      </c>
      <c r="O86" s="396">
        <v>13.3</v>
      </c>
      <c r="P86" s="396">
        <v>13.3</v>
      </c>
      <c r="Q86" s="397">
        <v>5.3472222222222199E-2</v>
      </c>
      <c r="R86" s="396"/>
      <c r="S86" s="400"/>
      <c r="T86" s="409"/>
      <c r="U86" s="398" t="str">
        <f t="shared" si="7"/>
        <v/>
      </c>
      <c r="V86" s="400"/>
      <c r="W86" s="410">
        <f t="shared" si="6"/>
        <v>13.3</v>
      </c>
      <c r="X86" s="472"/>
      <c r="Y86" s="273"/>
      <c r="AC86" s="273"/>
      <c r="AD86" s="273"/>
      <c r="AF86" s="273"/>
      <c r="AT86" s="232"/>
      <c r="AV86" s="198"/>
      <c r="AW86" s="274"/>
    </row>
    <row r="87" spans="2:49" x14ac:dyDescent="0.25">
      <c r="B87" s="274">
        <v>14.6</v>
      </c>
      <c r="C87" s="274">
        <v>86</v>
      </c>
      <c r="D87" s="274">
        <v>14.6</v>
      </c>
      <c r="E87" s="274">
        <v>1.1000000000000001</v>
      </c>
      <c r="F87" s="274">
        <v>1.8</v>
      </c>
      <c r="G87" s="274">
        <v>1</v>
      </c>
      <c r="H87" s="274">
        <v>1023.1</v>
      </c>
      <c r="I87" s="274">
        <v>0</v>
      </c>
      <c r="J87" s="274">
        <v>0</v>
      </c>
      <c r="K87" s="274">
        <v>0</v>
      </c>
      <c r="L87" s="274">
        <v>0</v>
      </c>
      <c r="M87" s="274">
        <v>65.3</v>
      </c>
      <c r="N87" s="396">
        <v>599.79999999999995</v>
      </c>
      <c r="O87" s="396">
        <v>13.2</v>
      </c>
      <c r="P87" s="396">
        <v>13.3</v>
      </c>
      <c r="Q87" s="397">
        <v>5.4166666666666703E-2</v>
      </c>
      <c r="R87" s="396"/>
      <c r="S87" s="400"/>
      <c r="T87" s="409"/>
      <c r="U87" s="398" t="str">
        <f t="shared" si="7"/>
        <v/>
      </c>
      <c r="V87" s="400"/>
      <c r="W87" s="410">
        <f t="shared" si="6"/>
        <v>13.3</v>
      </c>
      <c r="X87" s="472"/>
      <c r="Y87" s="273"/>
      <c r="AC87" s="273"/>
      <c r="AD87" s="273"/>
      <c r="AF87" s="273"/>
      <c r="AT87" s="232"/>
      <c r="AV87" s="198"/>
      <c r="AW87" s="274"/>
    </row>
    <row r="88" spans="2:49" x14ac:dyDescent="0.25">
      <c r="B88" s="274">
        <v>14.6</v>
      </c>
      <c r="C88" s="274">
        <v>86</v>
      </c>
      <c r="D88" s="274">
        <v>14.6</v>
      </c>
      <c r="E88" s="274">
        <v>0.7</v>
      </c>
      <c r="F88" s="274">
        <v>1.8</v>
      </c>
      <c r="G88" s="274">
        <v>9</v>
      </c>
      <c r="H88" s="274">
        <v>1023.2</v>
      </c>
      <c r="I88" s="274">
        <v>0</v>
      </c>
      <c r="J88" s="274">
        <v>0</v>
      </c>
      <c r="K88" s="274">
        <v>0</v>
      </c>
      <c r="L88" s="274">
        <v>0</v>
      </c>
      <c r="M88" s="274">
        <v>65.3</v>
      </c>
      <c r="N88" s="396">
        <v>599.79999999999995</v>
      </c>
      <c r="O88" s="396">
        <v>13.2</v>
      </c>
      <c r="P88" s="396">
        <v>13.3</v>
      </c>
      <c r="Q88" s="397">
        <v>5.4861111111111097E-2</v>
      </c>
      <c r="R88" s="396"/>
      <c r="S88" s="400"/>
      <c r="T88" s="409"/>
      <c r="U88" s="398" t="str">
        <f t="shared" si="7"/>
        <v/>
      </c>
      <c r="V88" s="400"/>
      <c r="W88" s="410">
        <f t="shared" si="6"/>
        <v>13.3</v>
      </c>
      <c r="X88" s="472"/>
      <c r="AT88" s="232"/>
      <c r="AV88" s="198"/>
      <c r="AW88" s="274"/>
    </row>
    <row r="89" spans="2:49" x14ac:dyDescent="0.25">
      <c r="B89" s="274">
        <v>14.6</v>
      </c>
      <c r="C89" s="274">
        <v>86</v>
      </c>
      <c r="D89" s="274">
        <v>14.6</v>
      </c>
      <c r="E89" s="274">
        <v>0</v>
      </c>
      <c r="F89" s="274">
        <v>0</v>
      </c>
      <c r="G89" s="274">
        <v>9</v>
      </c>
      <c r="H89" s="274">
        <v>1023.2</v>
      </c>
      <c r="I89" s="274">
        <v>0</v>
      </c>
      <c r="J89" s="274">
        <v>0</v>
      </c>
      <c r="K89" s="274">
        <v>0</v>
      </c>
      <c r="L89" s="274">
        <v>0</v>
      </c>
      <c r="M89" s="274">
        <v>65.3</v>
      </c>
      <c r="N89" s="396">
        <v>599.79999999999995</v>
      </c>
      <c r="O89" s="396">
        <v>13.2</v>
      </c>
      <c r="P89" s="396">
        <v>13.2</v>
      </c>
      <c r="Q89" s="397">
        <v>5.5555555555555601E-2</v>
      </c>
      <c r="R89" s="396"/>
      <c r="S89" s="400"/>
      <c r="T89" s="409"/>
      <c r="U89" s="398" t="str">
        <f t="shared" si="7"/>
        <v/>
      </c>
      <c r="V89" s="400"/>
      <c r="W89" s="410">
        <f t="shared" si="6"/>
        <v>13.2</v>
      </c>
      <c r="X89" s="472"/>
      <c r="Y89" s="273"/>
      <c r="AT89" s="232"/>
      <c r="AV89" s="198"/>
      <c r="AW89" s="274"/>
    </row>
    <row r="90" spans="2:49" x14ac:dyDescent="0.25">
      <c r="B90" s="274">
        <v>14.5</v>
      </c>
      <c r="C90" s="274">
        <v>86</v>
      </c>
      <c r="D90" s="274">
        <v>14.5</v>
      </c>
      <c r="E90" s="274">
        <v>0.7</v>
      </c>
      <c r="F90" s="274">
        <v>1.8</v>
      </c>
      <c r="G90" s="274">
        <v>9</v>
      </c>
      <c r="H90" s="274">
        <v>1023.2</v>
      </c>
      <c r="I90" s="274">
        <v>0</v>
      </c>
      <c r="J90" s="274">
        <v>0</v>
      </c>
      <c r="K90" s="274">
        <v>0</v>
      </c>
      <c r="L90" s="274">
        <v>0</v>
      </c>
      <c r="M90" s="274">
        <v>65.3</v>
      </c>
      <c r="N90" s="396">
        <v>599.79999999999995</v>
      </c>
      <c r="O90" s="396">
        <v>13.2</v>
      </c>
      <c r="P90" s="396">
        <v>13.2</v>
      </c>
      <c r="Q90" s="397">
        <v>5.6250000000000001E-2</v>
      </c>
      <c r="R90" s="396"/>
      <c r="S90" s="400"/>
      <c r="T90" s="409"/>
      <c r="U90" s="398" t="str">
        <f t="shared" si="7"/>
        <v/>
      </c>
      <c r="V90" s="400"/>
      <c r="W90" s="410">
        <f t="shared" si="6"/>
        <v>13.2</v>
      </c>
      <c r="X90" s="472"/>
      <c r="Y90" s="273"/>
      <c r="AT90" s="232"/>
      <c r="AV90" s="198"/>
      <c r="AW90" s="274"/>
    </row>
    <row r="91" spans="2:49" x14ac:dyDescent="0.25">
      <c r="B91" s="274">
        <v>14.5</v>
      </c>
      <c r="C91" s="274">
        <v>86</v>
      </c>
      <c r="D91" s="274">
        <v>14.5</v>
      </c>
      <c r="E91" s="274">
        <v>1.4</v>
      </c>
      <c r="F91" s="274">
        <v>1.8</v>
      </c>
      <c r="G91" s="274">
        <v>9</v>
      </c>
      <c r="H91" s="274">
        <v>1023.2</v>
      </c>
      <c r="I91" s="274">
        <v>0</v>
      </c>
      <c r="J91" s="274">
        <v>0</v>
      </c>
      <c r="K91" s="274">
        <v>0</v>
      </c>
      <c r="L91" s="274">
        <v>0</v>
      </c>
      <c r="M91" s="274">
        <v>65.3</v>
      </c>
      <c r="N91" s="396">
        <v>599.79999999999995</v>
      </c>
      <c r="O91" s="396">
        <v>13.2</v>
      </c>
      <c r="P91" s="396">
        <v>13.2</v>
      </c>
      <c r="Q91" s="397">
        <v>5.6944444444444402E-2</v>
      </c>
      <c r="R91" s="396"/>
      <c r="S91" s="400"/>
      <c r="T91" s="409"/>
      <c r="U91" s="398" t="str">
        <f t="shared" si="7"/>
        <v/>
      </c>
      <c r="V91" s="400"/>
      <c r="W91" s="410">
        <f t="shared" si="6"/>
        <v>13.2</v>
      </c>
      <c r="X91" s="472"/>
      <c r="Y91" s="273"/>
      <c r="AT91" s="232"/>
      <c r="AV91" s="198"/>
      <c r="AW91" s="274"/>
    </row>
    <row r="92" spans="2:49" x14ac:dyDescent="0.25">
      <c r="B92" s="274">
        <v>14.4</v>
      </c>
      <c r="C92" s="274">
        <v>86</v>
      </c>
      <c r="D92" s="274">
        <v>14.4</v>
      </c>
      <c r="E92" s="274">
        <v>0</v>
      </c>
      <c r="F92" s="274">
        <v>0</v>
      </c>
      <c r="G92" s="274">
        <v>9</v>
      </c>
      <c r="H92" s="274">
        <v>1023.3</v>
      </c>
      <c r="I92" s="274">
        <v>0</v>
      </c>
      <c r="J92" s="274">
        <v>0</v>
      </c>
      <c r="K92" s="274">
        <v>0</v>
      </c>
      <c r="L92" s="274">
        <v>0</v>
      </c>
      <c r="M92" s="274">
        <v>65.3</v>
      </c>
      <c r="N92" s="396">
        <v>599.79999999999995</v>
      </c>
      <c r="O92" s="396">
        <v>13.1</v>
      </c>
      <c r="P92" s="396">
        <v>13.2</v>
      </c>
      <c r="Q92" s="397">
        <v>5.7638888888888899E-2</v>
      </c>
      <c r="R92" s="396"/>
      <c r="S92" s="400"/>
      <c r="T92" s="409"/>
      <c r="U92" s="398" t="str">
        <f t="shared" si="7"/>
        <v/>
      </c>
      <c r="V92" s="400"/>
      <c r="W92" s="410">
        <f t="shared" si="6"/>
        <v>13.2</v>
      </c>
      <c r="X92" s="472"/>
      <c r="Y92" s="273"/>
      <c r="AT92" s="232"/>
      <c r="AV92" s="198"/>
      <c r="AW92" s="274"/>
    </row>
    <row r="93" spans="2:49" x14ac:dyDescent="0.25">
      <c r="B93" s="274">
        <v>14.4</v>
      </c>
      <c r="C93" s="274">
        <v>86</v>
      </c>
      <c r="D93" s="274">
        <v>14.4</v>
      </c>
      <c r="E93" s="274">
        <v>3.2</v>
      </c>
      <c r="F93" s="274">
        <v>3.6</v>
      </c>
      <c r="G93" s="274">
        <v>9</v>
      </c>
      <c r="H93" s="274">
        <v>1023.3</v>
      </c>
      <c r="I93" s="274">
        <v>0</v>
      </c>
      <c r="J93" s="274">
        <v>0</v>
      </c>
      <c r="K93" s="274">
        <v>0</v>
      </c>
      <c r="L93" s="274">
        <v>0</v>
      </c>
      <c r="M93" s="274">
        <v>65.3</v>
      </c>
      <c r="N93" s="396">
        <v>599.79999999999995</v>
      </c>
      <c r="O93" s="396">
        <v>13.1</v>
      </c>
      <c r="P93" s="396">
        <v>13.1</v>
      </c>
      <c r="Q93" s="397">
        <v>5.83333333333333E-2</v>
      </c>
      <c r="R93" s="396"/>
      <c r="S93" s="400"/>
      <c r="T93" s="409"/>
      <c r="U93" s="398" t="str">
        <f t="shared" si="7"/>
        <v/>
      </c>
      <c r="V93" s="400"/>
      <c r="W93" s="410">
        <f t="shared" si="6"/>
        <v>13.1</v>
      </c>
      <c r="X93" s="472"/>
      <c r="AT93" s="232"/>
      <c r="AV93" s="198"/>
      <c r="AW93" s="274"/>
    </row>
    <row r="94" spans="2:49" x14ac:dyDescent="0.25">
      <c r="B94" s="274">
        <v>14.4</v>
      </c>
      <c r="C94" s="274">
        <v>86</v>
      </c>
      <c r="D94" s="274">
        <v>14.4</v>
      </c>
      <c r="E94" s="274">
        <v>0.4</v>
      </c>
      <c r="F94" s="274">
        <v>1.8</v>
      </c>
      <c r="G94" s="274">
        <v>9</v>
      </c>
      <c r="H94" s="274">
        <v>1023.2</v>
      </c>
      <c r="I94" s="274">
        <v>0</v>
      </c>
      <c r="J94" s="274">
        <v>0</v>
      </c>
      <c r="K94" s="274">
        <v>0</v>
      </c>
      <c r="L94" s="274">
        <v>0</v>
      </c>
      <c r="M94" s="274">
        <v>65.3</v>
      </c>
      <c r="N94" s="396">
        <v>599.79999999999995</v>
      </c>
      <c r="O94" s="396">
        <v>13.1</v>
      </c>
      <c r="P94" s="396">
        <v>13.1</v>
      </c>
      <c r="Q94" s="397">
        <v>5.9027777777777797E-2</v>
      </c>
      <c r="R94" s="396"/>
      <c r="S94" s="400"/>
      <c r="T94" s="409"/>
      <c r="U94" s="398" t="str">
        <f t="shared" si="7"/>
        <v/>
      </c>
      <c r="V94" s="400"/>
      <c r="W94" s="410">
        <f t="shared" si="6"/>
        <v>13.1</v>
      </c>
      <c r="X94" s="472"/>
      <c r="AT94" s="232"/>
      <c r="AV94" s="198"/>
      <c r="AW94" s="274"/>
    </row>
    <row r="95" spans="2:49" x14ac:dyDescent="0.25">
      <c r="B95" s="274">
        <v>14.4</v>
      </c>
      <c r="C95" s="274">
        <v>86</v>
      </c>
      <c r="D95" s="274">
        <v>14.4</v>
      </c>
      <c r="E95" s="274">
        <v>1.1000000000000001</v>
      </c>
      <c r="F95" s="274">
        <v>1.8</v>
      </c>
      <c r="G95" s="274">
        <v>9</v>
      </c>
      <c r="H95" s="274">
        <v>1023.3</v>
      </c>
      <c r="I95" s="274">
        <v>0</v>
      </c>
      <c r="J95" s="274">
        <v>0</v>
      </c>
      <c r="K95" s="274">
        <v>0</v>
      </c>
      <c r="L95" s="274">
        <v>0</v>
      </c>
      <c r="M95" s="274">
        <v>65.3</v>
      </c>
      <c r="N95" s="396">
        <v>599.79999999999995</v>
      </c>
      <c r="O95" s="396">
        <v>13</v>
      </c>
      <c r="P95" s="396">
        <v>13.1</v>
      </c>
      <c r="Q95" s="397">
        <v>5.9722222222222197E-2</v>
      </c>
      <c r="R95" s="396"/>
      <c r="S95" s="400"/>
      <c r="T95" s="409"/>
      <c r="U95" s="398" t="str">
        <f t="shared" si="7"/>
        <v/>
      </c>
      <c r="V95" s="400"/>
      <c r="W95" s="410">
        <f t="shared" si="6"/>
        <v>13.1</v>
      </c>
      <c r="X95" s="472"/>
      <c r="AT95" s="232"/>
      <c r="AV95" s="198"/>
      <c r="AW95" s="274"/>
    </row>
    <row r="96" spans="2:49" x14ac:dyDescent="0.25">
      <c r="B96" s="274">
        <v>14.3</v>
      </c>
      <c r="C96" s="274">
        <v>86</v>
      </c>
      <c r="D96" s="274">
        <v>14.3</v>
      </c>
      <c r="E96" s="274">
        <v>0.7</v>
      </c>
      <c r="F96" s="274">
        <v>1.8</v>
      </c>
      <c r="G96" s="274">
        <v>9</v>
      </c>
      <c r="H96" s="274">
        <v>1023.1</v>
      </c>
      <c r="I96" s="274">
        <v>0</v>
      </c>
      <c r="J96" s="274">
        <v>0</v>
      </c>
      <c r="K96" s="274">
        <v>0</v>
      </c>
      <c r="L96" s="274">
        <v>0</v>
      </c>
      <c r="M96" s="274">
        <v>65.3</v>
      </c>
      <c r="N96" s="396">
        <v>599.79999999999995</v>
      </c>
      <c r="O96" s="396">
        <v>12.9</v>
      </c>
      <c r="P96" s="396">
        <v>13.1</v>
      </c>
      <c r="Q96" s="397">
        <v>6.0416666666666702E-2</v>
      </c>
      <c r="R96" s="396"/>
      <c r="S96" s="400"/>
      <c r="T96" s="409"/>
      <c r="U96" s="398" t="str">
        <f t="shared" si="7"/>
        <v/>
      </c>
      <c r="V96" s="400"/>
      <c r="W96" s="410">
        <f>MAX(O96:P96)</f>
        <v>13.1</v>
      </c>
      <c r="X96" s="472"/>
      <c r="AT96" s="232"/>
      <c r="AV96" s="198"/>
      <c r="AW96" s="274"/>
    </row>
    <row r="97" spans="2:49" x14ac:dyDescent="0.25">
      <c r="B97" s="274">
        <v>14.3</v>
      </c>
      <c r="C97" s="274">
        <v>86</v>
      </c>
      <c r="D97" s="274">
        <v>14.3</v>
      </c>
      <c r="E97" s="274">
        <v>0.4</v>
      </c>
      <c r="F97" s="274">
        <v>1.8</v>
      </c>
      <c r="G97" s="274">
        <v>9</v>
      </c>
      <c r="H97" s="274">
        <v>1023.1</v>
      </c>
      <c r="I97" s="274">
        <v>0</v>
      </c>
      <c r="J97" s="274">
        <v>0</v>
      </c>
      <c r="K97" s="274">
        <v>0</v>
      </c>
      <c r="L97" s="274">
        <v>0</v>
      </c>
      <c r="M97" s="274">
        <v>65.3</v>
      </c>
      <c r="N97" s="396">
        <v>599.79999999999995</v>
      </c>
      <c r="O97" s="396">
        <v>12.9</v>
      </c>
      <c r="P97" s="396">
        <v>13</v>
      </c>
      <c r="Q97" s="397">
        <v>6.1111111111111102E-2</v>
      </c>
      <c r="R97" s="396"/>
      <c r="S97" s="400"/>
      <c r="T97" s="409"/>
      <c r="U97" s="398" t="str">
        <f t="shared" si="7"/>
        <v/>
      </c>
      <c r="V97" s="400"/>
      <c r="W97" s="410">
        <f t="shared" si="6"/>
        <v>13</v>
      </c>
      <c r="X97" s="472"/>
      <c r="AT97" s="232"/>
      <c r="AV97" s="198"/>
      <c r="AW97" s="274"/>
    </row>
    <row r="98" spans="2:49" x14ac:dyDescent="0.25">
      <c r="B98" s="274">
        <v>14.3</v>
      </c>
      <c r="C98" s="274">
        <v>87</v>
      </c>
      <c r="D98" s="274">
        <v>14.3</v>
      </c>
      <c r="E98" s="274">
        <v>0</v>
      </c>
      <c r="F98" s="274">
        <v>0</v>
      </c>
      <c r="G98" s="274">
        <v>9</v>
      </c>
      <c r="H98" s="274">
        <v>1023.2</v>
      </c>
      <c r="I98" s="274">
        <v>0</v>
      </c>
      <c r="J98" s="274">
        <v>0</v>
      </c>
      <c r="K98" s="274">
        <v>0</v>
      </c>
      <c r="L98" s="274">
        <v>0</v>
      </c>
      <c r="M98" s="274">
        <v>65.3</v>
      </c>
      <c r="N98" s="396">
        <v>599.79999999999995</v>
      </c>
      <c r="O98" s="396">
        <v>12.9</v>
      </c>
      <c r="P98" s="396">
        <v>12.9</v>
      </c>
      <c r="Q98" s="397">
        <v>6.18055555555556E-2</v>
      </c>
      <c r="R98" s="396"/>
      <c r="S98" s="400"/>
      <c r="T98" s="409"/>
      <c r="U98" s="398" t="str">
        <f t="shared" si="7"/>
        <v/>
      </c>
      <c r="V98" s="400"/>
      <c r="W98" s="410">
        <f t="shared" si="6"/>
        <v>12.9</v>
      </c>
      <c r="X98" s="472"/>
      <c r="AT98" s="232"/>
      <c r="AV98" s="198"/>
      <c r="AW98" s="274"/>
    </row>
    <row r="99" spans="2:49" x14ac:dyDescent="0.25">
      <c r="B99" s="274">
        <v>14.2</v>
      </c>
      <c r="C99" s="274">
        <v>87</v>
      </c>
      <c r="D99" s="274">
        <v>14.2</v>
      </c>
      <c r="E99" s="274">
        <v>2.5</v>
      </c>
      <c r="F99" s="274">
        <v>3.6</v>
      </c>
      <c r="G99" s="274">
        <v>9</v>
      </c>
      <c r="H99" s="274">
        <v>1023.4</v>
      </c>
      <c r="I99" s="274">
        <v>0</v>
      </c>
      <c r="J99" s="274">
        <v>0</v>
      </c>
      <c r="K99" s="274">
        <v>0</v>
      </c>
      <c r="L99" s="274">
        <v>0</v>
      </c>
      <c r="M99" s="274">
        <v>65.3</v>
      </c>
      <c r="N99" s="396">
        <v>599.79999999999995</v>
      </c>
      <c r="O99" s="396">
        <v>12.9</v>
      </c>
      <c r="P99" s="396">
        <v>12.9</v>
      </c>
      <c r="Q99" s="397">
        <v>6.25E-2</v>
      </c>
      <c r="R99" s="396"/>
      <c r="S99" s="400"/>
      <c r="T99" s="409"/>
      <c r="U99" s="398" t="str">
        <f t="shared" si="7"/>
        <v/>
      </c>
      <c r="V99" s="400"/>
      <c r="W99" s="410">
        <f t="shared" si="6"/>
        <v>12.9</v>
      </c>
      <c r="X99" s="472"/>
      <c r="AT99" s="232"/>
      <c r="AV99" s="198"/>
      <c r="AW99" s="274"/>
    </row>
    <row r="100" spans="2:49" x14ac:dyDescent="0.25">
      <c r="B100" s="274">
        <v>14.2</v>
      </c>
      <c r="C100" s="274">
        <v>87</v>
      </c>
      <c r="D100" s="274">
        <v>14.2</v>
      </c>
      <c r="E100" s="274">
        <v>1.4</v>
      </c>
      <c r="F100" s="274">
        <v>1.8</v>
      </c>
      <c r="G100" s="274">
        <v>9</v>
      </c>
      <c r="H100" s="274">
        <v>1023.3</v>
      </c>
      <c r="I100" s="274">
        <v>0</v>
      </c>
      <c r="J100" s="274">
        <v>0</v>
      </c>
      <c r="K100" s="274">
        <v>0</v>
      </c>
      <c r="L100" s="274">
        <v>0</v>
      </c>
      <c r="M100" s="274">
        <v>65.3</v>
      </c>
      <c r="N100" s="396">
        <v>599.79999999999995</v>
      </c>
      <c r="O100" s="396">
        <v>12.8</v>
      </c>
      <c r="P100" s="396">
        <v>12.9</v>
      </c>
      <c r="Q100" s="397">
        <v>6.31944444444444E-2</v>
      </c>
      <c r="R100" s="396"/>
      <c r="S100" s="400"/>
      <c r="T100" s="409"/>
      <c r="U100" s="398" t="str">
        <f t="shared" si="7"/>
        <v/>
      </c>
      <c r="V100" s="400"/>
      <c r="W100" s="410">
        <f t="shared" si="6"/>
        <v>12.9</v>
      </c>
      <c r="X100" s="472"/>
      <c r="AT100" s="232"/>
      <c r="AV100" s="198"/>
      <c r="AW100" s="274"/>
    </row>
    <row r="101" spans="2:49" x14ac:dyDescent="0.25">
      <c r="B101" s="274">
        <v>14.1</v>
      </c>
      <c r="C101" s="274">
        <v>87</v>
      </c>
      <c r="D101" s="274">
        <v>14.1</v>
      </c>
      <c r="E101" s="274">
        <v>1.1000000000000001</v>
      </c>
      <c r="F101" s="274">
        <v>1.8</v>
      </c>
      <c r="G101" s="274">
        <v>9</v>
      </c>
      <c r="H101" s="274">
        <v>1023.3</v>
      </c>
      <c r="I101" s="274">
        <v>0</v>
      </c>
      <c r="J101" s="274">
        <v>0</v>
      </c>
      <c r="K101" s="274">
        <v>0</v>
      </c>
      <c r="L101" s="274">
        <v>0</v>
      </c>
      <c r="M101" s="274">
        <v>65.3</v>
      </c>
      <c r="N101" s="396">
        <v>599.79999999999995</v>
      </c>
      <c r="O101" s="396">
        <v>12.8</v>
      </c>
      <c r="P101" s="396">
        <v>12.9</v>
      </c>
      <c r="Q101" s="397">
        <v>6.3888888888888898E-2</v>
      </c>
      <c r="R101" s="396"/>
      <c r="S101" s="400"/>
      <c r="T101" s="409"/>
      <c r="U101" s="398" t="str">
        <f t="shared" si="7"/>
        <v/>
      </c>
      <c r="V101" s="400"/>
      <c r="W101" s="410">
        <f t="shared" si="6"/>
        <v>12.9</v>
      </c>
      <c r="X101" s="472"/>
      <c r="AC101" s="273"/>
      <c r="AD101" s="273"/>
      <c r="AF101" s="273"/>
      <c r="AT101" s="232"/>
      <c r="AV101" s="198"/>
      <c r="AW101" s="274"/>
    </row>
    <row r="102" spans="2:49" x14ac:dyDescent="0.25">
      <c r="B102" s="274">
        <v>14.1</v>
      </c>
      <c r="C102" s="274">
        <v>87</v>
      </c>
      <c r="D102" s="274">
        <v>14.1</v>
      </c>
      <c r="E102" s="274">
        <v>0.7</v>
      </c>
      <c r="F102" s="274">
        <v>1.8</v>
      </c>
      <c r="G102" s="274">
        <v>9</v>
      </c>
      <c r="H102" s="274">
        <v>1023.3</v>
      </c>
      <c r="I102" s="274">
        <v>0</v>
      </c>
      <c r="J102" s="274">
        <v>0</v>
      </c>
      <c r="K102" s="274">
        <v>0</v>
      </c>
      <c r="L102" s="274">
        <v>0</v>
      </c>
      <c r="M102" s="274">
        <v>65.3</v>
      </c>
      <c r="N102" s="396">
        <v>599.79999999999995</v>
      </c>
      <c r="O102" s="396">
        <v>12.8</v>
      </c>
      <c r="P102" s="396">
        <v>12.8</v>
      </c>
      <c r="Q102" s="397">
        <v>6.4583333333333298E-2</v>
      </c>
      <c r="R102" s="396"/>
      <c r="S102" s="400"/>
      <c r="T102" s="409"/>
      <c r="U102" s="398" t="str">
        <f t="shared" si="7"/>
        <v/>
      </c>
      <c r="V102" s="400"/>
      <c r="W102" s="410">
        <f t="shared" si="6"/>
        <v>12.8</v>
      </c>
      <c r="X102" s="472"/>
      <c r="AT102" s="232"/>
      <c r="AV102" s="198"/>
      <c r="AW102" s="274"/>
    </row>
    <row r="103" spans="2:49" x14ac:dyDescent="0.25">
      <c r="B103" s="274">
        <v>14.1</v>
      </c>
      <c r="C103" s="274">
        <v>87</v>
      </c>
      <c r="D103" s="274">
        <v>14.1</v>
      </c>
      <c r="E103" s="274">
        <v>1.1000000000000001</v>
      </c>
      <c r="F103" s="274">
        <v>1.8</v>
      </c>
      <c r="G103" s="274">
        <v>9</v>
      </c>
      <c r="H103" s="274">
        <v>1023.2</v>
      </c>
      <c r="I103" s="274">
        <v>0</v>
      </c>
      <c r="J103" s="274">
        <v>0</v>
      </c>
      <c r="K103" s="274">
        <v>0</v>
      </c>
      <c r="L103" s="274">
        <v>0</v>
      </c>
      <c r="M103" s="274">
        <v>65.3</v>
      </c>
      <c r="N103" s="396">
        <v>599.79999999999995</v>
      </c>
      <c r="O103" s="396">
        <v>12.8</v>
      </c>
      <c r="P103" s="396">
        <v>12.8</v>
      </c>
      <c r="Q103" s="397">
        <v>6.5277777777777796E-2</v>
      </c>
      <c r="R103" s="396"/>
      <c r="S103" s="400"/>
      <c r="T103" s="409"/>
      <c r="U103" s="398" t="str">
        <f t="shared" si="7"/>
        <v/>
      </c>
      <c r="V103" s="400"/>
      <c r="W103" s="410">
        <f t="shared" si="6"/>
        <v>12.8</v>
      </c>
      <c r="X103" s="472"/>
      <c r="AT103" s="232"/>
      <c r="AV103" s="198"/>
      <c r="AW103" s="274"/>
    </row>
    <row r="104" spans="2:49" x14ac:dyDescent="0.25">
      <c r="B104" s="274">
        <v>14</v>
      </c>
      <c r="C104" s="274">
        <v>87</v>
      </c>
      <c r="D104" s="274">
        <v>14</v>
      </c>
      <c r="E104" s="274">
        <v>3.6</v>
      </c>
      <c r="F104" s="274">
        <v>3.6</v>
      </c>
      <c r="G104" s="274">
        <v>9</v>
      </c>
      <c r="H104" s="274">
        <v>1023.2</v>
      </c>
      <c r="I104" s="274">
        <v>0</v>
      </c>
      <c r="J104" s="274">
        <v>0</v>
      </c>
      <c r="K104" s="274">
        <v>0</v>
      </c>
      <c r="L104" s="274">
        <v>0</v>
      </c>
      <c r="M104" s="274">
        <v>65.3</v>
      </c>
      <c r="N104" s="396">
        <v>599.79999999999995</v>
      </c>
      <c r="O104" s="396">
        <v>12.7</v>
      </c>
      <c r="P104" s="396">
        <v>12.8</v>
      </c>
      <c r="Q104" s="397">
        <v>6.5972222222222196E-2</v>
      </c>
      <c r="R104" s="396"/>
      <c r="S104" s="400"/>
      <c r="T104" s="409"/>
      <c r="U104" s="398" t="str">
        <f t="shared" si="7"/>
        <v/>
      </c>
      <c r="V104" s="400"/>
      <c r="W104" s="410">
        <f t="shared" si="6"/>
        <v>12.8</v>
      </c>
      <c r="X104" s="472"/>
      <c r="Y104" s="200"/>
      <c r="AT104" s="232"/>
      <c r="AV104" s="198"/>
      <c r="AW104" s="274"/>
    </row>
    <row r="105" spans="2:49" x14ac:dyDescent="0.25">
      <c r="B105" s="274">
        <v>14</v>
      </c>
      <c r="C105" s="274">
        <v>87</v>
      </c>
      <c r="D105" s="274">
        <v>14</v>
      </c>
      <c r="E105" s="274">
        <v>0.7</v>
      </c>
      <c r="F105" s="274">
        <v>1.8</v>
      </c>
      <c r="G105" s="274">
        <v>9</v>
      </c>
      <c r="H105" s="274">
        <v>1023.2</v>
      </c>
      <c r="I105" s="274">
        <v>0</v>
      </c>
      <c r="J105" s="274">
        <v>0</v>
      </c>
      <c r="K105" s="274">
        <v>0</v>
      </c>
      <c r="L105" s="274">
        <v>0</v>
      </c>
      <c r="M105" s="274">
        <v>65.3</v>
      </c>
      <c r="N105" s="396">
        <v>599.79999999999995</v>
      </c>
      <c r="O105" s="396">
        <v>12.7</v>
      </c>
      <c r="P105" s="396">
        <v>12.7</v>
      </c>
      <c r="Q105" s="397">
        <v>6.6666666666666693E-2</v>
      </c>
      <c r="R105" s="396"/>
      <c r="S105" s="400"/>
      <c r="T105" s="409"/>
      <c r="U105" s="398" t="str">
        <f t="shared" si="7"/>
        <v/>
      </c>
      <c r="V105" s="400"/>
      <c r="W105" s="410">
        <f t="shared" si="6"/>
        <v>12.7</v>
      </c>
      <c r="X105" s="472"/>
      <c r="Y105" s="200"/>
      <c r="AT105" s="232"/>
      <c r="AV105" s="198"/>
      <c r="AW105" s="274"/>
    </row>
    <row r="106" spans="2:49" x14ac:dyDescent="0.25">
      <c r="B106" s="274">
        <v>14</v>
      </c>
      <c r="C106" s="274">
        <v>87</v>
      </c>
      <c r="D106" s="274">
        <v>14</v>
      </c>
      <c r="E106" s="274">
        <v>2.9</v>
      </c>
      <c r="F106" s="274">
        <v>3.6</v>
      </c>
      <c r="G106" s="274">
        <v>9</v>
      </c>
      <c r="H106" s="274">
        <v>1023.4</v>
      </c>
      <c r="I106" s="274">
        <v>0</v>
      </c>
      <c r="J106" s="274">
        <v>0</v>
      </c>
      <c r="K106" s="274">
        <v>0</v>
      </c>
      <c r="L106" s="274">
        <v>0</v>
      </c>
      <c r="M106" s="274">
        <v>65.3</v>
      </c>
      <c r="N106" s="396">
        <v>599.79999999999995</v>
      </c>
      <c r="O106" s="396">
        <v>12.7</v>
      </c>
      <c r="P106" s="396">
        <v>12.7</v>
      </c>
      <c r="Q106" s="397">
        <v>6.7361111111111094E-2</v>
      </c>
      <c r="R106" s="396"/>
      <c r="S106" s="400"/>
      <c r="T106" s="409"/>
      <c r="U106" s="398" t="str">
        <f t="shared" si="7"/>
        <v/>
      </c>
      <c r="V106" s="400"/>
      <c r="W106" s="410">
        <f t="shared" si="6"/>
        <v>12.7</v>
      </c>
      <c r="X106" s="472"/>
      <c r="AT106" s="232"/>
      <c r="AV106" s="198"/>
      <c r="AW106" s="274"/>
    </row>
    <row r="107" spans="2:49" x14ac:dyDescent="0.25">
      <c r="B107" s="274">
        <v>13.9</v>
      </c>
      <c r="C107" s="274">
        <v>87</v>
      </c>
      <c r="D107" s="274">
        <v>13.9</v>
      </c>
      <c r="E107" s="274">
        <v>0.4</v>
      </c>
      <c r="F107" s="274">
        <v>1.8</v>
      </c>
      <c r="G107" s="274">
        <v>9</v>
      </c>
      <c r="H107" s="274">
        <v>1023.3</v>
      </c>
      <c r="I107" s="274">
        <v>0</v>
      </c>
      <c r="J107" s="274">
        <v>0</v>
      </c>
      <c r="K107" s="274">
        <v>0</v>
      </c>
      <c r="L107" s="274">
        <v>0</v>
      </c>
      <c r="M107" s="274">
        <v>65.3</v>
      </c>
      <c r="N107" s="396">
        <v>599.79999999999995</v>
      </c>
      <c r="O107" s="396">
        <v>12.7</v>
      </c>
      <c r="P107" s="396">
        <v>12.7</v>
      </c>
      <c r="Q107" s="397">
        <v>6.8055555555555605E-2</v>
      </c>
      <c r="R107" s="396"/>
      <c r="S107" s="400"/>
      <c r="T107" s="409"/>
      <c r="U107" s="398" t="str">
        <f t="shared" si="7"/>
        <v/>
      </c>
      <c r="V107" s="400"/>
      <c r="W107" s="410">
        <f t="shared" si="6"/>
        <v>12.7</v>
      </c>
      <c r="X107" s="472"/>
      <c r="AT107" s="232"/>
      <c r="AV107" s="198"/>
      <c r="AW107" s="274"/>
    </row>
    <row r="108" spans="2:49" x14ac:dyDescent="0.25">
      <c r="B108" s="274">
        <v>13.9</v>
      </c>
      <c r="C108" s="274">
        <v>88</v>
      </c>
      <c r="D108" s="274">
        <v>13.9</v>
      </c>
      <c r="E108" s="274">
        <v>1.8</v>
      </c>
      <c r="F108" s="274">
        <v>1.8</v>
      </c>
      <c r="G108" s="274">
        <v>9</v>
      </c>
      <c r="H108" s="274">
        <v>1023.3</v>
      </c>
      <c r="I108" s="274">
        <v>0</v>
      </c>
      <c r="J108" s="274">
        <v>0</v>
      </c>
      <c r="K108" s="274">
        <v>0</v>
      </c>
      <c r="L108" s="274">
        <v>0</v>
      </c>
      <c r="M108" s="274">
        <v>65.3</v>
      </c>
      <c r="N108" s="396">
        <v>599.79999999999995</v>
      </c>
      <c r="O108" s="396">
        <v>12.6</v>
      </c>
      <c r="P108" s="396">
        <v>12.7</v>
      </c>
      <c r="Q108" s="397">
        <v>6.8750000000000006E-2</v>
      </c>
      <c r="R108" s="396"/>
      <c r="S108" s="400"/>
      <c r="T108" s="409"/>
      <c r="U108" s="398" t="str">
        <f t="shared" si="7"/>
        <v/>
      </c>
      <c r="V108" s="400"/>
      <c r="W108" s="410">
        <f t="shared" si="6"/>
        <v>12.7</v>
      </c>
      <c r="X108" s="472"/>
      <c r="AT108" s="232"/>
      <c r="AV108" s="198"/>
      <c r="AW108" s="274"/>
    </row>
    <row r="109" spans="2:49" x14ac:dyDescent="0.25">
      <c r="B109" s="274">
        <v>13.9</v>
      </c>
      <c r="C109" s="274">
        <v>88</v>
      </c>
      <c r="D109" s="274">
        <v>13.9</v>
      </c>
      <c r="E109" s="274">
        <v>0.4</v>
      </c>
      <c r="F109" s="274">
        <v>1.8</v>
      </c>
      <c r="G109" s="274">
        <v>9</v>
      </c>
      <c r="H109" s="274">
        <v>1023.4</v>
      </c>
      <c r="I109" s="274">
        <v>0</v>
      </c>
      <c r="J109" s="274">
        <v>0</v>
      </c>
      <c r="K109" s="274">
        <v>0</v>
      </c>
      <c r="L109" s="274">
        <v>0</v>
      </c>
      <c r="M109" s="274">
        <v>65.3</v>
      </c>
      <c r="N109" s="396">
        <v>599.79999999999995</v>
      </c>
      <c r="O109" s="396">
        <v>12.6</v>
      </c>
      <c r="P109" s="396">
        <v>12.6</v>
      </c>
      <c r="Q109" s="397">
        <v>6.9444444444444406E-2</v>
      </c>
      <c r="R109" s="396"/>
      <c r="S109" s="400"/>
      <c r="T109" s="409"/>
      <c r="U109" s="398" t="str">
        <f t="shared" si="7"/>
        <v/>
      </c>
      <c r="V109" s="400"/>
      <c r="W109" s="410">
        <f t="shared" si="6"/>
        <v>12.6</v>
      </c>
      <c r="X109" s="472"/>
      <c r="AT109" s="232"/>
      <c r="AV109" s="198"/>
      <c r="AW109" s="274"/>
    </row>
    <row r="110" spans="2:49" x14ac:dyDescent="0.25">
      <c r="B110" s="274">
        <v>13.8</v>
      </c>
      <c r="C110" s="274">
        <v>88</v>
      </c>
      <c r="D110" s="274">
        <v>13.8</v>
      </c>
      <c r="E110" s="274">
        <v>0</v>
      </c>
      <c r="F110" s="274">
        <v>0</v>
      </c>
      <c r="G110" s="274">
        <v>9</v>
      </c>
      <c r="H110" s="274">
        <v>1023.2</v>
      </c>
      <c r="I110" s="274">
        <v>0</v>
      </c>
      <c r="J110" s="274">
        <v>0</v>
      </c>
      <c r="K110" s="274">
        <v>0</v>
      </c>
      <c r="L110" s="274">
        <v>0</v>
      </c>
      <c r="M110" s="274">
        <v>65.3</v>
      </c>
      <c r="N110" s="396">
        <v>599.79999999999995</v>
      </c>
      <c r="O110" s="396">
        <v>12.6</v>
      </c>
      <c r="P110" s="396">
        <v>12.6</v>
      </c>
      <c r="Q110" s="397">
        <v>7.0138888888888903E-2</v>
      </c>
      <c r="R110" s="396"/>
      <c r="S110" s="400"/>
      <c r="T110" s="409"/>
      <c r="U110" s="398" t="str">
        <f t="shared" si="7"/>
        <v/>
      </c>
      <c r="V110" s="400"/>
      <c r="W110" s="410">
        <f t="shared" si="6"/>
        <v>12.6</v>
      </c>
      <c r="X110" s="472"/>
      <c r="AT110" s="232"/>
      <c r="AV110" s="198"/>
      <c r="AW110" s="274"/>
    </row>
    <row r="111" spans="2:49" x14ac:dyDescent="0.25">
      <c r="B111" s="274">
        <v>13.8</v>
      </c>
      <c r="C111" s="274">
        <v>88</v>
      </c>
      <c r="D111" s="274">
        <v>13.8</v>
      </c>
      <c r="E111" s="274">
        <v>0</v>
      </c>
      <c r="F111" s="274">
        <v>0</v>
      </c>
      <c r="G111" s="274">
        <v>9</v>
      </c>
      <c r="H111" s="274">
        <v>1023.3</v>
      </c>
      <c r="I111" s="274">
        <v>0</v>
      </c>
      <c r="J111" s="274">
        <v>0</v>
      </c>
      <c r="K111" s="274">
        <v>0</v>
      </c>
      <c r="L111" s="274">
        <v>0</v>
      </c>
      <c r="M111" s="274">
        <v>65.3</v>
      </c>
      <c r="N111" s="396">
        <v>599.79999999999995</v>
      </c>
      <c r="O111" s="396">
        <v>12.5</v>
      </c>
      <c r="P111" s="396">
        <v>12.5</v>
      </c>
      <c r="Q111" s="397">
        <v>7.0833333333333304E-2</v>
      </c>
      <c r="R111" s="396"/>
      <c r="S111" s="400"/>
      <c r="T111" s="409"/>
      <c r="U111" s="398" t="str">
        <f t="shared" si="7"/>
        <v/>
      </c>
      <c r="V111" s="400"/>
      <c r="W111" s="410">
        <f t="shared" si="6"/>
        <v>12.5</v>
      </c>
      <c r="X111" s="472"/>
      <c r="AL111" s="126"/>
      <c r="AT111" s="232"/>
      <c r="AV111" s="198"/>
      <c r="AW111" s="274"/>
    </row>
    <row r="112" spans="2:49" x14ac:dyDescent="0.25">
      <c r="B112" s="274">
        <v>13.7</v>
      </c>
      <c r="C112" s="274">
        <v>88</v>
      </c>
      <c r="D112" s="274">
        <v>13.7</v>
      </c>
      <c r="E112" s="274">
        <v>0.4</v>
      </c>
      <c r="F112" s="274">
        <v>1.8</v>
      </c>
      <c r="G112" s="274">
        <v>9</v>
      </c>
      <c r="H112" s="274">
        <v>1023.3</v>
      </c>
      <c r="I112" s="274">
        <v>0</v>
      </c>
      <c r="J112" s="274">
        <v>0</v>
      </c>
      <c r="K112" s="274">
        <v>0</v>
      </c>
      <c r="L112" s="274">
        <v>0</v>
      </c>
      <c r="M112" s="274">
        <v>65.3</v>
      </c>
      <c r="N112" s="396">
        <v>599.79999999999995</v>
      </c>
      <c r="O112" s="396">
        <v>12.5</v>
      </c>
      <c r="P112" s="396">
        <v>12.5</v>
      </c>
      <c r="Q112" s="397">
        <v>7.1527777777777801E-2</v>
      </c>
      <c r="R112" s="396"/>
      <c r="S112" s="400"/>
      <c r="T112" s="409"/>
      <c r="U112" s="398" t="str">
        <f t="shared" si="7"/>
        <v/>
      </c>
      <c r="V112" s="400"/>
      <c r="W112" s="410">
        <f t="shared" si="6"/>
        <v>12.5</v>
      </c>
      <c r="X112" s="472"/>
      <c r="AC112" s="126"/>
      <c r="AD112" s="126"/>
      <c r="AF112" s="126"/>
      <c r="AK112" s="126"/>
      <c r="AL112" s="126"/>
      <c r="AT112" s="232"/>
      <c r="AV112" s="198"/>
      <c r="AW112" s="274"/>
    </row>
    <row r="113" spans="2:49" x14ac:dyDescent="0.25">
      <c r="B113" s="274">
        <v>13.7</v>
      </c>
      <c r="C113" s="274">
        <v>88</v>
      </c>
      <c r="D113" s="274">
        <v>13.7</v>
      </c>
      <c r="E113" s="274">
        <v>0</v>
      </c>
      <c r="F113" s="274">
        <v>0</v>
      </c>
      <c r="G113" s="274">
        <v>9</v>
      </c>
      <c r="H113" s="274">
        <v>1023.2</v>
      </c>
      <c r="I113" s="274">
        <v>0</v>
      </c>
      <c r="J113" s="274">
        <v>0</v>
      </c>
      <c r="K113" s="274">
        <v>0</v>
      </c>
      <c r="L113" s="274">
        <v>0</v>
      </c>
      <c r="M113" s="274">
        <v>65.3</v>
      </c>
      <c r="N113" s="396">
        <v>599.79999999999995</v>
      </c>
      <c r="O113" s="396">
        <v>12.5</v>
      </c>
      <c r="P113" s="396">
        <v>12.5</v>
      </c>
      <c r="Q113" s="397">
        <v>7.2222222222222202E-2</v>
      </c>
      <c r="R113" s="396"/>
      <c r="S113" s="400"/>
      <c r="T113" s="409"/>
      <c r="U113" s="398" t="str">
        <f t="shared" si="7"/>
        <v/>
      </c>
      <c r="V113" s="400"/>
      <c r="W113" s="410">
        <f t="shared" si="6"/>
        <v>12.5</v>
      </c>
      <c r="X113" s="472"/>
      <c r="AL113" s="126"/>
      <c r="AT113" s="232"/>
      <c r="AV113" s="198"/>
      <c r="AW113" s="274"/>
    </row>
    <row r="114" spans="2:49" x14ac:dyDescent="0.25">
      <c r="B114" s="274">
        <v>13.6</v>
      </c>
      <c r="C114" s="274">
        <v>88</v>
      </c>
      <c r="D114" s="274">
        <v>13.6</v>
      </c>
      <c r="E114" s="274">
        <v>0</v>
      </c>
      <c r="F114" s="274">
        <v>0</v>
      </c>
      <c r="G114" s="274">
        <v>9</v>
      </c>
      <c r="H114" s="274">
        <v>1023.3</v>
      </c>
      <c r="I114" s="274">
        <v>0</v>
      </c>
      <c r="J114" s="274">
        <v>0</v>
      </c>
      <c r="K114" s="274">
        <v>0</v>
      </c>
      <c r="L114" s="274">
        <v>0</v>
      </c>
      <c r="M114" s="274">
        <v>65.3</v>
      </c>
      <c r="N114" s="396">
        <v>599.79999999999995</v>
      </c>
      <c r="O114" s="396">
        <v>12.4</v>
      </c>
      <c r="P114" s="396">
        <v>12.4</v>
      </c>
      <c r="Q114" s="397">
        <v>7.2916666666666699E-2</v>
      </c>
      <c r="R114" s="396"/>
      <c r="S114" s="400"/>
      <c r="T114" s="409"/>
      <c r="U114" s="398" t="str">
        <f t="shared" si="7"/>
        <v/>
      </c>
      <c r="V114" s="400"/>
      <c r="W114" s="410">
        <f t="shared" si="6"/>
        <v>12.4</v>
      </c>
      <c r="X114" s="472"/>
      <c r="AL114" s="126"/>
      <c r="AT114" s="232"/>
      <c r="AV114" s="198"/>
      <c r="AW114" s="274"/>
    </row>
    <row r="115" spans="2:49" x14ac:dyDescent="0.25">
      <c r="B115" s="274">
        <v>13.6</v>
      </c>
      <c r="C115" s="274">
        <v>88</v>
      </c>
      <c r="D115" s="274">
        <v>13.6</v>
      </c>
      <c r="E115" s="274">
        <v>0</v>
      </c>
      <c r="F115" s="274">
        <v>0</v>
      </c>
      <c r="G115" s="274">
        <v>9</v>
      </c>
      <c r="H115" s="274">
        <v>1023.1</v>
      </c>
      <c r="I115" s="274">
        <v>0</v>
      </c>
      <c r="J115" s="274">
        <v>0</v>
      </c>
      <c r="K115" s="274">
        <v>0</v>
      </c>
      <c r="L115" s="274">
        <v>0</v>
      </c>
      <c r="M115" s="274">
        <v>65.3</v>
      </c>
      <c r="N115" s="396">
        <v>599.79999999999995</v>
      </c>
      <c r="O115" s="396">
        <v>12.4</v>
      </c>
      <c r="P115" s="396">
        <v>12.4</v>
      </c>
      <c r="Q115" s="397">
        <v>7.3611111111111099E-2</v>
      </c>
      <c r="R115" s="396"/>
      <c r="S115" s="400"/>
      <c r="T115" s="409"/>
      <c r="U115" s="398" t="str">
        <f t="shared" si="7"/>
        <v/>
      </c>
      <c r="V115" s="400"/>
      <c r="W115" s="410">
        <f t="shared" si="6"/>
        <v>12.4</v>
      </c>
      <c r="X115" s="472"/>
      <c r="AT115" s="232"/>
      <c r="AV115" s="198"/>
      <c r="AW115" s="274"/>
    </row>
    <row r="116" spans="2:49" x14ac:dyDescent="0.25">
      <c r="B116" s="274">
        <v>13.5</v>
      </c>
      <c r="C116" s="274">
        <v>88</v>
      </c>
      <c r="D116" s="274">
        <v>13.5</v>
      </c>
      <c r="E116" s="274">
        <v>0.4</v>
      </c>
      <c r="F116" s="274">
        <v>1.8</v>
      </c>
      <c r="G116" s="274">
        <v>9</v>
      </c>
      <c r="H116" s="274">
        <v>1023.2</v>
      </c>
      <c r="I116" s="274">
        <v>0</v>
      </c>
      <c r="J116" s="274">
        <v>0</v>
      </c>
      <c r="K116" s="274">
        <v>0</v>
      </c>
      <c r="L116" s="274">
        <v>0</v>
      </c>
      <c r="M116" s="274">
        <v>65.3</v>
      </c>
      <c r="N116" s="396">
        <v>599.79999999999995</v>
      </c>
      <c r="O116" s="396">
        <v>12.4</v>
      </c>
      <c r="P116" s="396">
        <v>12.4</v>
      </c>
      <c r="Q116" s="397">
        <v>7.4305555555555597E-2</v>
      </c>
      <c r="R116" s="396"/>
      <c r="S116" s="400"/>
      <c r="T116" s="409"/>
      <c r="U116" s="398" t="str">
        <f t="shared" si="7"/>
        <v/>
      </c>
      <c r="V116" s="400"/>
      <c r="W116" s="410">
        <f t="shared" si="6"/>
        <v>12.4</v>
      </c>
      <c r="X116" s="472"/>
      <c r="AT116" s="232"/>
      <c r="AV116" s="198"/>
      <c r="AW116" s="274"/>
    </row>
    <row r="117" spans="2:49" x14ac:dyDescent="0.25">
      <c r="B117" s="274">
        <v>13.5</v>
      </c>
      <c r="C117" s="274">
        <v>88</v>
      </c>
      <c r="D117" s="274">
        <v>13.5</v>
      </c>
      <c r="E117" s="274">
        <v>0</v>
      </c>
      <c r="F117" s="274">
        <v>0</v>
      </c>
      <c r="G117" s="274">
        <v>9</v>
      </c>
      <c r="H117" s="274">
        <v>1023.1</v>
      </c>
      <c r="I117" s="274">
        <v>0</v>
      </c>
      <c r="J117" s="274">
        <v>0</v>
      </c>
      <c r="K117" s="274">
        <v>0</v>
      </c>
      <c r="L117" s="274">
        <v>0</v>
      </c>
      <c r="M117" s="274">
        <v>65.3</v>
      </c>
      <c r="N117" s="396">
        <v>599.79999999999995</v>
      </c>
      <c r="O117" s="396">
        <v>12.3</v>
      </c>
      <c r="P117" s="396">
        <v>12.4</v>
      </c>
      <c r="Q117" s="397">
        <v>7.4999999999999997E-2</v>
      </c>
      <c r="R117" s="396"/>
      <c r="S117" s="400"/>
      <c r="T117" s="409"/>
      <c r="U117" s="398" t="str">
        <f t="shared" si="7"/>
        <v/>
      </c>
      <c r="V117" s="400"/>
      <c r="W117" s="410">
        <f t="shared" si="6"/>
        <v>12.4</v>
      </c>
      <c r="X117" s="472"/>
      <c r="AT117" s="232"/>
      <c r="AV117" s="198"/>
      <c r="AW117" s="274"/>
    </row>
    <row r="118" spans="2:49" x14ac:dyDescent="0.25">
      <c r="B118" s="274">
        <v>13.5</v>
      </c>
      <c r="C118" s="274">
        <v>89</v>
      </c>
      <c r="D118" s="274">
        <v>13.5</v>
      </c>
      <c r="E118" s="274">
        <v>0</v>
      </c>
      <c r="F118" s="274">
        <v>0</v>
      </c>
      <c r="G118" s="274">
        <v>9</v>
      </c>
      <c r="H118" s="274">
        <v>1023.1</v>
      </c>
      <c r="I118" s="274">
        <v>0</v>
      </c>
      <c r="J118" s="274">
        <v>0</v>
      </c>
      <c r="K118" s="274">
        <v>0</v>
      </c>
      <c r="L118" s="274">
        <v>0</v>
      </c>
      <c r="M118" s="274">
        <v>65.3</v>
      </c>
      <c r="N118" s="396">
        <v>599.79999999999995</v>
      </c>
      <c r="O118" s="396">
        <v>12.3</v>
      </c>
      <c r="P118" s="396">
        <v>12.3</v>
      </c>
      <c r="Q118" s="397">
        <v>7.5694444444444495E-2</v>
      </c>
      <c r="R118" s="396"/>
      <c r="S118" s="400"/>
      <c r="T118" s="409"/>
      <c r="U118" s="398" t="str">
        <f t="shared" si="7"/>
        <v/>
      </c>
      <c r="V118" s="400"/>
      <c r="W118" s="410">
        <f t="shared" si="6"/>
        <v>12.3</v>
      </c>
      <c r="X118" s="472"/>
      <c r="AT118" s="232"/>
      <c r="AV118" s="198"/>
      <c r="AW118" s="274"/>
    </row>
    <row r="119" spans="2:49" x14ac:dyDescent="0.25">
      <c r="B119" s="274">
        <v>13.4</v>
      </c>
      <c r="C119" s="274">
        <v>89</v>
      </c>
      <c r="D119" s="274">
        <v>13.4</v>
      </c>
      <c r="E119" s="274">
        <v>0.7</v>
      </c>
      <c r="F119" s="274">
        <v>1.8</v>
      </c>
      <c r="G119" s="274">
        <v>9</v>
      </c>
      <c r="H119" s="274">
        <v>1023.2</v>
      </c>
      <c r="I119" s="274">
        <v>0</v>
      </c>
      <c r="J119" s="274">
        <v>0</v>
      </c>
      <c r="K119" s="274">
        <v>0</v>
      </c>
      <c r="L119" s="274">
        <v>0</v>
      </c>
      <c r="M119" s="274">
        <v>65.3</v>
      </c>
      <c r="N119" s="396">
        <v>599.79999999999995</v>
      </c>
      <c r="O119" s="396">
        <v>12.2</v>
      </c>
      <c r="P119" s="396">
        <v>12.3</v>
      </c>
      <c r="Q119" s="397">
        <v>7.6388888888888895E-2</v>
      </c>
      <c r="R119" s="396"/>
      <c r="S119" s="400"/>
      <c r="T119" s="409"/>
      <c r="U119" s="398" t="str">
        <f t="shared" si="7"/>
        <v/>
      </c>
      <c r="V119" s="400"/>
      <c r="W119" s="410">
        <f t="shared" si="6"/>
        <v>12.3</v>
      </c>
      <c r="X119" s="472"/>
      <c r="AT119" s="232"/>
      <c r="AV119" s="198"/>
      <c r="AW119" s="274"/>
    </row>
    <row r="120" spans="2:49" x14ac:dyDescent="0.25">
      <c r="B120" s="274">
        <v>13.4</v>
      </c>
      <c r="C120" s="274">
        <v>89</v>
      </c>
      <c r="D120" s="274">
        <v>13.4</v>
      </c>
      <c r="E120" s="274">
        <v>0.4</v>
      </c>
      <c r="F120" s="274">
        <v>1.8</v>
      </c>
      <c r="G120" s="274">
        <v>9</v>
      </c>
      <c r="H120" s="274">
        <v>1023.1</v>
      </c>
      <c r="I120" s="274">
        <v>0</v>
      </c>
      <c r="J120" s="274">
        <v>0</v>
      </c>
      <c r="K120" s="274">
        <v>0</v>
      </c>
      <c r="L120" s="274">
        <v>0</v>
      </c>
      <c r="M120" s="274">
        <v>65.3</v>
      </c>
      <c r="N120" s="396">
        <v>599.79999999999995</v>
      </c>
      <c r="O120" s="396">
        <v>12.2</v>
      </c>
      <c r="P120" s="396">
        <v>12.2</v>
      </c>
      <c r="Q120" s="397">
        <v>7.7083333333333295E-2</v>
      </c>
      <c r="R120" s="396"/>
      <c r="S120" s="400"/>
      <c r="T120" s="409"/>
      <c r="U120" s="398" t="str">
        <f t="shared" si="7"/>
        <v/>
      </c>
      <c r="V120" s="400"/>
      <c r="W120" s="410">
        <f t="shared" si="6"/>
        <v>12.2</v>
      </c>
      <c r="X120" s="472"/>
      <c r="AT120" s="232"/>
      <c r="AV120" s="198"/>
      <c r="AW120" s="274"/>
    </row>
    <row r="121" spans="2:49" x14ac:dyDescent="0.25">
      <c r="B121" s="274">
        <v>13.4</v>
      </c>
      <c r="C121" s="274">
        <v>89</v>
      </c>
      <c r="D121" s="274">
        <v>13.4</v>
      </c>
      <c r="E121" s="274">
        <v>0</v>
      </c>
      <c r="F121" s="274">
        <v>0</v>
      </c>
      <c r="G121" s="274">
        <v>9</v>
      </c>
      <c r="H121" s="274">
        <v>1023.2</v>
      </c>
      <c r="I121" s="274">
        <v>0</v>
      </c>
      <c r="J121" s="274">
        <v>0</v>
      </c>
      <c r="K121" s="274">
        <v>0</v>
      </c>
      <c r="L121" s="274">
        <v>0</v>
      </c>
      <c r="M121" s="274">
        <v>65.3</v>
      </c>
      <c r="N121" s="396">
        <v>599.79999999999995</v>
      </c>
      <c r="O121" s="396">
        <v>12.2</v>
      </c>
      <c r="P121" s="396">
        <v>12.2</v>
      </c>
      <c r="Q121" s="397">
        <v>7.7777777777777807E-2</v>
      </c>
      <c r="R121" s="396"/>
      <c r="S121" s="400"/>
      <c r="T121" s="409"/>
      <c r="U121" s="398" t="str">
        <f t="shared" si="7"/>
        <v/>
      </c>
      <c r="V121" s="400"/>
      <c r="W121" s="410">
        <f t="shared" si="6"/>
        <v>12.2</v>
      </c>
      <c r="X121" s="472"/>
      <c r="AT121" s="232"/>
      <c r="AV121" s="198"/>
      <c r="AW121" s="274"/>
    </row>
    <row r="122" spans="2:49" x14ac:dyDescent="0.25">
      <c r="B122" s="274">
        <v>13.4</v>
      </c>
      <c r="C122" s="274">
        <v>89</v>
      </c>
      <c r="D122" s="274">
        <v>13.4</v>
      </c>
      <c r="E122" s="274">
        <v>0</v>
      </c>
      <c r="F122" s="274">
        <v>0</v>
      </c>
      <c r="G122" s="274">
        <v>9</v>
      </c>
      <c r="H122" s="274">
        <v>1023.2</v>
      </c>
      <c r="I122" s="274">
        <v>0</v>
      </c>
      <c r="J122" s="274">
        <v>0</v>
      </c>
      <c r="K122" s="274">
        <v>0</v>
      </c>
      <c r="L122" s="274">
        <v>0</v>
      </c>
      <c r="M122" s="274">
        <v>65.3</v>
      </c>
      <c r="N122" s="396">
        <v>599.79999999999995</v>
      </c>
      <c r="O122" s="396">
        <v>12.1</v>
      </c>
      <c r="P122" s="396">
        <v>12.1</v>
      </c>
      <c r="Q122" s="397">
        <v>7.8472222222222193E-2</v>
      </c>
      <c r="R122" s="396"/>
      <c r="S122" s="400"/>
      <c r="T122" s="409"/>
      <c r="U122" s="398" t="str">
        <f t="shared" si="7"/>
        <v/>
      </c>
      <c r="V122" s="400"/>
      <c r="W122" s="410">
        <f t="shared" si="6"/>
        <v>12.1</v>
      </c>
      <c r="X122" s="472"/>
      <c r="AT122" s="232"/>
      <c r="AV122" s="198"/>
      <c r="AW122" s="274"/>
    </row>
    <row r="123" spans="2:49" x14ac:dyDescent="0.25">
      <c r="B123" s="274">
        <v>13.3</v>
      </c>
      <c r="C123" s="274">
        <v>89</v>
      </c>
      <c r="D123" s="274">
        <v>13.3</v>
      </c>
      <c r="E123" s="274">
        <v>0</v>
      </c>
      <c r="F123" s="274">
        <v>0</v>
      </c>
      <c r="G123" s="274">
        <v>9</v>
      </c>
      <c r="H123" s="274">
        <v>1023.2</v>
      </c>
      <c r="I123" s="274">
        <v>0</v>
      </c>
      <c r="J123" s="274">
        <v>0</v>
      </c>
      <c r="K123" s="274">
        <v>0</v>
      </c>
      <c r="L123" s="274">
        <v>0</v>
      </c>
      <c r="M123" s="274">
        <v>65.3</v>
      </c>
      <c r="N123" s="396">
        <v>599.79999999999995</v>
      </c>
      <c r="O123" s="396">
        <v>12.1</v>
      </c>
      <c r="P123" s="396">
        <v>12.1</v>
      </c>
      <c r="Q123" s="397">
        <v>7.9166666666666705E-2</v>
      </c>
      <c r="R123" s="396"/>
      <c r="S123" s="400"/>
      <c r="T123" s="409"/>
      <c r="U123" s="398" t="str">
        <f t="shared" si="7"/>
        <v/>
      </c>
      <c r="V123" s="400"/>
      <c r="W123" s="410">
        <f t="shared" si="6"/>
        <v>12.1</v>
      </c>
      <c r="X123" s="472"/>
      <c r="AT123" s="232"/>
      <c r="AV123" s="198"/>
      <c r="AW123" s="274"/>
    </row>
    <row r="124" spans="2:49" x14ac:dyDescent="0.25">
      <c r="B124" s="274">
        <v>13.3</v>
      </c>
      <c r="C124" s="274">
        <v>89</v>
      </c>
      <c r="D124" s="274">
        <v>13.3</v>
      </c>
      <c r="E124" s="274">
        <v>0</v>
      </c>
      <c r="F124" s="274">
        <v>0</v>
      </c>
      <c r="G124" s="274">
        <v>9</v>
      </c>
      <c r="H124" s="274">
        <v>1023.2</v>
      </c>
      <c r="I124" s="274">
        <v>0</v>
      </c>
      <c r="J124" s="274">
        <v>0</v>
      </c>
      <c r="K124" s="274">
        <v>0</v>
      </c>
      <c r="L124" s="274">
        <v>0</v>
      </c>
      <c r="M124" s="274">
        <v>65.3</v>
      </c>
      <c r="N124" s="396">
        <v>599.79999999999995</v>
      </c>
      <c r="O124" s="396">
        <v>12</v>
      </c>
      <c r="P124" s="396">
        <v>12.1</v>
      </c>
      <c r="Q124" s="397">
        <v>7.9861111111111105E-2</v>
      </c>
      <c r="R124" s="396"/>
      <c r="S124" s="400"/>
      <c r="T124" s="409"/>
      <c r="U124" s="398" t="str">
        <f t="shared" si="7"/>
        <v/>
      </c>
      <c r="V124" s="400"/>
      <c r="W124" s="410">
        <f t="shared" si="6"/>
        <v>12.1</v>
      </c>
      <c r="X124" s="472"/>
      <c r="AT124" s="232"/>
      <c r="AV124" s="198"/>
      <c r="AW124" s="274"/>
    </row>
    <row r="125" spans="2:49" x14ac:dyDescent="0.25">
      <c r="B125" s="274">
        <v>13.3</v>
      </c>
      <c r="C125" s="274">
        <v>89</v>
      </c>
      <c r="D125" s="274">
        <v>13.3</v>
      </c>
      <c r="E125" s="274">
        <v>0</v>
      </c>
      <c r="F125" s="274">
        <v>0</v>
      </c>
      <c r="G125" s="274">
        <v>9</v>
      </c>
      <c r="H125" s="274">
        <v>1023.2</v>
      </c>
      <c r="I125" s="274">
        <v>0</v>
      </c>
      <c r="J125" s="274">
        <v>0</v>
      </c>
      <c r="K125" s="274">
        <v>0</v>
      </c>
      <c r="L125" s="274">
        <v>0</v>
      </c>
      <c r="M125" s="274">
        <v>65.3</v>
      </c>
      <c r="N125" s="396">
        <v>599.79999999999995</v>
      </c>
      <c r="O125" s="396">
        <v>12</v>
      </c>
      <c r="P125" s="396">
        <v>12</v>
      </c>
      <c r="Q125" s="397">
        <v>8.0555555555555602E-2</v>
      </c>
      <c r="R125" s="396"/>
      <c r="S125" s="400"/>
      <c r="T125" s="409"/>
      <c r="U125" s="398" t="str">
        <f t="shared" si="7"/>
        <v/>
      </c>
      <c r="V125" s="400"/>
      <c r="W125" s="410">
        <f t="shared" si="6"/>
        <v>12</v>
      </c>
      <c r="X125" s="472"/>
      <c r="AT125" s="232"/>
      <c r="AV125" s="198"/>
      <c r="AW125" s="274"/>
    </row>
    <row r="126" spans="2:49" x14ac:dyDescent="0.25">
      <c r="B126" s="274">
        <v>13.3</v>
      </c>
      <c r="C126" s="274">
        <v>89</v>
      </c>
      <c r="D126" s="274">
        <v>13.3</v>
      </c>
      <c r="E126" s="274">
        <v>0</v>
      </c>
      <c r="F126" s="274">
        <v>0</v>
      </c>
      <c r="G126" s="274">
        <v>9</v>
      </c>
      <c r="H126" s="274">
        <v>1023.2</v>
      </c>
      <c r="I126" s="274">
        <v>0</v>
      </c>
      <c r="J126" s="274">
        <v>0</v>
      </c>
      <c r="K126" s="274">
        <v>0</v>
      </c>
      <c r="L126" s="274">
        <v>0</v>
      </c>
      <c r="M126" s="274">
        <v>65.3</v>
      </c>
      <c r="N126" s="396">
        <v>599.79999999999995</v>
      </c>
      <c r="O126" s="396">
        <v>12</v>
      </c>
      <c r="P126" s="396">
        <v>12</v>
      </c>
      <c r="Q126" s="397">
        <v>8.1250000000000003E-2</v>
      </c>
      <c r="R126" s="396"/>
      <c r="S126" s="400"/>
      <c r="T126" s="409"/>
      <c r="U126" s="398" t="str">
        <f t="shared" si="7"/>
        <v/>
      </c>
      <c r="V126" s="400"/>
      <c r="W126" s="410">
        <f t="shared" si="6"/>
        <v>12</v>
      </c>
      <c r="X126" s="472"/>
      <c r="AT126" s="232"/>
      <c r="AV126" s="198"/>
      <c r="AW126" s="274"/>
    </row>
    <row r="127" spans="2:49" x14ac:dyDescent="0.25">
      <c r="B127" s="274">
        <v>13.3</v>
      </c>
      <c r="C127" s="274">
        <v>89</v>
      </c>
      <c r="D127" s="274">
        <v>13.3</v>
      </c>
      <c r="E127" s="274">
        <v>0</v>
      </c>
      <c r="F127" s="274">
        <v>0</v>
      </c>
      <c r="G127" s="274">
        <v>9</v>
      </c>
      <c r="H127" s="274">
        <v>1023.3</v>
      </c>
      <c r="I127" s="274">
        <v>0</v>
      </c>
      <c r="J127" s="274">
        <v>0</v>
      </c>
      <c r="K127" s="274">
        <v>0</v>
      </c>
      <c r="L127" s="274">
        <v>0</v>
      </c>
      <c r="M127" s="274">
        <v>65.3</v>
      </c>
      <c r="N127" s="396">
        <v>599.79999999999995</v>
      </c>
      <c r="O127" s="396">
        <v>11.9</v>
      </c>
      <c r="P127" s="396">
        <v>12</v>
      </c>
      <c r="Q127" s="397">
        <v>8.1944444444444403E-2</v>
      </c>
      <c r="R127" s="396"/>
      <c r="S127" s="400"/>
      <c r="T127" s="409"/>
      <c r="U127" s="398" t="str">
        <f t="shared" si="7"/>
        <v/>
      </c>
      <c r="V127" s="400"/>
      <c r="W127" s="410">
        <f t="shared" si="6"/>
        <v>12</v>
      </c>
      <c r="X127" s="472"/>
      <c r="AT127" s="232"/>
      <c r="AV127" s="198"/>
      <c r="AW127" s="274"/>
    </row>
    <row r="128" spans="2:49" x14ac:dyDescent="0.25">
      <c r="B128" s="274">
        <v>13.2</v>
      </c>
      <c r="C128" s="274">
        <v>89</v>
      </c>
      <c r="D128" s="274">
        <v>13.2</v>
      </c>
      <c r="E128" s="274">
        <v>0</v>
      </c>
      <c r="F128" s="274">
        <v>0</v>
      </c>
      <c r="G128" s="274">
        <v>9</v>
      </c>
      <c r="H128" s="274">
        <v>1023.4</v>
      </c>
      <c r="I128" s="274">
        <v>0</v>
      </c>
      <c r="J128" s="274">
        <v>0</v>
      </c>
      <c r="K128" s="274">
        <v>0</v>
      </c>
      <c r="L128" s="274">
        <v>0</v>
      </c>
      <c r="M128" s="274">
        <v>65.3</v>
      </c>
      <c r="N128" s="396">
        <v>599.79999999999995</v>
      </c>
      <c r="O128" s="396">
        <v>11.9</v>
      </c>
      <c r="P128" s="396">
        <v>11.9</v>
      </c>
      <c r="Q128" s="397">
        <v>8.2638888888888901E-2</v>
      </c>
      <c r="R128" s="396"/>
      <c r="S128" s="400"/>
      <c r="T128" s="409"/>
      <c r="U128" s="398" t="str">
        <f t="shared" si="7"/>
        <v/>
      </c>
      <c r="V128" s="400"/>
      <c r="W128" s="410">
        <f t="shared" si="6"/>
        <v>11.9</v>
      </c>
      <c r="X128" s="472"/>
      <c r="AT128" s="232"/>
      <c r="AV128" s="198"/>
      <c r="AW128" s="274"/>
    </row>
    <row r="129" spans="2:49" x14ac:dyDescent="0.25">
      <c r="B129" s="274">
        <v>13.2</v>
      </c>
      <c r="C129" s="274">
        <v>89</v>
      </c>
      <c r="D129" s="274">
        <v>13.2</v>
      </c>
      <c r="E129" s="274">
        <v>0</v>
      </c>
      <c r="F129" s="274">
        <v>0</v>
      </c>
      <c r="G129" s="274">
        <v>9</v>
      </c>
      <c r="H129" s="274">
        <v>1023.2</v>
      </c>
      <c r="I129" s="274">
        <v>0</v>
      </c>
      <c r="J129" s="274">
        <v>0</v>
      </c>
      <c r="K129" s="274">
        <v>0</v>
      </c>
      <c r="L129" s="274">
        <v>0</v>
      </c>
      <c r="M129" s="274">
        <v>65.3</v>
      </c>
      <c r="N129" s="396">
        <v>599.79999999999995</v>
      </c>
      <c r="O129" s="396">
        <v>11.9</v>
      </c>
      <c r="P129" s="396">
        <v>11.9</v>
      </c>
      <c r="Q129" s="397">
        <v>8.3333333333333301E-2</v>
      </c>
      <c r="R129" s="396"/>
      <c r="S129" s="400"/>
      <c r="T129" s="409"/>
      <c r="U129" s="398" t="str">
        <f t="shared" si="7"/>
        <v/>
      </c>
      <c r="V129" s="400"/>
      <c r="W129" s="410">
        <f t="shared" si="6"/>
        <v>11.9</v>
      </c>
      <c r="X129" s="472"/>
      <c r="AT129" s="232"/>
      <c r="AV129" s="198"/>
      <c r="AW129" s="274"/>
    </row>
    <row r="130" spans="2:49" x14ac:dyDescent="0.25">
      <c r="B130" s="274">
        <v>13.2</v>
      </c>
      <c r="C130" s="274">
        <v>89</v>
      </c>
      <c r="D130" s="274">
        <v>13.2</v>
      </c>
      <c r="E130" s="274">
        <v>0</v>
      </c>
      <c r="F130" s="274">
        <v>0</v>
      </c>
      <c r="G130" s="274">
        <v>9</v>
      </c>
      <c r="H130" s="274">
        <v>1023.3</v>
      </c>
      <c r="I130" s="274">
        <v>0</v>
      </c>
      <c r="J130" s="274">
        <v>0</v>
      </c>
      <c r="K130" s="274">
        <v>0</v>
      </c>
      <c r="L130" s="274">
        <v>0</v>
      </c>
      <c r="M130" s="274">
        <v>65.3</v>
      </c>
      <c r="N130" s="396">
        <v>599.79999999999995</v>
      </c>
      <c r="O130" s="396">
        <v>11.9</v>
      </c>
      <c r="P130" s="396">
        <v>11.9</v>
      </c>
      <c r="Q130" s="397">
        <v>8.4027777777777798E-2</v>
      </c>
      <c r="R130" s="396"/>
      <c r="S130" s="400"/>
      <c r="T130" s="409"/>
      <c r="U130" s="398" t="str">
        <f t="shared" si="7"/>
        <v/>
      </c>
      <c r="V130" s="400"/>
      <c r="W130" s="410">
        <f t="shared" si="6"/>
        <v>11.9</v>
      </c>
      <c r="X130" s="472"/>
      <c r="AT130" s="232"/>
      <c r="AV130" s="198"/>
      <c r="AW130" s="274"/>
    </row>
    <row r="131" spans="2:49" x14ac:dyDescent="0.25">
      <c r="B131" s="274">
        <v>13.2</v>
      </c>
      <c r="C131" s="274">
        <v>90</v>
      </c>
      <c r="D131" s="274">
        <v>13.2</v>
      </c>
      <c r="E131" s="274">
        <v>0</v>
      </c>
      <c r="F131" s="274">
        <v>0</v>
      </c>
      <c r="G131" s="274">
        <v>9</v>
      </c>
      <c r="H131" s="274">
        <v>1023.1</v>
      </c>
      <c r="I131" s="274">
        <v>0</v>
      </c>
      <c r="J131" s="274">
        <v>0</v>
      </c>
      <c r="K131" s="274">
        <v>0</v>
      </c>
      <c r="L131" s="274">
        <v>0</v>
      </c>
      <c r="M131" s="274">
        <v>65.3</v>
      </c>
      <c r="N131" s="396">
        <v>599.79999999999995</v>
      </c>
      <c r="O131" s="396">
        <v>11.8</v>
      </c>
      <c r="P131" s="396">
        <v>11.9</v>
      </c>
      <c r="Q131" s="397">
        <v>8.4722222222222199E-2</v>
      </c>
      <c r="R131" s="396"/>
      <c r="S131" s="400"/>
      <c r="T131" s="409"/>
      <c r="U131" s="398" t="str">
        <f t="shared" si="7"/>
        <v/>
      </c>
      <c r="V131" s="400"/>
      <c r="W131" s="410">
        <f t="shared" si="6"/>
        <v>11.9</v>
      </c>
      <c r="X131" s="472"/>
      <c r="AT131" s="232"/>
      <c r="AV131" s="198"/>
      <c r="AW131" s="274"/>
    </row>
    <row r="132" spans="2:49" x14ac:dyDescent="0.25">
      <c r="B132" s="274">
        <v>13.2</v>
      </c>
      <c r="C132" s="274">
        <v>90</v>
      </c>
      <c r="D132" s="274">
        <v>13.2</v>
      </c>
      <c r="E132" s="274">
        <v>0</v>
      </c>
      <c r="F132" s="274">
        <v>0</v>
      </c>
      <c r="G132" s="274">
        <v>9</v>
      </c>
      <c r="H132" s="274">
        <v>1023.2</v>
      </c>
      <c r="I132" s="274">
        <v>0</v>
      </c>
      <c r="J132" s="274">
        <v>0</v>
      </c>
      <c r="K132" s="274">
        <v>0</v>
      </c>
      <c r="L132" s="274">
        <v>0</v>
      </c>
      <c r="M132" s="274">
        <v>65.3</v>
      </c>
      <c r="N132" s="396">
        <v>599.79999999999995</v>
      </c>
      <c r="O132" s="396">
        <v>11.8</v>
      </c>
      <c r="P132" s="396">
        <v>11.9</v>
      </c>
      <c r="Q132" s="397">
        <v>8.5416666666666696E-2</v>
      </c>
      <c r="R132" s="396"/>
      <c r="S132" s="400"/>
      <c r="T132" s="409"/>
      <c r="U132" s="398" t="str">
        <f t="shared" si="7"/>
        <v/>
      </c>
      <c r="V132" s="400"/>
      <c r="W132" s="410">
        <f t="shared" si="6"/>
        <v>11.9</v>
      </c>
      <c r="X132" s="472"/>
      <c r="AT132" s="232"/>
      <c r="AV132" s="198"/>
      <c r="AW132" s="274"/>
    </row>
    <row r="133" spans="2:49" x14ac:dyDescent="0.25">
      <c r="B133" s="274">
        <v>13.2</v>
      </c>
      <c r="C133" s="274">
        <v>90</v>
      </c>
      <c r="D133" s="274">
        <v>13.2</v>
      </c>
      <c r="E133" s="274">
        <v>0.4</v>
      </c>
      <c r="F133" s="274">
        <v>1.8</v>
      </c>
      <c r="G133" s="274">
        <v>9</v>
      </c>
      <c r="H133" s="274">
        <v>1023.3</v>
      </c>
      <c r="I133" s="274">
        <v>0</v>
      </c>
      <c r="J133" s="274">
        <v>0</v>
      </c>
      <c r="K133" s="274">
        <v>0</v>
      </c>
      <c r="L133" s="274">
        <v>0</v>
      </c>
      <c r="M133" s="274">
        <v>65.3</v>
      </c>
      <c r="N133" s="396">
        <v>599.79999999999995</v>
      </c>
      <c r="O133" s="396">
        <v>11.8</v>
      </c>
      <c r="P133" s="396">
        <v>11.8</v>
      </c>
      <c r="Q133" s="397">
        <v>8.6111111111111097E-2</v>
      </c>
      <c r="R133" s="396"/>
      <c r="S133" s="400"/>
      <c r="T133" s="409"/>
      <c r="U133" s="398" t="str">
        <f t="shared" si="7"/>
        <v/>
      </c>
      <c r="V133" s="400"/>
      <c r="W133" s="410">
        <f t="shared" si="6"/>
        <v>11.8</v>
      </c>
      <c r="X133" s="472"/>
      <c r="AT133" s="232"/>
      <c r="AV133" s="198"/>
      <c r="AW133" s="274"/>
    </row>
    <row r="134" spans="2:49" x14ac:dyDescent="0.25">
      <c r="B134" s="274">
        <v>13.2</v>
      </c>
      <c r="C134" s="274">
        <v>90</v>
      </c>
      <c r="D134" s="274">
        <v>13.2</v>
      </c>
      <c r="E134" s="274">
        <v>0</v>
      </c>
      <c r="F134" s="274">
        <v>0</v>
      </c>
      <c r="G134" s="274">
        <v>9</v>
      </c>
      <c r="H134" s="274">
        <v>1023.3</v>
      </c>
      <c r="I134" s="274">
        <v>0</v>
      </c>
      <c r="J134" s="274">
        <v>0</v>
      </c>
      <c r="K134" s="274">
        <v>0</v>
      </c>
      <c r="L134" s="274">
        <v>0</v>
      </c>
      <c r="M134" s="274">
        <v>65.3</v>
      </c>
      <c r="N134" s="396">
        <v>599.79999999999995</v>
      </c>
      <c r="O134" s="396">
        <v>11.8</v>
      </c>
      <c r="P134" s="396">
        <v>11.8</v>
      </c>
      <c r="Q134" s="397">
        <v>8.6805555555555594E-2</v>
      </c>
      <c r="R134" s="396"/>
      <c r="S134" s="400"/>
      <c r="T134" s="409"/>
      <c r="U134" s="398" t="str">
        <f t="shared" si="7"/>
        <v/>
      </c>
      <c r="V134" s="400"/>
      <c r="W134" s="410">
        <f t="shared" si="6"/>
        <v>11.8</v>
      </c>
      <c r="X134" s="472"/>
      <c r="AT134" s="232"/>
      <c r="AV134" s="198"/>
      <c r="AW134" s="274"/>
    </row>
    <row r="135" spans="2:49" x14ac:dyDescent="0.25">
      <c r="B135" s="274">
        <v>13.1</v>
      </c>
      <c r="C135" s="274">
        <v>90</v>
      </c>
      <c r="D135" s="274">
        <v>13.1</v>
      </c>
      <c r="E135" s="274">
        <v>0</v>
      </c>
      <c r="F135" s="274">
        <v>0</v>
      </c>
      <c r="G135" s="274">
        <v>9</v>
      </c>
      <c r="H135" s="274">
        <v>1023.1</v>
      </c>
      <c r="I135" s="274">
        <v>0</v>
      </c>
      <c r="J135" s="274">
        <v>0</v>
      </c>
      <c r="K135" s="274">
        <v>0</v>
      </c>
      <c r="L135" s="274">
        <v>0</v>
      </c>
      <c r="M135" s="274">
        <v>65.3</v>
      </c>
      <c r="N135" s="396">
        <v>599.79999999999995</v>
      </c>
      <c r="O135" s="396">
        <v>11.7</v>
      </c>
      <c r="P135" s="396">
        <v>11.8</v>
      </c>
      <c r="Q135" s="397">
        <v>8.7499999999999994E-2</v>
      </c>
      <c r="R135" s="396"/>
      <c r="S135" s="400"/>
      <c r="T135" s="409"/>
      <c r="U135" s="398" t="str">
        <f t="shared" si="7"/>
        <v/>
      </c>
      <c r="V135" s="400"/>
      <c r="W135" s="410">
        <f t="shared" si="6"/>
        <v>11.8</v>
      </c>
      <c r="X135" s="472"/>
      <c r="AT135" s="232"/>
      <c r="AV135" s="198"/>
      <c r="AW135" s="274"/>
    </row>
    <row r="136" spans="2:49" x14ac:dyDescent="0.25">
      <c r="B136" s="274">
        <v>13.1</v>
      </c>
      <c r="C136" s="274">
        <v>90</v>
      </c>
      <c r="D136" s="274">
        <v>13.1</v>
      </c>
      <c r="E136" s="274">
        <v>0.4</v>
      </c>
      <c r="F136" s="274">
        <v>1.8</v>
      </c>
      <c r="G136" s="274">
        <v>9</v>
      </c>
      <c r="H136" s="274">
        <v>1023.3</v>
      </c>
      <c r="I136" s="274">
        <v>0</v>
      </c>
      <c r="J136" s="274">
        <v>0</v>
      </c>
      <c r="K136" s="274">
        <v>0</v>
      </c>
      <c r="L136" s="274">
        <v>0</v>
      </c>
      <c r="M136" s="274">
        <v>65.3</v>
      </c>
      <c r="N136" s="396">
        <v>599.79999999999995</v>
      </c>
      <c r="O136" s="396">
        <v>11.7</v>
      </c>
      <c r="P136" s="396">
        <v>11.7</v>
      </c>
      <c r="Q136" s="397">
        <v>8.8194444444444506E-2</v>
      </c>
      <c r="R136" s="396"/>
      <c r="S136" s="400"/>
      <c r="T136" s="409"/>
      <c r="U136" s="398" t="str">
        <f t="shared" si="7"/>
        <v/>
      </c>
      <c r="V136" s="400"/>
      <c r="W136" s="410">
        <f t="shared" si="6"/>
        <v>11.7</v>
      </c>
      <c r="X136" s="472"/>
      <c r="AT136" s="232"/>
      <c r="AV136" s="198"/>
      <c r="AW136" s="274"/>
    </row>
    <row r="137" spans="2:49" x14ac:dyDescent="0.25">
      <c r="B137" s="274">
        <v>13.1</v>
      </c>
      <c r="C137" s="274">
        <v>90</v>
      </c>
      <c r="D137" s="274">
        <v>13.1</v>
      </c>
      <c r="E137" s="274">
        <v>0</v>
      </c>
      <c r="F137" s="274">
        <v>0</v>
      </c>
      <c r="G137" s="274">
        <v>9</v>
      </c>
      <c r="H137" s="274">
        <v>1023.3</v>
      </c>
      <c r="I137" s="274">
        <v>0</v>
      </c>
      <c r="J137" s="274">
        <v>0</v>
      </c>
      <c r="K137" s="274">
        <v>0</v>
      </c>
      <c r="L137" s="274">
        <v>0</v>
      </c>
      <c r="M137" s="274">
        <v>65.3</v>
      </c>
      <c r="N137" s="396">
        <v>599.79999999999995</v>
      </c>
      <c r="O137" s="396">
        <v>11.7</v>
      </c>
      <c r="P137" s="396">
        <v>11.7</v>
      </c>
      <c r="Q137" s="397">
        <v>8.8888888888888906E-2</v>
      </c>
      <c r="R137" s="396"/>
      <c r="S137" s="400"/>
      <c r="T137" s="409"/>
      <c r="U137" s="398" t="str">
        <f t="shared" si="7"/>
        <v/>
      </c>
      <c r="V137" s="400"/>
      <c r="W137" s="410">
        <f t="shared" ref="W137:W200" si="8">MAX(O137:P137)</f>
        <v>11.7</v>
      </c>
      <c r="X137" s="472"/>
      <c r="AT137" s="232"/>
      <c r="AV137" s="198"/>
      <c r="AW137" s="274"/>
    </row>
    <row r="138" spans="2:49" x14ac:dyDescent="0.25">
      <c r="B138" s="274">
        <v>13.1</v>
      </c>
      <c r="C138" s="274">
        <v>90</v>
      </c>
      <c r="D138" s="274">
        <v>13.1</v>
      </c>
      <c r="E138" s="274">
        <v>0</v>
      </c>
      <c r="F138" s="274">
        <v>0</v>
      </c>
      <c r="G138" s="274">
        <v>9</v>
      </c>
      <c r="H138" s="274">
        <v>1023.2</v>
      </c>
      <c r="I138" s="274">
        <v>0</v>
      </c>
      <c r="J138" s="274">
        <v>0</v>
      </c>
      <c r="K138" s="274">
        <v>0</v>
      </c>
      <c r="L138" s="274">
        <v>0</v>
      </c>
      <c r="M138" s="274">
        <v>65.3</v>
      </c>
      <c r="N138" s="396">
        <v>599.79999999999995</v>
      </c>
      <c r="O138" s="396">
        <v>11.7</v>
      </c>
      <c r="P138" s="396">
        <v>11.7</v>
      </c>
      <c r="Q138" s="397">
        <v>8.9583333333333307E-2</v>
      </c>
      <c r="R138" s="396"/>
      <c r="S138" s="400"/>
      <c r="T138" s="409"/>
      <c r="U138" s="398" t="str">
        <f t="shared" si="7"/>
        <v/>
      </c>
      <c r="V138" s="400"/>
      <c r="W138" s="410">
        <f t="shared" si="8"/>
        <v>11.7</v>
      </c>
      <c r="X138" s="472"/>
      <c r="AT138" s="232"/>
      <c r="AV138" s="198"/>
      <c r="AW138" s="274"/>
    </row>
    <row r="139" spans="2:49" x14ac:dyDescent="0.25">
      <c r="B139" s="274">
        <v>13.1</v>
      </c>
      <c r="C139" s="274">
        <v>90</v>
      </c>
      <c r="D139" s="274">
        <v>13.1</v>
      </c>
      <c r="E139" s="274">
        <v>0.4</v>
      </c>
      <c r="F139" s="274">
        <v>1.8</v>
      </c>
      <c r="G139" s="274">
        <v>9</v>
      </c>
      <c r="H139" s="274">
        <v>1023.4</v>
      </c>
      <c r="I139" s="274">
        <v>0</v>
      </c>
      <c r="J139" s="274">
        <v>0</v>
      </c>
      <c r="K139" s="274">
        <v>0</v>
      </c>
      <c r="L139" s="274">
        <v>0</v>
      </c>
      <c r="M139" s="274">
        <v>65.3</v>
      </c>
      <c r="N139" s="396">
        <v>599.79999999999995</v>
      </c>
      <c r="O139" s="396">
        <v>11.7</v>
      </c>
      <c r="P139" s="396">
        <v>11.6</v>
      </c>
      <c r="Q139" s="397">
        <v>9.0277777777777804E-2</v>
      </c>
      <c r="R139" s="396"/>
      <c r="S139" s="400"/>
      <c r="T139" s="409"/>
      <c r="U139" s="398" t="str">
        <f t="shared" ref="U139:U202" si="9">IF(J139&gt;0,60,"")</f>
        <v/>
      </c>
      <c r="V139" s="400"/>
      <c r="W139" s="410">
        <f t="shared" si="8"/>
        <v>11.7</v>
      </c>
      <c r="X139" s="472"/>
      <c r="AT139" s="232"/>
      <c r="AV139" s="198"/>
      <c r="AW139" s="274"/>
    </row>
    <row r="140" spans="2:49" x14ac:dyDescent="0.25">
      <c r="B140" s="274">
        <v>13.1</v>
      </c>
      <c r="C140" s="274">
        <v>90</v>
      </c>
      <c r="D140" s="274">
        <v>13.1</v>
      </c>
      <c r="E140" s="274">
        <v>1.1000000000000001</v>
      </c>
      <c r="F140" s="274">
        <v>1.8</v>
      </c>
      <c r="G140" s="274">
        <v>9</v>
      </c>
      <c r="H140" s="274">
        <v>1023.3</v>
      </c>
      <c r="I140" s="274">
        <v>0</v>
      </c>
      <c r="J140" s="274">
        <v>0</v>
      </c>
      <c r="K140" s="274">
        <v>0</v>
      </c>
      <c r="L140" s="274">
        <v>0</v>
      </c>
      <c r="M140" s="274">
        <v>65.3</v>
      </c>
      <c r="N140" s="396">
        <v>599.79999999999995</v>
      </c>
      <c r="O140" s="396">
        <v>11.6</v>
      </c>
      <c r="P140" s="396">
        <v>11.6</v>
      </c>
      <c r="Q140" s="397">
        <v>9.0972222222222204E-2</v>
      </c>
      <c r="R140" s="396"/>
      <c r="S140" s="400"/>
      <c r="T140" s="409"/>
      <c r="U140" s="398" t="str">
        <f t="shared" si="9"/>
        <v/>
      </c>
      <c r="V140" s="400"/>
      <c r="W140" s="410">
        <f t="shared" si="8"/>
        <v>11.6</v>
      </c>
      <c r="X140" s="472"/>
      <c r="AT140" s="232"/>
      <c r="AV140" s="198"/>
      <c r="AW140" s="274"/>
    </row>
    <row r="141" spans="2:49" x14ac:dyDescent="0.25">
      <c r="B141" s="274">
        <v>13.1</v>
      </c>
      <c r="C141" s="274">
        <v>90</v>
      </c>
      <c r="D141" s="274">
        <v>13.1</v>
      </c>
      <c r="E141" s="274">
        <v>0.7</v>
      </c>
      <c r="F141" s="274">
        <v>1.8</v>
      </c>
      <c r="G141" s="274">
        <v>9</v>
      </c>
      <c r="H141" s="274">
        <v>1023.2</v>
      </c>
      <c r="I141" s="274">
        <v>0</v>
      </c>
      <c r="J141" s="274">
        <v>0</v>
      </c>
      <c r="K141" s="274">
        <v>0</v>
      </c>
      <c r="L141" s="274">
        <v>0</v>
      </c>
      <c r="M141" s="274">
        <v>65.3</v>
      </c>
      <c r="N141" s="396">
        <v>599.79999999999995</v>
      </c>
      <c r="O141" s="396">
        <v>11.6</v>
      </c>
      <c r="P141" s="396">
        <v>11.6</v>
      </c>
      <c r="Q141" s="397">
        <v>9.1666666666666702E-2</v>
      </c>
      <c r="R141" s="396"/>
      <c r="S141" s="400"/>
      <c r="T141" s="409"/>
      <c r="U141" s="398" t="str">
        <f t="shared" si="9"/>
        <v/>
      </c>
      <c r="V141" s="400"/>
      <c r="W141" s="410">
        <f t="shared" si="8"/>
        <v>11.6</v>
      </c>
      <c r="X141" s="472"/>
      <c r="AT141" s="232"/>
      <c r="AV141" s="198"/>
      <c r="AW141" s="274"/>
    </row>
    <row r="142" spans="2:49" x14ac:dyDescent="0.25">
      <c r="B142" s="274">
        <v>13.1</v>
      </c>
      <c r="C142" s="274">
        <v>90</v>
      </c>
      <c r="D142" s="274">
        <v>13.1</v>
      </c>
      <c r="E142" s="274">
        <v>0</v>
      </c>
      <c r="F142" s="274">
        <v>0</v>
      </c>
      <c r="G142" s="274">
        <v>9</v>
      </c>
      <c r="H142" s="274">
        <v>1023.4</v>
      </c>
      <c r="I142" s="274">
        <v>0</v>
      </c>
      <c r="J142" s="274">
        <v>0</v>
      </c>
      <c r="K142" s="274">
        <v>0</v>
      </c>
      <c r="L142" s="274">
        <v>0</v>
      </c>
      <c r="M142" s="274">
        <v>65.3</v>
      </c>
      <c r="N142" s="396">
        <v>599.79999999999995</v>
      </c>
      <c r="O142" s="396">
        <v>11.6</v>
      </c>
      <c r="P142" s="396">
        <v>11.6</v>
      </c>
      <c r="Q142" s="397">
        <v>9.2361111111111102E-2</v>
      </c>
      <c r="R142" s="396"/>
      <c r="S142" s="400"/>
      <c r="T142" s="409"/>
      <c r="U142" s="398" t="str">
        <f t="shared" si="9"/>
        <v/>
      </c>
      <c r="V142" s="400"/>
      <c r="W142" s="410">
        <f t="shared" si="8"/>
        <v>11.6</v>
      </c>
      <c r="X142" s="472"/>
      <c r="AT142" s="232"/>
      <c r="AV142" s="198"/>
      <c r="AW142" s="274"/>
    </row>
    <row r="143" spans="2:49" x14ac:dyDescent="0.25">
      <c r="B143" s="274">
        <v>13</v>
      </c>
      <c r="C143" s="274">
        <v>90</v>
      </c>
      <c r="D143" s="274">
        <v>13</v>
      </c>
      <c r="E143" s="274">
        <v>0</v>
      </c>
      <c r="F143" s="274">
        <v>0</v>
      </c>
      <c r="G143" s="274">
        <v>9</v>
      </c>
      <c r="H143" s="274">
        <v>1023.2</v>
      </c>
      <c r="I143" s="274">
        <v>0</v>
      </c>
      <c r="J143" s="274">
        <v>0</v>
      </c>
      <c r="K143" s="274">
        <v>0</v>
      </c>
      <c r="L143" s="274">
        <v>0</v>
      </c>
      <c r="M143" s="274">
        <v>65.3</v>
      </c>
      <c r="N143" s="396">
        <v>599.79999999999995</v>
      </c>
      <c r="O143" s="396">
        <v>11.6</v>
      </c>
      <c r="P143" s="396">
        <v>11.6</v>
      </c>
      <c r="Q143" s="397">
        <v>9.30555555555556E-2</v>
      </c>
      <c r="R143" s="396"/>
      <c r="S143" s="400"/>
      <c r="T143" s="409"/>
      <c r="U143" s="398" t="str">
        <f t="shared" si="9"/>
        <v/>
      </c>
      <c r="V143" s="400"/>
      <c r="W143" s="410">
        <f t="shared" si="8"/>
        <v>11.6</v>
      </c>
      <c r="X143" s="472"/>
      <c r="AT143" s="232"/>
      <c r="AV143" s="198"/>
      <c r="AW143" s="274"/>
    </row>
    <row r="144" spans="2:49" x14ac:dyDescent="0.25">
      <c r="B144" s="274">
        <v>13</v>
      </c>
      <c r="C144" s="274">
        <v>90</v>
      </c>
      <c r="D144" s="274">
        <v>13</v>
      </c>
      <c r="E144" s="274">
        <v>0</v>
      </c>
      <c r="F144" s="274">
        <v>0</v>
      </c>
      <c r="G144" s="274">
        <v>9</v>
      </c>
      <c r="H144" s="274">
        <v>1023.1</v>
      </c>
      <c r="I144" s="274">
        <v>0</v>
      </c>
      <c r="J144" s="274">
        <v>0</v>
      </c>
      <c r="K144" s="274">
        <v>0</v>
      </c>
      <c r="L144" s="274">
        <v>0</v>
      </c>
      <c r="M144" s="274">
        <v>65.3</v>
      </c>
      <c r="N144" s="396">
        <v>599.79999999999995</v>
      </c>
      <c r="O144" s="396">
        <v>11.6</v>
      </c>
      <c r="P144" s="396">
        <v>11.6</v>
      </c>
      <c r="Q144" s="397">
        <v>9.375E-2</v>
      </c>
      <c r="R144" s="396"/>
      <c r="S144" s="400"/>
      <c r="T144" s="409"/>
      <c r="U144" s="398" t="str">
        <f t="shared" si="9"/>
        <v/>
      </c>
      <c r="V144" s="400"/>
      <c r="W144" s="410">
        <f t="shared" si="8"/>
        <v>11.6</v>
      </c>
      <c r="X144" s="472"/>
      <c r="AT144" s="232"/>
      <c r="AV144" s="198"/>
      <c r="AW144" s="274"/>
    </row>
    <row r="145" spans="2:49" x14ac:dyDescent="0.25">
      <c r="B145" s="274">
        <v>13</v>
      </c>
      <c r="C145" s="274">
        <v>90</v>
      </c>
      <c r="D145" s="274">
        <v>13</v>
      </c>
      <c r="E145" s="274">
        <v>0</v>
      </c>
      <c r="F145" s="274">
        <v>0</v>
      </c>
      <c r="G145" s="274">
        <v>9</v>
      </c>
      <c r="H145" s="274">
        <v>1023.4</v>
      </c>
      <c r="I145" s="274">
        <v>0</v>
      </c>
      <c r="J145" s="274">
        <v>0</v>
      </c>
      <c r="K145" s="274">
        <v>0</v>
      </c>
      <c r="L145" s="274">
        <v>0</v>
      </c>
      <c r="M145" s="274">
        <v>65.3</v>
      </c>
      <c r="N145" s="396">
        <v>599.79999999999995</v>
      </c>
      <c r="O145" s="396">
        <v>11.6</v>
      </c>
      <c r="P145" s="396">
        <v>11.6</v>
      </c>
      <c r="Q145" s="397">
        <v>9.44444444444444E-2</v>
      </c>
      <c r="R145" s="396"/>
      <c r="S145" s="400"/>
      <c r="T145" s="409"/>
      <c r="U145" s="398" t="str">
        <f t="shared" si="9"/>
        <v/>
      </c>
      <c r="V145" s="400"/>
      <c r="W145" s="410">
        <f t="shared" si="8"/>
        <v>11.6</v>
      </c>
      <c r="X145" s="472"/>
      <c r="AT145" s="232"/>
      <c r="AV145" s="198"/>
      <c r="AW145" s="274"/>
    </row>
    <row r="146" spans="2:49" x14ac:dyDescent="0.25">
      <c r="B146" s="274">
        <v>13</v>
      </c>
      <c r="C146" s="274">
        <v>90</v>
      </c>
      <c r="D146" s="274">
        <v>13</v>
      </c>
      <c r="E146" s="274">
        <v>0</v>
      </c>
      <c r="F146" s="274">
        <v>0</v>
      </c>
      <c r="G146" s="274">
        <v>9</v>
      </c>
      <c r="H146" s="274">
        <v>1023.6</v>
      </c>
      <c r="I146" s="274">
        <v>0</v>
      </c>
      <c r="J146" s="274">
        <v>0</v>
      </c>
      <c r="K146" s="274">
        <v>0</v>
      </c>
      <c r="L146" s="274">
        <v>0</v>
      </c>
      <c r="M146" s="274">
        <v>65.3</v>
      </c>
      <c r="N146" s="396">
        <v>599.79999999999995</v>
      </c>
      <c r="O146" s="396">
        <v>11.6</v>
      </c>
      <c r="P146" s="396">
        <v>11.5</v>
      </c>
      <c r="Q146" s="397">
        <v>9.5138888888888898E-2</v>
      </c>
      <c r="R146" s="396"/>
      <c r="S146" s="400"/>
      <c r="T146" s="409"/>
      <c r="U146" s="398" t="str">
        <f t="shared" si="9"/>
        <v/>
      </c>
      <c r="V146" s="400"/>
      <c r="W146" s="410">
        <f t="shared" si="8"/>
        <v>11.6</v>
      </c>
      <c r="X146" s="472"/>
      <c r="AT146" s="232"/>
      <c r="AV146" s="198"/>
      <c r="AW146" s="274"/>
    </row>
    <row r="147" spans="2:49" x14ac:dyDescent="0.25">
      <c r="B147" s="274">
        <v>13</v>
      </c>
      <c r="C147" s="274">
        <v>90</v>
      </c>
      <c r="D147" s="274">
        <v>13</v>
      </c>
      <c r="E147" s="274">
        <v>0</v>
      </c>
      <c r="F147" s="274">
        <v>0</v>
      </c>
      <c r="G147" s="274">
        <v>9</v>
      </c>
      <c r="H147" s="274">
        <v>1023.5</v>
      </c>
      <c r="I147" s="274">
        <v>0</v>
      </c>
      <c r="J147" s="274">
        <v>0</v>
      </c>
      <c r="K147" s="274">
        <v>0</v>
      </c>
      <c r="L147" s="274">
        <v>0</v>
      </c>
      <c r="M147" s="274">
        <v>65.3</v>
      </c>
      <c r="N147" s="396">
        <v>599.79999999999995</v>
      </c>
      <c r="O147" s="396">
        <v>11.5</v>
      </c>
      <c r="P147" s="396">
        <v>11.5</v>
      </c>
      <c r="Q147" s="397">
        <v>9.5833333333333298E-2</v>
      </c>
      <c r="R147" s="396"/>
      <c r="S147" s="400"/>
      <c r="T147" s="409"/>
      <c r="U147" s="398" t="str">
        <f t="shared" si="9"/>
        <v/>
      </c>
      <c r="V147" s="400"/>
      <c r="W147" s="410">
        <f t="shared" si="8"/>
        <v>11.5</v>
      </c>
      <c r="X147" s="472"/>
      <c r="AT147" s="232"/>
      <c r="AV147" s="198"/>
      <c r="AW147" s="274"/>
    </row>
    <row r="148" spans="2:49" x14ac:dyDescent="0.25">
      <c r="B148" s="274">
        <v>13</v>
      </c>
      <c r="C148" s="274">
        <v>90</v>
      </c>
      <c r="D148" s="274">
        <v>13</v>
      </c>
      <c r="E148" s="274">
        <v>0</v>
      </c>
      <c r="F148" s="274">
        <v>0</v>
      </c>
      <c r="G148" s="274">
        <v>9</v>
      </c>
      <c r="H148" s="274">
        <v>1023.4</v>
      </c>
      <c r="I148" s="274">
        <v>0</v>
      </c>
      <c r="J148" s="274">
        <v>0</v>
      </c>
      <c r="K148" s="274">
        <v>0</v>
      </c>
      <c r="L148" s="274">
        <v>0</v>
      </c>
      <c r="M148" s="274">
        <v>65.3</v>
      </c>
      <c r="N148" s="396">
        <v>599.79999999999995</v>
      </c>
      <c r="O148" s="396">
        <v>11.5</v>
      </c>
      <c r="P148" s="396">
        <v>11.5</v>
      </c>
      <c r="Q148" s="397">
        <v>9.6527777777777796E-2</v>
      </c>
      <c r="R148" s="396"/>
      <c r="S148" s="400"/>
      <c r="T148" s="409"/>
      <c r="U148" s="398" t="str">
        <f t="shared" si="9"/>
        <v/>
      </c>
      <c r="V148" s="400"/>
      <c r="W148" s="410">
        <f t="shared" si="8"/>
        <v>11.5</v>
      </c>
      <c r="X148" s="472"/>
      <c r="AT148" s="232"/>
      <c r="AV148" s="198"/>
      <c r="AW148" s="274"/>
    </row>
    <row r="149" spans="2:49" x14ac:dyDescent="0.25">
      <c r="B149" s="274">
        <v>12.9</v>
      </c>
      <c r="C149" s="274">
        <v>90</v>
      </c>
      <c r="D149" s="274">
        <v>12.9</v>
      </c>
      <c r="E149" s="274">
        <v>0</v>
      </c>
      <c r="F149" s="274">
        <v>0</v>
      </c>
      <c r="G149" s="274">
        <v>9</v>
      </c>
      <c r="H149" s="274">
        <v>1023.2</v>
      </c>
      <c r="I149" s="274">
        <v>0</v>
      </c>
      <c r="J149" s="274">
        <v>0</v>
      </c>
      <c r="K149" s="274">
        <v>0</v>
      </c>
      <c r="L149" s="274">
        <v>0</v>
      </c>
      <c r="M149" s="274">
        <v>65.3</v>
      </c>
      <c r="N149" s="396">
        <v>599.79999999999995</v>
      </c>
      <c r="O149" s="396">
        <v>11.5</v>
      </c>
      <c r="P149" s="396">
        <v>11.5</v>
      </c>
      <c r="Q149" s="397">
        <v>9.7222222222222196E-2</v>
      </c>
      <c r="R149" s="396"/>
      <c r="S149" s="400"/>
      <c r="T149" s="409"/>
      <c r="U149" s="398" t="str">
        <f t="shared" si="9"/>
        <v/>
      </c>
      <c r="V149" s="400"/>
      <c r="W149" s="410">
        <f t="shared" si="8"/>
        <v>11.5</v>
      </c>
      <c r="X149" s="472"/>
      <c r="AT149" s="232"/>
      <c r="AV149" s="198"/>
      <c r="AW149" s="274"/>
    </row>
    <row r="150" spans="2:49" x14ac:dyDescent="0.25">
      <c r="B150" s="274">
        <v>12.9</v>
      </c>
      <c r="C150" s="274">
        <v>91</v>
      </c>
      <c r="D150" s="274">
        <v>12.9</v>
      </c>
      <c r="E150" s="274">
        <v>1.4</v>
      </c>
      <c r="F150" s="274">
        <v>1.8</v>
      </c>
      <c r="G150" s="274">
        <v>9</v>
      </c>
      <c r="H150" s="274">
        <v>1023.4</v>
      </c>
      <c r="I150" s="274">
        <v>0</v>
      </c>
      <c r="J150" s="274">
        <v>0</v>
      </c>
      <c r="K150" s="274">
        <v>0</v>
      </c>
      <c r="L150" s="274">
        <v>0</v>
      </c>
      <c r="M150" s="274">
        <v>65.3</v>
      </c>
      <c r="N150" s="396">
        <v>599.79999999999995</v>
      </c>
      <c r="O150" s="396">
        <v>11.5</v>
      </c>
      <c r="P150" s="396">
        <v>11.4</v>
      </c>
      <c r="Q150" s="397">
        <v>9.7916666666666693E-2</v>
      </c>
      <c r="R150" s="396"/>
      <c r="S150" s="400"/>
      <c r="T150" s="409"/>
      <c r="U150" s="398" t="str">
        <f t="shared" si="9"/>
        <v/>
      </c>
      <c r="V150" s="400"/>
      <c r="W150" s="410">
        <f t="shared" si="8"/>
        <v>11.5</v>
      </c>
      <c r="X150" s="472"/>
      <c r="AT150" s="232"/>
      <c r="AV150" s="198"/>
      <c r="AW150" s="274"/>
    </row>
    <row r="151" spans="2:49" x14ac:dyDescent="0.25">
      <c r="B151" s="274">
        <v>12.9</v>
      </c>
      <c r="C151" s="274">
        <v>90</v>
      </c>
      <c r="D151" s="274">
        <v>12.9</v>
      </c>
      <c r="E151" s="274">
        <v>0</v>
      </c>
      <c r="F151" s="274">
        <v>0</v>
      </c>
      <c r="G151" s="274">
        <v>9</v>
      </c>
      <c r="H151" s="274">
        <v>1023.3</v>
      </c>
      <c r="I151" s="274">
        <v>0</v>
      </c>
      <c r="J151" s="274">
        <v>0</v>
      </c>
      <c r="K151" s="274">
        <v>0</v>
      </c>
      <c r="L151" s="274">
        <v>0</v>
      </c>
      <c r="M151" s="274">
        <v>65.3</v>
      </c>
      <c r="N151" s="396">
        <v>599.79999999999995</v>
      </c>
      <c r="O151" s="396">
        <v>11.5</v>
      </c>
      <c r="P151" s="396">
        <v>11.4</v>
      </c>
      <c r="Q151" s="397">
        <v>9.8611111111111094E-2</v>
      </c>
      <c r="R151" s="396"/>
      <c r="S151" s="400"/>
      <c r="T151" s="409"/>
      <c r="U151" s="398" t="str">
        <f t="shared" si="9"/>
        <v/>
      </c>
      <c r="V151" s="400"/>
      <c r="W151" s="410">
        <f t="shared" si="8"/>
        <v>11.5</v>
      </c>
      <c r="X151" s="472"/>
      <c r="AT151" s="232"/>
      <c r="AV151" s="198"/>
      <c r="AW151" s="274"/>
    </row>
    <row r="152" spans="2:49" x14ac:dyDescent="0.25">
      <c r="B152" s="274">
        <v>12.9</v>
      </c>
      <c r="C152" s="274">
        <v>91</v>
      </c>
      <c r="D152" s="274">
        <v>12.9</v>
      </c>
      <c r="E152" s="274">
        <v>1.4</v>
      </c>
      <c r="F152" s="274">
        <v>1.8</v>
      </c>
      <c r="G152" s="274">
        <v>9</v>
      </c>
      <c r="H152" s="274">
        <v>1023.1</v>
      </c>
      <c r="I152" s="274">
        <v>0</v>
      </c>
      <c r="J152" s="274">
        <v>0</v>
      </c>
      <c r="K152" s="274">
        <v>0</v>
      </c>
      <c r="L152" s="274">
        <v>0</v>
      </c>
      <c r="M152" s="274">
        <v>65.3</v>
      </c>
      <c r="N152" s="396">
        <v>599.79999999999995</v>
      </c>
      <c r="O152" s="396">
        <v>11.5</v>
      </c>
      <c r="P152" s="396">
        <v>11.4</v>
      </c>
      <c r="Q152" s="397">
        <v>9.9305555555555605E-2</v>
      </c>
      <c r="R152" s="396"/>
      <c r="S152" s="400"/>
      <c r="T152" s="409"/>
      <c r="U152" s="398" t="str">
        <f t="shared" si="9"/>
        <v/>
      </c>
      <c r="V152" s="400"/>
      <c r="W152" s="410">
        <f t="shared" si="8"/>
        <v>11.5</v>
      </c>
      <c r="X152" s="472"/>
      <c r="AT152" s="232"/>
      <c r="AV152" s="198"/>
      <c r="AW152" s="274"/>
    </row>
    <row r="153" spans="2:49" x14ac:dyDescent="0.25">
      <c r="B153" s="274">
        <v>12.9</v>
      </c>
      <c r="C153" s="274">
        <v>91</v>
      </c>
      <c r="D153" s="274">
        <v>12.9</v>
      </c>
      <c r="E153" s="274">
        <v>1.1000000000000001</v>
      </c>
      <c r="F153" s="274">
        <v>1.8</v>
      </c>
      <c r="G153" s="274">
        <v>9</v>
      </c>
      <c r="H153" s="274">
        <v>1023.3</v>
      </c>
      <c r="I153" s="274">
        <v>0</v>
      </c>
      <c r="J153" s="274">
        <v>0</v>
      </c>
      <c r="K153" s="274">
        <v>0</v>
      </c>
      <c r="L153" s="274">
        <v>0</v>
      </c>
      <c r="M153" s="274">
        <v>65.3</v>
      </c>
      <c r="N153" s="396">
        <v>599.79999999999995</v>
      </c>
      <c r="O153" s="396">
        <v>11.5</v>
      </c>
      <c r="P153" s="396">
        <v>11.4</v>
      </c>
      <c r="Q153" s="397">
        <v>0.1</v>
      </c>
      <c r="R153" s="396"/>
      <c r="S153" s="400"/>
      <c r="T153" s="409"/>
      <c r="U153" s="398" t="str">
        <f t="shared" si="9"/>
        <v/>
      </c>
      <c r="V153" s="400"/>
      <c r="W153" s="410">
        <f t="shared" si="8"/>
        <v>11.5</v>
      </c>
      <c r="X153" s="472"/>
      <c r="AT153" s="232"/>
      <c r="AV153" s="198"/>
      <c r="AW153" s="274"/>
    </row>
    <row r="154" spans="2:49" x14ac:dyDescent="0.25">
      <c r="B154" s="274">
        <v>12.9</v>
      </c>
      <c r="C154" s="274">
        <v>91</v>
      </c>
      <c r="D154" s="274">
        <v>12.9</v>
      </c>
      <c r="E154" s="274">
        <v>1.1000000000000001</v>
      </c>
      <c r="F154" s="274">
        <v>1.8</v>
      </c>
      <c r="G154" s="274">
        <v>9</v>
      </c>
      <c r="H154" s="274">
        <v>1023.1</v>
      </c>
      <c r="I154" s="274">
        <v>0</v>
      </c>
      <c r="J154" s="274">
        <v>0</v>
      </c>
      <c r="K154" s="274">
        <v>0</v>
      </c>
      <c r="L154" s="274">
        <v>0</v>
      </c>
      <c r="M154" s="274">
        <v>65.3</v>
      </c>
      <c r="N154" s="396">
        <v>599.79999999999995</v>
      </c>
      <c r="O154" s="396">
        <v>11.5</v>
      </c>
      <c r="P154" s="396">
        <v>11.4</v>
      </c>
      <c r="Q154" s="397">
        <v>0.100694444444444</v>
      </c>
      <c r="R154" s="396"/>
      <c r="S154" s="400"/>
      <c r="T154" s="409"/>
      <c r="U154" s="398" t="str">
        <f t="shared" si="9"/>
        <v/>
      </c>
      <c r="V154" s="400"/>
      <c r="W154" s="410">
        <f t="shared" si="8"/>
        <v>11.5</v>
      </c>
      <c r="X154" s="472"/>
      <c r="AT154" s="232"/>
      <c r="AV154" s="198"/>
      <c r="AW154" s="274"/>
    </row>
    <row r="155" spans="2:49" x14ac:dyDescent="0.25">
      <c r="B155" s="274">
        <v>12.9</v>
      </c>
      <c r="C155" s="274">
        <v>91</v>
      </c>
      <c r="D155" s="274">
        <v>12.9</v>
      </c>
      <c r="E155" s="274">
        <v>0</v>
      </c>
      <c r="F155" s="274">
        <v>0</v>
      </c>
      <c r="G155" s="274">
        <v>9</v>
      </c>
      <c r="H155" s="274">
        <v>1023.4</v>
      </c>
      <c r="I155" s="274">
        <v>0</v>
      </c>
      <c r="J155" s="274">
        <v>0</v>
      </c>
      <c r="K155" s="274">
        <v>0</v>
      </c>
      <c r="L155" s="274">
        <v>0</v>
      </c>
      <c r="M155" s="274">
        <v>65.3</v>
      </c>
      <c r="N155" s="396">
        <v>599.79999999999995</v>
      </c>
      <c r="O155" s="396">
        <v>11.5</v>
      </c>
      <c r="P155" s="396">
        <v>11.4</v>
      </c>
      <c r="Q155" s="397">
        <v>0.101388888888889</v>
      </c>
      <c r="R155" s="396"/>
      <c r="S155" s="400"/>
      <c r="T155" s="409"/>
      <c r="U155" s="398" t="str">
        <f t="shared" si="9"/>
        <v/>
      </c>
      <c r="V155" s="400"/>
      <c r="W155" s="410">
        <f t="shared" si="8"/>
        <v>11.5</v>
      </c>
      <c r="X155" s="472"/>
      <c r="AT155" s="232"/>
      <c r="AV155" s="198"/>
      <c r="AW155" s="274"/>
    </row>
    <row r="156" spans="2:49" x14ac:dyDescent="0.25">
      <c r="B156" s="274">
        <v>12.9</v>
      </c>
      <c r="C156" s="274">
        <v>91</v>
      </c>
      <c r="D156" s="274">
        <v>12.9</v>
      </c>
      <c r="E156" s="274">
        <v>0</v>
      </c>
      <c r="F156" s="274">
        <v>0</v>
      </c>
      <c r="G156" s="274">
        <v>9</v>
      </c>
      <c r="H156" s="274">
        <v>1023.3</v>
      </c>
      <c r="I156" s="274">
        <v>0</v>
      </c>
      <c r="J156" s="274">
        <v>0</v>
      </c>
      <c r="K156" s="274">
        <v>0</v>
      </c>
      <c r="L156" s="274">
        <v>0</v>
      </c>
      <c r="M156" s="274">
        <v>65.3</v>
      </c>
      <c r="N156" s="396">
        <v>599.79999999999995</v>
      </c>
      <c r="O156" s="396">
        <v>11.5</v>
      </c>
      <c r="P156" s="396">
        <v>11.4</v>
      </c>
      <c r="Q156" s="397">
        <v>0.102083333333333</v>
      </c>
      <c r="R156" s="396"/>
      <c r="S156" s="400"/>
      <c r="T156" s="409"/>
      <c r="U156" s="398" t="str">
        <f t="shared" si="9"/>
        <v/>
      </c>
      <c r="V156" s="400"/>
      <c r="W156" s="410">
        <f t="shared" si="8"/>
        <v>11.5</v>
      </c>
      <c r="X156" s="472"/>
      <c r="AT156" s="232"/>
      <c r="AV156" s="198"/>
      <c r="AW156" s="274"/>
    </row>
    <row r="157" spans="2:49" x14ac:dyDescent="0.25">
      <c r="B157" s="274">
        <v>12.9</v>
      </c>
      <c r="C157" s="274">
        <v>91</v>
      </c>
      <c r="D157" s="274">
        <v>12.9</v>
      </c>
      <c r="E157" s="274">
        <v>0</v>
      </c>
      <c r="F157" s="274">
        <v>0</v>
      </c>
      <c r="G157" s="274">
        <v>9</v>
      </c>
      <c r="H157" s="274">
        <v>1023.2</v>
      </c>
      <c r="I157" s="274">
        <v>0</v>
      </c>
      <c r="J157" s="274">
        <v>0</v>
      </c>
      <c r="K157" s="274">
        <v>0</v>
      </c>
      <c r="L157" s="274">
        <v>0</v>
      </c>
      <c r="M157" s="274">
        <v>65.3</v>
      </c>
      <c r="N157" s="396">
        <v>599.79999999999995</v>
      </c>
      <c r="O157" s="396">
        <v>11.5</v>
      </c>
      <c r="P157" s="396">
        <v>11.4</v>
      </c>
      <c r="Q157" s="397">
        <v>0.102777777777778</v>
      </c>
      <c r="R157" s="396"/>
      <c r="S157" s="400"/>
      <c r="T157" s="409"/>
      <c r="U157" s="398" t="str">
        <f t="shared" si="9"/>
        <v/>
      </c>
      <c r="V157" s="400"/>
      <c r="W157" s="410">
        <f t="shared" si="8"/>
        <v>11.5</v>
      </c>
      <c r="X157" s="472"/>
      <c r="AT157" s="232"/>
      <c r="AV157" s="198"/>
      <c r="AW157" s="274"/>
    </row>
    <row r="158" spans="2:49" x14ac:dyDescent="0.25">
      <c r="B158" s="274">
        <v>12.9</v>
      </c>
      <c r="C158" s="274">
        <v>91</v>
      </c>
      <c r="D158" s="274">
        <v>12.9</v>
      </c>
      <c r="E158" s="274">
        <v>0</v>
      </c>
      <c r="F158" s="274">
        <v>0</v>
      </c>
      <c r="G158" s="274">
        <v>9</v>
      </c>
      <c r="H158" s="274">
        <v>1023.4</v>
      </c>
      <c r="I158" s="274">
        <v>0</v>
      </c>
      <c r="J158" s="274">
        <v>0</v>
      </c>
      <c r="K158" s="274">
        <v>0</v>
      </c>
      <c r="L158" s="274">
        <v>0</v>
      </c>
      <c r="M158" s="274">
        <v>65.3</v>
      </c>
      <c r="N158" s="396">
        <v>599.79999999999995</v>
      </c>
      <c r="O158" s="396">
        <v>11.5</v>
      </c>
      <c r="P158" s="396">
        <v>11.4</v>
      </c>
      <c r="Q158" s="397">
        <v>0.10347222222222199</v>
      </c>
      <c r="R158" s="396"/>
      <c r="S158" s="400"/>
      <c r="T158" s="409"/>
      <c r="U158" s="398" t="str">
        <f t="shared" si="9"/>
        <v/>
      </c>
      <c r="V158" s="400"/>
      <c r="W158" s="410">
        <f t="shared" si="8"/>
        <v>11.5</v>
      </c>
      <c r="X158" s="472"/>
      <c r="AT158" s="232"/>
      <c r="AV158" s="198"/>
      <c r="AW158" s="274"/>
    </row>
    <row r="159" spans="2:49" x14ac:dyDescent="0.25">
      <c r="B159" s="274">
        <v>12.9</v>
      </c>
      <c r="C159" s="274">
        <v>91</v>
      </c>
      <c r="D159" s="274">
        <v>12.9</v>
      </c>
      <c r="E159" s="274">
        <v>0</v>
      </c>
      <c r="F159" s="274">
        <v>0</v>
      </c>
      <c r="G159" s="274">
        <v>9</v>
      </c>
      <c r="H159" s="274">
        <v>1023.3</v>
      </c>
      <c r="I159" s="274">
        <v>0</v>
      </c>
      <c r="J159" s="274">
        <v>0</v>
      </c>
      <c r="K159" s="274">
        <v>0</v>
      </c>
      <c r="L159" s="274">
        <v>0</v>
      </c>
      <c r="M159" s="274">
        <v>65.3</v>
      </c>
      <c r="N159" s="396">
        <v>599.79999999999995</v>
      </c>
      <c r="O159" s="396">
        <v>11.4</v>
      </c>
      <c r="P159" s="396">
        <v>11.4</v>
      </c>
      <c r="Q159" s="397">
        <v>0.104166666666667</v>
      </c>
      <c r="R159" s="396"/>
      <c r="S159" s="400"/>
      <c r="T159" s="409"/>
      <c r="U159" s="398" t="str">
        <f t="shared" si="9"/>
        <v/>
      </c>
      <c r="V159" s="400"/>
      <c r="W159" s="410">
        <f t="shared" si="8"/>
        <v>11.4</v>
      </c>
      <c r="X159" s="472"/>
      <c r="AT159" s="232"/>
      <c r="AV159" s="198"/>
      <c r="AW159" s="274"/>
    </row>
    <row r="160" spans="2:49" x14ac:dyDescent="0.25">
      <c r="B160" s="274">
        <v>12.8</v>
      </c>
      <c r="C160" s="274">
        <v>91</v>
      </c>
      <c r="D160" s="274">
        <v>12.8</v>
      </c>
      <c r="E160" s="274">
        <v>0.4</v>
      </c>
      <c r="F160" s="274">
        <v>1.8</v>
      </c>
      <c r="G160" s="274">
        <v>9</v>
      </c>
      <c r="H160" s="274">
        <v>1023.4</v>
      </c>
      <c r="I160" s="274">
        <v>0</v>
      </c>
      <c r="J160" s="274">
        <v>0</v>
      </c>
      <c r="K160" s="274">
        <v>0</v>
      </c>
      <c r="L160" s="274">
        <v>0</v>
      </c>
      <c r="M160" s="274">
        <v>65.3</v>
      </c>
      <c r="N160" s="396">
        <v>599.79999999999995</v>
      </c>
      <c r="O160" s="396">
        <v>11.4</v>
      </c>
      <c r="P160" s="396">
        <v>11.4</v>
      </c>
      <c r="Q160" s="397">
        <v>0.104861111111111</v>
      </c>
      <c r="R160" s="396"/>
      <c r="S160" s="400"/>
      <c r="T160" s="409"/>
      <c r="U160" s="398" t="str">
        <f t="shared" si="9"/>
        <v/>
      </c>
      <c r="V160" s="400"/>
      <c r="W160" s="410">
        <f t="shared" si="8"/>
        <v>11.4</v>
      </c>
      <c r="X160" s="472"/>
      <c r="AT160" s="232"/>
      <c r="AV160" s="198"/>
      <c r="AW160" s="274"/>
    </row>
    <row r="161" spans="2:49" x14ac:dyDescent="0.25">
      <c r="B161" s="274">
        <v>12.8</v>
      </c>
      <c r="C161" s="274">
        <v>91</v>
      </c>
      <c r="D161" s="274">
        <v>12.8</v>
      </c>
      <c r="E161" s="274">
        <v>0</v>
      </c>
      <c r="F161" s="274">
        <v>0</v>
      </c>
      <c r="G161" s="274">
        <v>9</v>
      </c>
      <c r="H161" s="274">
        <v>1023.2</v>
      </c>
      <c r="I161" s="274">
        <v>0</v>
      </c>
      <c r="J161" s="274">
        <v>0</v>
      </c>
      <c r="K161" s="274">
        <v>0</v>
      </c>
      <c r="L161" s="274">
        <v>0</v>
      </c>
      <c r="M161" s="274">
        <v>65.3</v>
      </c>
      <c r="N161" s="396">
        <v>599.79999999999995</v>
      </c>
      <c r="O161" s="396">
        <v>11.4</v>
      </c>
      <c r="P161" s="396">
        <v>11.4</v>
      </c>
      <c r="Q161" s="397">
        <v>0.105555555555556</v>
      </c>
      <c r="R161" s="396"/>
      <c r="S161" s="400"/>
      <c r="T161" s="409"/>
      <c r="U161" s="398" t="str">
        <f t="shared" si="9"/>
        <v/>
      </c>
      <c r="V161" s="400"/>
      <c r="W161" s="410">
        <f t="shared" si="8"/>
        <v>11.4</v>
      </c>
      <c r="X161" s="472"/>
      <c r="AT161" s="232"/>
      <c r="AV161" s="198"/>
      <c r="AW161" s="274"/>
    </row>
    <row r="162" spans="2:49" x14ac:dyDescent="0.25">
      <c r="B162" s="274">
        <v>12.8</v>
      </c>
      <c r="C162" s="274">
        <v>91</v>
      </c>
      <c r="D162" s="274">
        <v>12.8</v>
      </c>
      <c r="E162" s="274">
        <v>0</v>
      </c>
      <c r="F162" s="274">
        <v>0</v>
      </c>
      <c r="G162" s="274">
        <v>9</v>
      </c>
      <c r="H162" s="274">
        <v>1023.3</v>
      </c>
      <c r="I162" s="274">
        <v>0</v>
      </c>
      <c r="J162" s="274">
        <v>0</v>
      </c>
      <c r="K162" s="274">
        <v>0</v>
      </c>
      <c r="L162" s="274">
        <v>0</v>
      </c>
      <c r="M162" s="274">
        <v>65.3</v>
      </c>
      <c r="N162" s="396">
        <v>599.79999999999995</v>
      </c>
      <c r="O162" s="396">
        <v>11.4</v>
      </c>
      <c r="P162" s="396">
        <v>11.4</v>
      </c>
      <c r="Q162" s="397">
        <v>0.10625</v>
      </c>
      <c r="R162" s="396"/>
      <c r="S162" s="400"/>
      <c r="T162" s="409"/>
      <c r="U162" s="398" t="str">
        <f t="shared" si="9"/>
        <v/>
      </c>
      <c r="V162" s="400"/>
      <c r="W162" s="410">
        <f t="shared" si="8"/>
        <v>11.4</v>
      </c>
      <c r="X162" s="472"/>
      <c r="AT162" s="232"/>
      <c r="AV162" s="198"/>
      <c r="AW162" s="274"/>
    </row>
    <row r="163" spans="2:49" x14ac:dyDescent="0.25">
      <c r="B163" s="274">
        <v>12.8</v>
      </c>
      <c r="C163" s="274">
        <v>91</v>
      </c>
      <c r="D163" s="274">
        <v>12.8</v>
      </c>
      <c r="E163" s="274">
        <v>0</v>
      </c>
      <c r="F163" s="274">
        <v>0</v>
      </c>
      <c r="G163" s="274">
        <v>9</v>
      </c>
      <c r="H163" s="274">
        <v>1023.6</v>
      </c>
      <c r="I163" s="274">
        <v>0</v>
      </c>
      <c r="J163" s="274">
        <v>0</v>
      </c>
      <c r="K163" s="274">
        <v>0</v>
      </c>
      <c r="L163" s="274">
        <v>0</v>
      </c>
      <c r="M163" s="274">
        <v>65.3</v>
      </c>
      <c r="N163" s="396">
        <v>599.79999999999995</v>
      </c>
      <c r="O163" s="396">
        <v>11.4</v>
      </c>
      <c r="P163" s="396">
        <v>11.4</v>
      </c>
      <c r="Q163" s="397">
        <v>0.106944444444444</v>
      </c>
      <c r="R163" s="396"/>
      <c r="S163" s="400"/>
      <c r="T163" s="409"/>
      <c r="U163" s="398" t="str">
        <f t="shared" si="9"/>
        <v/>
      </c>
      <c r="V163" s="400"/>
      <c r="W163" s="410">
        <f t="shared" si="8"/>
        <v>11.4</v>
      </c>
      <c r="X163" s="472"/>
      <c r="AT163" s="232"/>
      <c r="AV163" s="198"/>
      <c r="AW163" s="274"/>
    </row>
    <row r="164" spans="2:49" x14ac:dyDescent="0.25">
      <c r="B164" s="274">
        <v>12.8</v>
      </c>
      <c r="C164" s="274">
        <v>91</v>
      </c>
      <c r="D164" s="274">
        <v>12.8</v>
      </c>
      <c r="E164" s="274">
        <v>0</v>
      </c>
      <c r="F164" s="274">
        <v>0</v>
      </c>
      <c r="G164" s="274">
        <v>9</v>
      </c>
      <c r="H164" s="274">
        <v>1023.3</v>
      </c>
      <c r="I164" s="274">
        <v>0</v>
      </c>
      <c r="J164" s="274">
        <v>0</v>
      </c>
      <c r="K164" s="274">
        <v>0</v>
      </c>
      <c r="L164" s="274">
        <v>0</v>
      </c>
      <c r="M164" s="274">
        <v>65.3</v>
      </c>
      <c r="N164" s="396">
        <v>599.79999999999995</v>
      </c>
      <c r="O164" s="396">
        <v>11.4</v>
      </c>
      <c r="P164" s="396">
        <v>11.4</v>
      </c>
      <c r="Q164" s="397">
        <v>0.10763888888888901</v>
      </c>
      <c r="R164" s="396"/>
      <c r="S164" s="400"/>
      <c r="T164" s="409"/>
      <c r="U164" s="398" t="str">
        <f t="shared" si="9"/>
        <v/>
      </c>
      <c r="V164" s="400"/>
      <c r="W164" s="410">
        <f t="shared" si="8"/>
        <v>11.4</v>
      </c>
      <c r="X164" s="472"/>
      <c r="AT164" s="232"/>
      <c r="AV164" s="198"/>
      <c r="AW164" s="274"/>
    </row>
    <row r="165" spans="2:49" x14ac:dyDescent="0.25">
      <c r="B165" s="274">
        <v>12.8</v>
      </c>
      <c r="C165" s="274">
        <v>91</v>
      </c>
      <c r="D165" s="274">
        <v>12.8</v>
      </c>
      <c r="E165" s="274">
        <v>0.4</v>
      </c>
      <c r="F165" s="274">
        <v>1.8</v>
      </c>
      <c r="G165" s="274">
        <v>9</v>
      </c>
      <c r="H165" s="274">
        <v>1023.1</v>
      </c>
      <c r="I165" s="274">
        <v>0</v>
      </c>
      <c r="J165" s="274">
        <v>0</v>
      </c>
      <c r="K165" s="274">
        <v>0</v>
      </c>
      <c r="L165" s="274">
        <v>0</v>
      </c>
      <c r="M165" s="274">
        <v>65.3</v>
      </c>
      <c r="N165" s="396">
        <v>599.79999999999995</v>
      </c>
      <c r="O165" s="396">
        <v>11.4</v>
      </c>
      <c r="P165" s="396">
        <v>11.4</v>
      </c>
      <c r="Q165" s="397">
        <v>0.108333333333333</v>
      </c>
      <c r="R165" s="396"/>
      <c r="S165" s="400"/>
      <c r="T165" s="409"/>
      <c r="U165" s="398" t="str">
        <f t="shared" si="9"/>
        <v/>
      </c>
      <c r="V165" s="400"/>
      <c r="W165" s="410">
        <f t="shared" si="8"/>
        <v>11.4</v>
      </c>
      <c r="X165" s="472"/>
      <c r="AT165" s="232"/>
      <c r="AV165" s="198"/>
      <c r="AW165" s="274"/>
    </row>
    <row r="166" spans="2:49" x14ac:dyDescent="0.25">
      <c r="B166" s="274">
        <v>12.8</v>
      </c>
      <c r="C166" s="274">
        <v>91</v>
      </c>
      <c r="D166" s="274">
        <v>12.8</v>
      </c>
      <c r="E166" s="274">
        <v>0</v>
      </c>
      <c r="F166" s="274">
        <v>0</v>
      </c>
      <c r="G166" s="274">
        <v>9</v>
      </c>
      <c r="H166" s="274">
        <v>1023.3</v>
      </c>
      <c r="I166" s="274">
        <v>0</v>
      </c>
      <c r="J166" s="274">
        <v>0</v>
      </c>
      <c r="K166" s="274">
        <v>0</v>
      </c>
      <c r="L166" s="274">
        <v>0</v>
      </c>
      <c r="M166" s="274">
        <v>65.3</v>
      </c>
      <c r="N166" s="396">
        <v>599.79999999999995</v>
      </c>
      <c r="O166" s="396">
        <v>11.4</v>
      </c>
      <c r="P166" s="396">
        <v>11.3</v>
      </c>
      <c r="Q166" s="397">
        <v>0.109027777777778</v>
      </c>
      <c r="R166" s="396"/>
      <c r="S166" s="400"/>
      <c r="T166" s="409"/>
      <c r="U166" s="398" t="str">
        <f t="shared" si="9"/>
        <v/>
      </c>
      <c r="V166" s="400"/>
      <c r="W166" s="410">
        <f t="shared" si="8"/>
        <v>11.4</v>
      </c>
      <c r="X166" s="472"/>
      <c r="AT166" s="232"/>
      <c r="AV166" s="198"/>
      <c r="AW166" s="274"/>
    </row>
    <row r="167" spans="2:49" x14ac:dyDescent="0.25">
      <c r="B167" s="274">
        <v>12.8</v>
      </c>
      <c r="C167" s="274">
        <v>91</v>
      </c>
      <c r="D167" s="274">
        <v>12.8</v>
      </c>
      <c r="E167" s="274">
        <v>0.4</v>
      </c>
      <c r="F167" s="274">
        <v>1.8</v>
      </c>
      <c r="G167" s="274">
        <v>9</v>
      </c>
      <c r="H167" s="274">
        <v>1023.4</v>
      </c>
      <c r="I167" s="274">
        <v>0</v>
      </c>
      <c r="J167" s="274">
        <v>0</v>
      </c>
      <c r="K167" s="274">
        <v>0</v>
      </c>
      <c r="L167" s="274">
        <v>0</v>
      </c>
      <c r="M167" s="274">
        <v>65.3</v>
      </c>
      <c r="N167" s="396">
        <v>599.79999999999995</v>
      </c>
      <c r="O167" s="396">
        <v>11.4</v>
      </c>
      <c r="P167" s="396">
        <v>11.3</v>
      </c>
      <c r="Q167" s="397">
        <v>0.109722222222222</v>
      </c>
      <c r="R167" s="396"/>
      <c r="S167" s="400"/>
      <c r="T167" s="409"/>
      <c r="U167" s="398" t="str">
        <f t="shared" si="9"/>
        <v/>
      </c>
      <c r="V167" s="400"/>
      <c r="W167" s="410">
        <f t="shared" si="8"/>
        <v>11.4</v>
      </c>
      <c r="X167" s="472"/>
      <c r="AT167" s="232"/>
      <c r="AV167" s="198"/>
      <c r="AW167" s="274"/>
    </row>
    <row r="168" spans="2:49" x14ac:dyDescent="0.25">
      <c r="B168" s="274">
        <v>12.8</v>
      </c>
      <c r="C168" s="274">
        <v>91</v>
      </c>
      <c r="D168" s="274">
        <v>12.8</v>
      </c>
      <c r="E168" s="274">
        <v>0</v>
      </c>
      <c r="F168" s="274">
        <v>0</v>
      </c>
      <c r="G168" s="274">
        <v>9</v>
      </c>
      <c r="H168" s="274">
        <v>1023.3</v>
      </c>
      <c r="I168" s="274">
        <v>0</v>
      </c>
      <c r="J168" s="274">
        <v>0</v>
      </c>
      <c r="K168" s="274">
        <v>0</v>
      </c>
      <c r="L168" s="274">
        <v>0</v>
      </c>
      <c r="M168" s="274">
        <v>65.3</v>
      </c>
      <c r="N168" s="396">
        <v>599.79999999999995</v>
      </c>
      <c r="O168" s="396">
        <v>11.3</v>
      </c>
      <c r="P168" s="396">
        <v>11.4</v>
      </c>
      <c r="Q168" s="397">
        <v>0.110416666666667</v>
      </c>
      <c r="R168" s="396"/>
      <c r="S168" s="400"/>
      <c r="T168" s="409"/>
      <c r="U168" s="398" t="str">
        <f t="shared" si="9"/>
        <v/>
      </c>
      <c r="V168" s="400"/>
      <c r="W168" s="410">
        <f t="shared" si="8"/>
        <v>11.4</v>
      </c>
      <c r="X168" s="472"/>
      <c r="AT168" s="232"/>
      <c r="AV168" s="198"/>
      <c r="AW168" s="274"/>
    </row>
    <row r="169" spans="2:49" x14ac:dyDescent="0.25">
      <c r="B169" s="274">
        <v>12.8</v>
      </c>
      <c r="C169" s="274">
        <v>91</v>
      </c>
      <c r="D169" s="274">
        <v>12.8</v>
      </c>
      <c r="E169" s="274">
        <v>0</v>
      </c>
      <c r="F169" s="274">
        <v>0</v>
      </c>
      <c r="G169" s="274">
        <v>9</v>
      </c>
      <c r="H169" s="274">
        <v>1023.3</v>
      </c>
      <c r="I169" s="274">
        <v>0</v>
      </c>
      <c r="J169" s="274">
        <v>0</v>
      </c>
      <c r="K169" s="274">
        <v>0</v>
      </c>
      <c r="L169" s="274">
        <v>0</v>
      </c>
      <c r="M169" s="274">
        <v>65.3</v>
      </c>
      <c r="N169" s="396">
        <v>599.79999999999995</v>
      </c>
      <c r="O169" s="396">
        <v>11.3</v>
      </c>
      <c r="P169" s="396">
        <v>11.4</v>
      </c>
      <c r="Q169" s="397">
        <v>0.11111111111111099</v>
      </c>
      <c r="R169" s="396"/>
      <c r="S169" s="400"/>
      <c r="T169" s="409"/>
      <c r="U169" s="398" t="str">
        <f t="shared" si="9"/>
        <v/>
      </c>
      <c r="V169" s="400"/>
      <c r="W169" s="410">
        <f t="shared" si="8"/>
        <v>11.4</v>
      </c>
      <c r="X169" s="472"/>
      <c r="AT169" s="232"/>
      <c r="AV169" s="198"/>
      <c r="AW169" s="274"/>
    </row>
    <row r="170" spans="2:49" x14ac:dyDescent="0.25">
      <c r="B170" s="274">
        <v>12.8</v>
      </c>
      <c r="C170" s="274">
        <v>91</v>
      </c>
      <c r="D170" s="274">
        <v>12.8</v>
      </c>
      <c r="E170" s="274">
        <v>1.4</v>
      </c>
      <c r="F170" s="274">
        <v>1.8</v>
      </c>
      <c r="G170" s="274">
        <v>9</v>
      </c>
      <c r="H170" s="274">
        <v>1023.3</v>
      </c>
      <c r="I170" s="274">
        <v>0</v>
      </c>
      <c r="J170" s="274">
        <v>0</v>
      </c>
      <c r="K170" s="274">
        <v>0</v>
      </c>
      <c r="L170" s="274">
        <v>0</v>
      </c>
      <c r="M170" s="274">
        <v>65.3</v>
      </c>
      <c r="N170" s="396">
        <v>599.79999999999995</v>
      </c>
      <c r="O170" s="396">
        <v>11.3</v>
      </c>
      <c r="P170" s="396">
        <v>11.4</v>
      </c>
      <c r="Q170" s="397">
        <v>0.111805555555556</v>
      </c>
      <c r="R170" s="396"/>
      <c r="S170" s="400"/>
      <c r="T170" s="409"/>
      <c r="U170" s="398" t="str">
        <f t="shared" si="9"/>
        <v/>
      </c>
      <c r="V170" s="400"/>
      <c r="W170" s="410">
        <f t="shared" si="8"/>
        <v>11.4</v>
      </c>
      <c r="X170" s="472"/>
      <c r="AT170" s="232"/>
      <c r="AV170" s="198"/>
      <c r="AW170" s="274"/>
    </row>
    <row r="171" spans="2:49" x14ac:dyDescent="0.25">
      <c r="B171" s="274">
        <v>12.8</v>
      </c>
      <c r="C171" s="274">
        <v>91</v>
      </c>
      <c r="D171" s="274">
        <v>12.8</v>
      </c>
      <c r="E171" s="274">
        <v>0</v>
      </c>
      <c r="F171" s="274">
        <v>0</v>
      </c>
      <c r="G171" s="274">
        <v>9</v>
      </c>
      <c r="H171" s="274">
        <v>1023.4</v>
      </c>
      <c r="I171" s="274">
        <v>0</v>
      </c>
      <c r="J171" s="274">
        <v>0</v>
      </c>
      <c r="K171" s="274">
        <v>0</v>
      </c>
      <c r="L171" s="274">
        <v>0</v>
      </c>
      <c r="M171" s="274">
        <v>65.3</v>
      </c>
      <c r="N171" s="396">
        <v>599.79999999999995</v>
      </c>
      <c r="O171" s="396">
        <v>11.4</v>
      </c>
      <c r="P171" s="396">
        <v>11.4</v>
      </c>
      <c r="Q171" s="397">
        <v>0.1125</v>
      </c>
      <c r="R171" s="396"/>
      <c r="S171" s="400"/>
      <c r="T171" s="409"/>
      <c r="U171" s="398" t="str">
        <f t="shared" si="9"/>
        <v/>
      </c>
      <c r="V171" s="400"/>
      <c r="W171" s="410">
        <f t="shared" si="8"/>
        <v>11.4</v>
      </c>
      <c r="X171" s="472"/>
      <c r="AT171" s="232"/>
      <c r="AV171" s="198"/>
      <c r="AW171" s="274"/>
    </row>
    <row r="172" spans="2:49" x14ac:dyDescent="0.25">
      <c r="B172" s="274">
        <v>12.8</v>
      </c>
      <c r="C172" s="274">
        <v>91</v>
      </c>
      <c r="D172" s="274">
        <v>12.8</v>
      </c>
      <c r="E172" s="274">
        <v>0</v>
      </c>
      <c r="F172" s="274">
        <v>0</v>
      </c>
      <c r="G172" s="274">
        <v>9</v>
      </c>
      <c r="H172" s="274">
        <v>1023.5</v>
      </c>
      <c r="I172" s="274">
        <v>0</v>
      </c>
      <c r="J172" s="274">
        <v>0</v>
      </c>
      <c r="K172" s="274">
        <v>0</v>
      </c>
      <c r="L172" s="274">
        <v>0</v>
      </c>
      <c r="M172" s="274">
        <v>65.3</v>
      </c>
      <c r="N172" s="396">
        <v>599.79999999999995</v>
      </c>
      <c r="O172" s="396">
        <v>11.4</v>
      </c>
      <c r="P172" s="396">
        <v>11.4</v>
      </c>
      <c r="Q172" s="397">
        <v>0.113194444444444</v>
      </c>
      <c r="R172" s="396"/>
      <c r="S172" s="400"/>
      <c r="T172" s="409"/>
      <c r="U172" s="398" t="str">
        <f t="shared" si="9"/>
        <v/>
      </c>
      <c r="V172" s="400"/>
      <c r="W172" s="410">
        <f t="shared" si="8"/>
        <v>11.4</v>
      </c>
      <c r="X172" s="472"/>
      <c r="AT172" s="232"/>
      <c r="AV172" s="198"/>
      <c r="AW172" s="274"/>
    </row>
    <row r="173" spans="2:49" x14ac:dyDescent="0.25">
      <c r="B173" s="274">
        <v>12.8</v>
      </c>
      <c r="C173" s="274">
        <v>91</v>
      </c>
      <c r="D173" s="274">
        <v>12.8</v>
      </c>
      <c r="E173" s="274">
        <v>0</v>
      </c>
      <c r="F173" s="274">
        <v>0</v>
      </c>
      <c r="G173" s="274">
        <v>9</v>
      </c>
      <c r="H173" s="274">
        <v>1023.4</v>
      </c>
      <c r="I173" s="274">
        <v>0</v>
      </c>
      <c r="J173" s="274">
        <v>0</v>
      </c>
      <c r="K173" s="274">
        <v>0</v>
      </c>
      <c r="L173" s="274">
        <v>0</v>
      </c>
      <c r="M173" s="274">
        <v>65.3</v>
      </c>
      <c r="N173" s="396">
        <v>599.79999999999995</v>
      </c>
      <c r="O173" s="396">
        <v>11.4</v>
      </c>
      <c r="P173" s="396">
        <v>11.4</v>
      </c>
      <c r="Q173" s="397">
        <v>0.113888888888889</v>
      </c>
      <c r="R173" s="396"/>
      <c r="S173" s="400"/>
      <c r="T173" s="409"/>
      <c r="U173" s="398" t="str">
        <f t="shared" si="9"/>
        <v/>
      </c>
      <c r="V173" s="400"/>
      <c r="W173" s="410">
        <f t="shared" si="8"/>
        <v>11.4</v>
      </c>
      <c r="X173" s="472"/>
      <c r="AT173" s="232"/>
      <c r="AV173" s="198"/>
      <c r="AW173" s="274"/>
    </row>
    <row r="174" spans="2:49" x14ac:dyDescent="0.25">
      <c r="B174" s="274">
        <v>12.8</v>
      </c>
      <c r="C174" s="274">
        <v>91</v>
      </c>
      <c r="D174" s="274">
        <v>12.8</v>
      </c>
      <c r="E174" s="274">
        <v>0</v>
      </c>
      <c r="F174" s="274">
        <v>0</v>
      </c>
      <c r="G174" s="274">
        <v>9</v>
      </c>
      <c r="H174" s="274">
        <v>1023.4</v>
      </c>
      <c r="I174" s="274">
        <v>0</v>
      </c>
      <c r="J174" s="274">
        <v>0</v>
      </c>
      <c r="K174" s="274">
        <v>0</v>
      </c>
      <c r="L174" s="274">
        <v>0</v>
      </c>
      <c r="M174" s="274">
        <v>65.3</v>
      </c>
      <c r="N174" s="396">
        <v>599.79999999999995</v>
      </c>
      <c r="O174" s="396">
        <v>11.4</v>
      </c>
      <c r="P174" s="396">
        <v>11.5</v>
      </c>
      <c r="Q174" s="397">
        <v>0.114583333333333</v>
      </c>
      <c r="R174" s="396"/>
      <c r="S174" s="400"/>
      <c r="T174" s="409"/>
      <c r="U174" s="398" t="str">
        <f t="shared" si="9"/>
        <v/>
      </c>
      <c r="V174" s="400"/>
      <c r="W174" s="410">
        <f t="shared" si="8"/>
        <v>11.5</v>
      </c>
      <c r="X174" s="472"/>
      <c r="AT174" s="232"/>
      <c r="AV174" s="198"/>
      <c r="AW174" s="274"/>
    </row>
    <row r="175" spans="2:49" x14ac:dyDescent="0.25">
      <c r="B175" s="274">
        <v>12.8</v>
      </c>
      <c r="C175" s="274">
        <v>91</v>
      </c>
      <c r="D175" s="274">
        <v>12.8</v>
      </c>
      <c r="E175" s="274">
        <v>0</v>
      </c>
      <c r="F175" s="274">
        <v>0</v>
      </c>
      <c r="G175" s="274">
        <v>9</v>
      </c>
      <c r="H175" s="274">
        <v>1023.5</v>
      </c>
      <c r="I175" s="274">
        <v>0</v>
      </c>
      <c r="J175" s="274">
        <v>0</v>
      </c>
      <c r="K175" s="274">
        <v>0</v>
      </c>
      <c r="L175" s="274">
        <v>0</v>
      </c>
      <c r="M175" s="274">
        <v>65.3</v>
      </c>
      <c r="N175" s="396">
        <v>599.79999999999995</v>
      </c>
      <c r="O175" s="396">
        <v>11.4</v>
      </c>
      <c r="P175" s="396">
        <v>11.5</v>
      </c>
      <c r="Q175" s="397">
        <v>0.11527777777777801</v>
      </c>
      <c r="R175" s="396"/>
      <c r="S175" s="400"/>
      <c r="T175" s="409"/>
      <c r="U175" s="398" t="str">
        <f t="shared" si="9"/>
        <v/>
      </c>
      <c r="V175" s="400"/>
      <c r="W175" s="410">
        <f t="shared" si="8"/>
        <v>11.5</v>
      </c>
      <c r="X175" s="472"/>
      <c r="AT175" s="232"/>
      <c r="AV175" s="198"/>
      <c r="AW175" s="274"/>
    </row>
    <row r="176" spans="2:49" x14ac:dyDescent="0.25">
      <c r="B176" s="274">
        <v>12.8</v>
      </c>
      <c r="C176" s="274">
        <v>91</v>
      </c>
      <c r="D176" s="274">
        <v>12.8</v>
      </c>
      <c r="E176" s="274">
        <v>0</v>
      </c>
      <c r="F176" s="274">
        <v>0</v>
      </c>
      <c r="G176" s="274">
        <v>9</v>
      </c>
      <c r="H176" s="274">
        <v>1023.3</v>
      </c>
      <c r="I176" s="274">
        <v>0</v>
      </c>
      <c r="J176" s="274">
        <v>0</v>
      </c>
      <c r="K176" s="274">
        <v>0</v>
      </c>
      <c r="L176" s="274">
        <v>0</v>
      </c>
      <c r="M176" s="274">
        <v>65.3</v>
      </c>
      <c r="N176" s="396">
        <v>599.79999999999995</v>
      </c>
      <c r="O176" s="396">
        <v>11.4</v>
      </c>
      <c r="P176" s="396">
        <v>11.5</v>
      </c>
      <c r="Q176" s="397">
        <v>0.115972222222222</v>
      </c>
      <c r="R176" s="396"/>
      <c r="S176" s="400"/>
      <c r="T176" s="409"/>
      <c r="U176" s="398" t="str">
        <f t="shared" si="9"/>
        <v/>
      </c>
      <c r="V176" s="400"/>
      <c r="W176" s="410">
        <f t="shared" si="8"/>
        <v>11.5</v>
      </c>
      <c r="X176" s="472"/>
      <c r="AT176" s="232"/>
      <c r="AV176" s="198"/>
      <c r="AW176" s="274"/>
    </row>
    <row r="177" spans="2:49" x14ac:dyDescent="0.25">
      <c r="B177" s="274">
        <v>12.8</v>
      </c>
      <c r="C177" s="274">
        <v>91</v>
      </c>
      <c r="D177" s="274">
        <v>12.8</v>
      </c>
      <c r="E177" s="274">
        <v>0</v>
      </c>
      <c r="F177" s="274">
        <v>0</v>
      </c>
      <c r="G177" s="274">
        <v>9</v>
      </c>
      <c r="H177" s="274">
        <v>1023.4</v>
      </c>
      <c r="I177" s="274">
        <v>0</v>
      </c>
      <c r="J177" s="274">
        <v>0</v>
      </c>
      <c r="K177" s="274">
        <v>0</v>
      </c>
      <c r="L177" s="274">
        <v>0</v>
      </c>
      <c r="M177" s="274">
        <v>65.3</v>
      </c>
      <c r="N177" s="396">
        <v>599.79999999999995</v>
      </c>
      <c r="O177" s="396">
        <v>11.5</v>
      </c>
      <c r="P177" s="396">
        <v>11.5</v>
      </c>
      <c r="Q177" s="397">
        <v>0.116666666666667</v>
      </c>
      <c r="R177" s="396"/>
      <c r="S177" s="400"/>
      <c r="T177" s="409"/>
      <c r="U177" s="398" t="str">
        <f t="shared" si="9"/>
        <v/>
      </c>
      <c r="V177" s="400"/>
      <c r="W177" s="410">
        <f t="shared" si="8"/>
        <v>11.5</v>
      </c>
      <c r="X177" s="472"/>
      <c r="AT177" s="232"/>
      <c r="AV177" s="198"/>
      <c r="AW177" s="274"/>
    </row>
    <row r="178" spans="2:49" x14ac:dyDescent="0.25">
      <c r="B178" s="274">
        <v>12.8</v>
      </c>
      <c r="C178" s="274">
        <v>91</v>
      </c>
      <c r="D178" s="274">
        <v>12.8</v>
      </c>
      <c r="E178" s="274">
        <v>0.4</v>
      </c>
      <c r="F178" s="274">
        <v>1.8</v>
      </c>
      <c r="G178" s="274">
        <v>9</v>
      </c>
      <c r="H178" s="274">
        <v>1023.4</v>
      </c>
      <c r="I178" s="274">
        <v>0</v>
      </c>
      <c r="J178" s="274">
        <v>0</v>
      </c>
      <c r="K178" s="274">
        <v>0</v>
      </c>
      <c r="L178" s="274">
        <v>0</v>
      </c>
      <c r="M178" s="274">
        <v>65.3</v>
      </c>
      <c r="N178" s="396">
        <v>599.79999999999995</v>
      </c>
      <c r="O178" s="396">
        <v>11.5</v>
      </c>
      <c r="P178" s="396">
        <v>11.5</v>
      </c>
      <c r="Q178" s="397">
        <v>0.117361111111111</v>
      </c>
      <c r="R178" s="396"/>
      <c r="S178" s="400"/>
      <c r="T178" s="409"/>
      <c r="U178" s="398" t="str">
        <f t="shared" si="9"/>
        <v/>
      </c>
      <c r="V178" s="400"/>
      <c r="W178" s="410">
        <f t="shared" si="8"/>
        <v>11.5</v>
      </c>
      <c r="X178" s="472"/>
      <c r="AT178" s="232"/>
      <c r="AV178" s="198"/>
      <c r="AW178" s="274"/>
    </row>
    <row r="179" spans="2:49" x14ac:dyDescent="0.25">
      <c r="B179" s="274">
        <v>12.8</v>
      </c>
      <c r="C179" s="274">
        <v>91</v>
      </c>
      <c r="D179" s="274">
        <v>12.8</v>
      </c>
      <c r="E179" s="274">
        <v>0</v>
      </c>
      <c r="F179" s="274">
        <v>0</v>
      </c>
      <c r="G179" s="274">
        <v>9</v>
      </c>
      <c r="H179" s="274">
        <v>1023.4</v>
      </c>
      <c r="I179" s="274">
        <v>0</v>
      </c>
      <c r="J179" s="274">
        <v>0</v>
      </c>
      <c r="K179" s="274">
        <v>0</v>
      </c>
      <c r="L179" s="274">
        <v>0</v>
      </c>
      <c r="M179" s="274">
        <v>65.3</v>
      </c>
      <c r="N179" s="396">
        <v>599.79999999999995</v>
      </c>
      <c r="O179" s="396">
        <v>11.5</v>
      </c>
      <c r="P179" s="396">
        <v>11.5</v>
      </c>
      <c r="Q179" s="397">
        <v>0.118055555555556</v>
      </c>
      <c r="R179" s="396"/>
      <c r="S179" s="400"/>
      <c r="T179" s="409"/>
      <c r="U179" s="398" t="str">
        <f t="shared" si="9"/>
        <v/>
      </c>
      <c r="V179" s="400"/>
      <c r="W179" s="410">
        <f t="shared" si="8"/>
        <v>11.5</v>
      </c>
      <c r="X179" s="472"/>
      <c r="AT179" s="232"/>
      <c r="AV179" s="198"/>
      <c r="AW179" s="274"/>
    </row>
    <row r="180" spans="2:49" x14ac:dyDescent="0.25">
      <c r="B180" s="274">
        <v>12.9</v>
      </c>
      <c r="C180" s="274">
        <v>91</v>
      </c>
      <c r="D180" s="274">
        <v>12.9</v>
      </c>
      <c r="E180" s="274">
        <v>0</v>
      </c>
      <c r="F180" s="274">
        <v>0</v>
      </c>
      <c r="G180" s="274">
        <v>9</v>
      </c>
      <c r="H180" s="274">
        <v>1023.4</v>
      </c>
      <c r="I180" s="274">
        <v>0</v>
      </c>
      <c r="J180" s="274">
        <v>0</v>
      </c>
      <c r="K180" s="274">
        <v>0</v>
      </c>
      <c r="L180" s="274">
        <v>0</v>
      </c>
      <c r="M180" s="274">
        <v>65.3</v>
      </c>
      <c r="N180" s="396">
        <v>599.79999999999995</v>
      </c>
      <c r="O180" s="396">
        <v>11.5</v>
      </c>
      <c r="P180" s="396">
        <v>11.5</v>
      </c>
      <c r="Q180" s="397">
        <v>0.11874999999999999</v>
      </c>
      <c r="R180" s="396"/>
      <c r="S180" s="400"/>
      <c r="T180" s="409"/>
      <c r="U180" s="398" t="str">
        <f t="shared" si="9"/>
        <v/>
      </c>
      <c r="V180" s="400"/>
      <c r="W180" s="410">
        <f t="shared" si="8"/>
        <v>11.5</v>
      </c>
      <c r="X180" s="472"/>
      <c r="AT180" s="232"/>
      <c r="AV180" s="198"/>
      <c r="AW180" s="274"/>
    </row>
    <row r="181" spans="2:49" x14ac:dyDescent="0.25">
      <c r="B181" s="274">
        <v>12.9</v>
      </c>
      <c r="C181" s="274">
        <v>91</v>
      </c>
      <c r="D181" s="274">
        <v>12.9</v>
      </c>
      <c r="E181" s="274">
        <v>1.1000000000000001</v>
      </c>
      <c r="F181" s="274">
        <v>1.8</v>
      </c>
      <c r="G181" s="274">
        <v>9</v>
      </c>
      <c r="H181" s="274">
        <v>1023.6</v>
      </c>
      <c r="I181" s="274">
        <v>0</v>
      </c>
      <c r="J181" s="274">
        <v>0</v>
      </c>
      <c r="K181" s="274">
        <v>0</v>
      </c>
      <c r="L181" s="274">
        <v>0</v>
      </c>
      <c r="M181" s="274">
        <v>65.3</v>
      </c>
      <c r="N181" s="396">
        <v>599.79999999999995</v>
      </c>
      <c r="O181" s="396">
        <v>11.5</v>
      </c>
      <c r="P181" s="396">
        <v>11.5</v>
      </c>
      <c r="Q181" s="397">
        <v>0.11944444444444401</v>
      </c>
      <c r="R181" s="396"/>
      <c r="S181" s="400"/>
      <c r="T181" s="409"/>
      <c r="U181" s="398" t="str">
        <f t="shared" si="9"/>
        <v/>
      </c>
      <c r="V181" s="400"/>
      <c r="W181" s="410">
        <f t="shared" si="8"/>
        <v>11.5</v>
      </c>
      <c r="X181" s="472"/>
      <c r="AT181" s="232"/>
      <c r="AV181" s="198"/>
      <c r="AW181" s="274"/>
    </row>
    <row r="182" spans="2:49" x14ac:dyDescent="0.25">
      <c r="B182" s="274">
        <v>12.9</v>
      </c>
      <c r="C182" s="274">
        <v>91</v>
      </c>
      <c r="D182" s="274">
        <v>12.9</v>
      </c>
      <c r="E182" s="274">
        <v>1.8</v>
      </c>
      <c r="F182" s="274">
        <v>1.8</v>
      </c>
      <c r="G182" s="274">
        <v>9</v>
      </c>
      <c r="H182" s="274">
        <v>1023.2</v>
      </c>
      <c r="I182" s="274">
        <v>0</v>
      </c>
      <c r="J182" s="274">
        <v>0</v>
      </c>
      <c r="K182" s="274">
        <v>0</v>
      </c>
      <c r="L182" s="274">
        <v>0</v>
      </c>
      <c r="M182" s="274">
        <v>65.3</v>
      </c>
      <c r="N182" s="396">
        <v>599.79999999999995</v>
      </c>
      <c r="O182" s="396">
        <v>11.5</v>
      </c>
      <c r="P182" s="396">
        <v>11.6</v>
      </c>
      <c r="Q182" s="397">
        <v>0.120138888888889</v>
      </c>
      <c r="R182" s="396"/>
      <c r="S182" s="400"/>
      <c r="T182" s="409"/>
      <c r="U182" s="398" t="str">
        <f t="shared" si="9"/>
        <v/>
      </c>
      <c r="V182" s="400"/>
      <c r="W182" s="410">
        <f t="shared" si="8"/>
        <v>11.6</v>
      </c>
      <c r="X182" s="472"/>
      <c r="AT182" s="232"/>
      <c r="AV182" s="198"/>
      <c r="AW182" s="274"/>
    </row>
    <row r="183" spans="2:49" x14ac:dyDescent="0.25">
      <c r="B183" s="274">
        <v>12.9</v>
      </c>
      <c r="C183" s="274">
        <v>91</v>
      </c>
      <c r="D183" s="274">
        <v>12.9</v>
      </c>
      <c r="E183" s="274">
        <v>1.8</v>
      </c>
      <c r="F183" s="274">
        <v>1.8</v>
      </c>
      <c r="G183" s="274">
        <v>9</v>
      </c>
      <c r="H183" s="274">
        <v>1023.3</v>
      </c>
      <c r="I183" s="274">
        <v>0</v>
      </c>
      <c r="J183" s="274">
        <v>0</v>
      </c>
      <c r="K183" s="274">
        <v>0</v>
      </c>
      <c r="L183" s="274">
        <v>0</v>
      </c>
      <c r="M183" s="274">
        <v>65.3</v>
      </c>
      <c r="N183" s="396">
        <v>599.79999999999995</v>
      </c>
      <c r="O183" s="396">
        <v>11.6</v>
      </c>
      <c r="P183" s="396">
        <v>11.6</v>
      </c>
      <c r="Q183" s="397">
        <v>0.120833333333333</v>
      </c>
      <c r="R183" s="396"/>
      <c r="S183" s="400"/>
      <c r="T183" s="409"/>
      <c r="U183" s="398" t="str">
        <f t="shared" si="9"/>
        <v/>
      </c>
      <c r="V183" s="400"/>
      <c r="W183" s="410">
        <f t="shared" si="8"/>
        <v>11.6</v>
      </c>
      <c r="X183" s="472"/>
      <c r="Y183" s="200"/>
      <c r="AT183" s="232"/>
      <c r="AV183" s="198"/>
      <c r="AW183" s="274"/>
    </row>
    <row r="184" spans="2:49" x14ac:dyDescent="0.25">
      <c r="B184" s="274">
        <v>12.9</v>
      </c>
      <c r="C184" s="274">
        <v>90</v>
      </c>
      <c r="D184" s="274">
        <v>12.9</v>
      </c>
      <c r="E184" s="274">
        <v>1.1000000000000001</v>
      </c>
      <c r="F184" s="274">
        <v>1.8</v>
      </c>
      <c r="G184" s="274">
        <v>9</v>
      </c>
      <c r="H184" s="274">
        <v>1023.3</v>
      </c>
      <c r="I184" s="274">
        <v>0</v>
      </c>
      <c r="J184" s="274">
        <v>0</v>
      </c>
      <c r="K184" s="274">
        <v>0</v>
      </c>
      <c r="L184" s="274">
        <v>0</v>
      </c>
      <c r="M184" s="274">
        <v>65.3</v>
      </c>
      <c r="N184" s="396">
        <v>599.79999999999995</v>
      </c>
      <c r="O184" s="396">
        <v>11.6</v>
      </c>
      <c r="P184" s="396">
        <v>11.6</v>
      </c>
      <c r="Q184" s="397">
        <v>0.121527777777778</v>
      </c>
      <c r="R184" s="396"/>
      <c r="S184" s="400"/>
      <c r="T184" s="409"/>
      <c r="U184" s="398" t="str">
        <f t="shared" si="9"/>
        <v/>
      </c>
      <c r="V184" s="400"/>
      <c r="W184" s="410">
        <f t="shared" si="8"/>
        <v>11.6</v>
      </c>
      <c r="X184" s="472"/>
      <c r="AT184" s="232"/>
      <c r="AV184" s="198"/>
      <c r="AW184" s="274"/>
    </row>
    <row r="185" spans="2:49" x14ac:dyDescent="0.25">
      <c r="B185" s="274">
        <v>13</v>
      </c>
      <c r="C185" s="274">
        <v>90</v>
      </c>
      <c r="D185" s="274">
        <v>13</v>
      </c>
      <c r="E185" s="274">
        <v>2.9</v>
      </c>
      <c r="F185" s="274">
        <v>3.6</v>
      </c>
      <c r="G185" s="274">
        <v>9</v>
      </c>
      <c r="H185" s="274">
        <v>1023.1</v>
      </c>
      <c r="I185" s="274">
        <v>0</v>
      </c>
      <c r="J185" s="274">
        <v>0</v>
      </c>
      <c r="K185" s="274">
        <v>0</v>
      </c>
      <c r="L185" s="274">
        <v>0</v>
      </c>
      <c r="M185" s="274">
        <v>65.3</v>
      </c>
      <c r="N185" s="396">
        <v>599.79999999999995</v>
      </c>
      <c r="O185" s="396">
        <v>11.6</v>
      </c>
      <c r="P185" s="396">
        <v>11.6</v>
      </c>
      <c r="Q185" s="397">
        <v>0.122222222222222</v>
      </c>
      <c r="R185" s="396"/>
      <c r="S185" s="400"/>
      <c r="T185" s="409"/>
      <c r="U185" s="398" t="str">
        <f t="shared" si="9"/>
        <v/>
      </c>
      <c r="V185" s="400"/>
      <c r="W185" s="410">
        <f t="shared" si="8"/>
        <v>11.6</v>
      </c>
      <c r="X185" s="472"/>
      <c r="AT185" s="232"/>
      <c r="AV185" s="198"/>
      <c r="AW185" s="274"/>
    </row>
    <row r="186" spans="2:49" x14ac:dyDescent="0.25">
      <c r="B186" s="274">
        <v>13</v>
      </c>
      <c r="C186" s="274">
        <v>90</v>
      </c>
      <c r="D186" s="274">
        <v>13</v>
      </c>
      <c r="E186" s="274">
        <v>0</v>
      </c>
      <c r="F186" s="274">
        <v>0</v>
      </c>
      <c r="G186" s="274">
        <v>9</v>
      </c>
      <c r="H186" s="274">
        <v>1023.5</v>
      </c>
      <c r="I186" s="274">
        <v>0</v>
      </c>
      <c r="J186" s="274">
        <v>0</v>
      </c>
      <c r="K186" s="274">
        <v>0</v>
      </c>
      <c r="L186" s="274">
        <v>0</v>
      </c>
      <c r="M186" s="274">
        <v>65.3</v>
      </c>
      <c r="N186" s="396">
        <v>599.79999999999995</v>
      </c>
      <c r="O186" s="396">
        <v>11.6</v>
      </c>
      <c r="P186" s="396">
        <v>11.6</v>
      </c>
      <c r="Q186" s="397">
        <v>0.12291666666666699</v>
      </c>
      <c r="R186" s="396"/>
      <c r="S186" s="400"/>
      <c r="T186" s="409"/>
      <c r="U186" s="398" t="str">
        <f t="shared" si="9"/>
        <v/>
      </c>
      <c r="V186" s="400"/>
      <c r="W186" s="410">
        <f t="shared" si="8"/>
        <v>11.6</v>
      </c>
      <c r="X186" s="472"/>
      <c r="AT186" s="232"/>
      <c r="AV186" s="198"/>
      <c r="AW186" s="274"/>
    </row>
    <row r="187" spans="2:49" x14ac:dyDescent="0.25">
      <c r="B187" s="274">
        <v>13</v>
      </c>
      <c r="C187" s="274">
        <v>90</v>
      </c>
      <c r="D187" s="274">
        <v>13</v>
      </c>
      <c r="E187" s="274">
        <v>1.4</v>
      </c>
      <c r="F187" s="274">
        <v>1.8</v>
      </c>
      <c r="G187" s="274">
        <v>9</v>
      </c>
      <c r="H187" s="274">
        <v>1023.3</v>
      </c>
      <c r="I187" s="274">
        <v>0</v>
      </c>
      <c r="J187" s="274">
        <v>0</v>
      </c>
      <c r="K187" s="274">
        <v>0</v>
      </c>
      <c r="L187" s="274">
        <v>0</v>
      </c>
      <c r="M187" s="274">
        <v>65.3</v>
      </c>
      <c r="N187" s="396">
        <v>599.79999999999995</v>
      </c>
      <c r="O187" s="396">
        <v>11.6</v>
      </c>
      <c r="P187" s="396">
        <v>11.7</v>
      </c>
      <c r="Q187" s="397">
        <v>0.12361111111111101</v>
      </c>
      <c r="R187" s="396"/>
      <c r="S187" s="400"/>
      <c r="T187" s="409"/>
      <c r="U187" s="398" t="str">
        <f t="shared" si="9"/>
        <v/>
      </c>
      <c r="V187" s="400"/>
      <c r="W187" s="410">
        <f t="shared" si="8"/>
        <v>11.7</v>
      </c>
      <c r="X187" s="472"/>
      <c r="AT187" s="232"/>
      <c r="AV187" s="198"/>
      <c r="AW187" s="274"/>
    </row>
    <row r="188" spans="2:49" x14ac:dyDescent="0.25">
      <c r="B188" s="274">
        <v>13</v>
      </c>
      <c r="C188" s="274">
        <v>90</v>
      </c>
      <c r="D188" s="274">
        <v>13</v>
      </c>
      <c r="E188" s="274">
        <v>1.8</v>
      </c>
      <c r="F188" s="274">
        <v>1.8</v>
      </c>
      <c r="G188" s="274">
        <v>9</v>
      </c>
      <c r="H188" s="274">
        <v>1023.4</v>
      </c>
      <c r="I188" s="274">
        <v>0</v>
      </c>
      <c r="J188" s="274">
        <v>0</v>
      </c>
      <c r="K188" s="274">
        <v>0</v>
      </c>
      <c r="L188" s="274">
        <v>0</v>
      </c>
      <c r="M188" s="274">
        <v>65.3</v>
      </c>
      <c r="N188" s="396">
        <v>599.79999999999995</v>
      </c>
      <c r="O188" s="396">
        <v>11.6</v>
      </c>
      <c r="P188" s="396">
        <v>11.7</v>
      </c>
      <c r="Q188" s="397">
        <v>0.124305555555556</v>
      </c>
      <c r="R188" s="396"/>
      <c r="S188" s="400"/>
      <c r="T188" s="409"/>
      <c r="U188" s="398" t="str">
        <f t="shared" si="9"/>
        <v/>
      </c>
      <c r="V188" s="400"/>
      <c r="W188" s="410">
        <f t="shared" si="8"/>
        <v>11.7</v>
      </c>
      <c r="X188" s="472"/>
      <c r="AT188" s="232"/>
      <c r="AV188" s="198"/>
      <c r="AW188" s="274"/>
    </row>
    <row r="189" spans="2:49" x14ac:dyDescent="0.25">
      <c r="B189" s="274">
        <v>13</v>
      </c>
      <c r="C189" s="274">
        <v>90</v>
      </c>
      <c r="D189" s="274">
        <v>13</v>
      </c>
      <c r="E189" s="274">
        <v>0</v>
      </c>
      <c r="F189" s="274">
        <v>0</v>
      </c>
      <c r="G189" s="274">
        <v>9</v>
      </c>
      <c r="H189" s="274">
        <v>1023.4</v>
      </c>
      <c r="I189" s="274">
        <v>0</v>
      </c>
      <c r="J189" s="274">
        <v>0</v>
      </c>
      <c r="K189" s="274">
        <v>0</v>
      </c>
      <c r="L189" s="274">
        <v>0</v>
      </c>
      <c r="M189" s="274">
        <v>65.3</v>
      </c>
      <c r="N189" s="396">
        <v>599.79999999999995</v>
      </c>
      <c r="O189" s="396">
        <v>11.7</v>
      </c>
      <c r="P189" s="396">
        <v>11.7</v>
      </c>
      <c r="Q189" s="397">
        <v>0.125</v>
      </c>
      <c r="R189" s="396"/>
      <c r="S189" s="400"/>
      <c r="T189" s="409"/>
      <c r="U189" s="398" t="str">
        <f t="shared" si="9"/>
        <v/>
      </c>
      <c r="V189" s="400"/>
      <c r="W189" s="410">
        <f t="shared" si="8"/>
        <v>11.7</v>
      </c>
      <c r="X189" s="472"/>
      <c r="AT189" s="232"/>
      <c r="AV189" s="198"/>
      <c r="AW189" s="274"/>
    </row>
    <row r="190" spans="2:49" x14ac:dyDescent="0.25">
      <c r="B190" s="274">
        <v>13</v>
      </c>
      <c r="C190" s="274">
        <v>90</v>
      </c>
      <c r="D190" s="274">
        <v>13</v>
      </c>
      <c r="E190" s="274">
        <v>0</v>
      </c>
      <c r="F190" s="274">
        <v>0</v>
      </c>
      <c r="G190" s="274">
        <v>9</v>
      </c>
      <c r="H190" s="274">
        <v>1023.3</v>
      </c>
      <c r="I190" s="274">
        <v>0</v>
      </c>
      <c r="J190" s="274">
        <v>0</v>
      </c>
      <c r="K190" s="274">
        <v>0</v>
      </c>
      <c r="L190" s="274">
        <v>0</v>
      </c>
      <c r="M190" s="274">
        <v>65.3</v>
      </c>
      <c r="N190" s="396">
        <v>599.79999999999995</v>
      </c>
      <c r="O190" s="396">
        <v>11.7</v>
      </c>
      <c r="P190" s="396">
        <v>11.7</v>
      </c>
      <c r="Q190" s="397">
        <v>0.125694444444444</v>
      </c>
      <c r="R190" s="396"/>
      <c r="S190" s="400"/>
      <c r="T190" s="409"/>
      <c r="U190" s="398" t="str">
        <f t="shared" si="9"/>
        <v/>
      </c>
      <c r="V190" s="400"/>
      <c r="W190" s="410">
        <f t="shared" si="8"/>
        <v>11.7</v>
      </c>
      <c r="X190" s="472"/>
      <c r="AT190" s="232"/>
      <c r="AV190" s="198"/>
      <c r="AW190" s="274"/>
    </row>
    <row r="191" spans="2:49" x14ac:dyDescent="0.25">
      <c r="B191" s="274">
        <v>13</v>
      </c>
      <c r="C191" s="274">
        <v>90</v>
      </c>
      <c r="D191" s="274">
        <v>13</v>
      </c>
      <c r="E191" s="274">
        <v>0</v>
      </c>
      <c r="F191" s="274">
        <v>0</v>
      </c>
      <c r="G191" s="274">
        <v>9</v>
      </c>
      <c r="H191" s="274">
        <v>1023.3</v>
      </c>
      <c r="I191" s="274">
        <v>0</v>
      </c>
      <c r="J191" s="274">
        <v>0</v>
      </c>
      <c r="K191" s="274">
        <v>0</v>
      </c>
      <c r="L191" s="274">
        <v>0</v>
      </c>
      <c r="M191" s="274">
        <v>65.3</v>
      </c>
      <c r="N191" s="396">
        <v>599.79999999999995</v>
      </c>
      <c r="O191" s="396">
        <v>11.7</v>
      </c>
      <c r="P191" s="396">
        <v>11.7</v>
      </c>
      <c r="Q191" s="397">
        <v>0.12638888888888899</v>
      </c>
      <c r="R191" s="396"/>
      <c r="S191" s="400"/>
      <c r="T191" s="409"/>
      <c r="U191" s="398" t="str">
        <f t="shared" si="9"/>
        <v/>
      </c>
      <c r="V191" s="400"/>
      <c r="W191" s="410">
        <f t="shared" si="8"/>
        <v>11.7</v>
      </c>
      <c r="X191" s="472"/>
      <c r="AT191" s="232"/>
      <c r="AV191" s="198"/>
      <c r="AW191" s="274"/>
    </row>
    <row r="192" spans="2:49" x14ac:dyDescent="0.25">
      <c r="B192" s="274">
        <v>13</v>
      </c>
      <c r="C192" s="274">
        <v>90</v>
      </c>
      <c r="D192" s="274">
        <v>13</v>
      </c>
      <c r="E192" s="274">
        <v>0</v>
      </c>
      <c r="F192" s="274">
        <v>0</v>
      </c>
      <c r="G192" s="274">
        <v>9</v>
      </c>
      <c r="H192" s="274">
        <v>1023.3</v>
      </c>
      <c r="I192" s="274">
        <v>0</v>
      </c>
      <c r="J192" s="274">
        <v>0</v>
      </c>
      <c r="K192" s="274">
        <v>0</v>
      </c>
      <c r="L192" s="274">
        <v>0</v>
      </c>
      <c r="M192" s="274">
        <v>65.3</v>
      </c>
      <c r="N192" s="396">
        <v>599.79999999999995</v>
      </c>
      <c r="O192" s="396">
        <v>11.6</v>
      </c>
      <c r="P192" s="396">
        <v>11.7</v>
      </c>
      <c r="Q192" s="397">
        <v>0.12708333333333299</v>
      </c>
      <c r="R192" s="396"/>
      <c r="S192" s="400"/>
      <c r="T192" s="409"/>
      <c r="U192" s="398" t="str">
        <f t="shared" si="9"/>
        <v/>
      </c>
      <c r="V192" s="400"/>
      <c r="W192" s="410">
        <f t="shared" si="8"/>
        <v>11.7</v>
      </c>
      <c r="X192" s="472"/>
      <c r="AT192" s="232"/>
      <c r="AV192" s="198"/>
      <c r="AW192" s="274"/>
    </row>
    <row r="193" spans="2:49" x14ac:dyDescent="0.25">
      <c r="B193" s="274">
        <v>13</v>
      </c>
      <c r="C193" s="274">
        <v>90</v>
      </c>
      <c r="D193" s="274">
        <v>13</v>
      </c>
      <c r="E193" s="274">
        <v>0</v>
      </c>
      <c r="F193" s="274">
        <v>0</v>
      </c>
      <c r="G193" s="274">
        <v>9</v>
      </c>
      <c r="H193" s="274">
        <v>1023.4</v>
      </c>
      <c r="I193" s="274">
        <v>0</v>
      </c>
      <c r="J193" s="274">
        <v>0</v>
      </c>
      <c r="K193" s="274">
        <v>0</v>
      </c>
      <c r="L193" s="274">
        <v>0</v>
      </c>
      <c r="M193" s="274">
        <v>65.3</v>
      </c>
      <c r="N193" s="396">
        <v>599.79999999999995</v>
      </c>
      <c r="O193" s="396">
        <v>11.6</v>
      </c>
      <c r="P193" s="396">
        <v>11.7</v>
      </c>
      <c r="Q193" s="397">
        <v>0.12777777777777799</v>
      </c>
      <c r="R193" s="396"/>
      <c r="S193" s="400"/>
      <c r="T193" s="409"/>
      <c r="U193" s="398" t="str">
        <f t="shared" si="9"/>
        <v/>
      </c>
      <c r="V193" s="400"/>
      <c r="W193" s="410">
        <f t="shared" si="8"/>
        <v>11.7</v>
      </c>
      <c r="X193" s="472"/>
      <c r="AT193" s="232"/>
      <c r="AV193" s="198"/>
      <c r="AW193" s="274"/>
    </row>
    <row r="194" spans="2:49" x14ac:dyDescent="0.25">
      <c r="B194" s="274">
        <v>13</v>
      </c>
      <c r="C194" s="274">
        <v>90</v>
      </c>
      <c r="D194" s="274">
        <v>13</v>
      </c>
      <c r="E194" s="274">
        <v>0</v>
      </c>
      <c r="F194" s="274">
        <v>0</v>
      </c>
      <c r="G194" s="274">
        <v>9</v>
      </c>
      <c r="H194" s="274">
        <v>1023.4</v>
      </c>
      <c r="I194" s="274">
        <v>0</v>
      </c>
      <c r="J194" s="274">
        <v>0</v>
      </c>
      <c r="K194" s="274">
        <v>0</v>
      </c>
      <c r="L194" s="274">
        <v>0</v>
      </c>
      <c r="M194" s="274">
        <v>65.3</v>
      </c>
      <c r="N194" s="396">
        <v>599.79999999999995</v>
      </c>
      <c r="O194" s="396">
        <v>11.6</v>
      </c>
      <c r="P194" s="396">
        <v>11.6</v>
      </c>
      <c r="Q194" s="397">
        <v>0.12847222222222199</v>
      </c>
      <c r="R194" s="396"/>
      <c r="S194" s="400"/>
      <c r="T194" s="409"/>
      <c r="U194" s="398" t="str">
        <f t="shared" si="9"/>
        <v/>
      </c>
      <c r="V194" s="400"/>
      <c r="W194" s="410">
        <f t="shared" si="8"/>
        <v>11.6</v>
      </c>
      <c r="X194" s="472"/>
      <c r="AT194" s="232"/>
      <c r="AV194" s="198"/>
      <c r="AW194" s="274"/>
    </row>
    <row r="195" spans="2:49" x14ac:dyDescent="0.25">
      <c r="B195" s="274">
        <v>13</v>
      </c>
      <c r="C195" s="274">
        <v>90</v>
      </c>
      <c r="D195" s="274">
        <v>13</v>
      </c>
      <c r="E195" s="274">
        <v>0</v>
      </c>
      <c r="F195" s="274">
        <v>0</v>
      </c>
      <c r="G195" s="274">
        <v>9</v>
      </c>
      <c r="H195" s="274">
        <v>1023.4</v>
      </c>
      <c r="I195" s="274">
        <v>0</v>
      </c>
      <c r="J195" s="274">
        <v>0</v>
      </c>
      <c r="K195" s="274">
        <v>0</v>
      </c>
      <c r="L195" s="274">
        <v>0</v>
      </c>
      <c r="M195" s="274">
        <v>65.3</v>
      </c>
      <c r="N195" s="396">
        <v>599.79999999999995</v>
      </c>
      <c r="O195" s="396">
        <v>11.6</v>
      </c>
      <c r="P195" s="396">
        <v>11.6</v>
      </c>
      <c r="Q195" s="397">
        <v>0.12916666666666701</v>
      </c>
      <c r="R195" s="396"/>
      <c r="S195" s="400"/>
      <c r="T195" s="409"/>
      <c r="U195" s="398" t="str">
        <f t="shared" si="9"/>
        <v/>
      </c>
      <c r="V195" s="400"/>
      <c r="W195" s="410">
        <f t="shared" si="8"/>
        <v>11.6</v>
      </c>
      <c r="X195" s="472"/>
      <c r="AT195" s="232"/>
      <c r="AV195" s="198"/>
      <c r="AW195" s="274"/>
    </row>
    <row r="196" spans="2:49" x14ac:dyDescent="0.25">
      <c r="B196" s="274">
        <v>13</v>
      </c>
      <c r="C196" s="274">
        <v>90</v>
      </c>
      <c r="D196" s="274">
        <v>13</v>
      </c>
      <c r="E196" s="274">
        <v>1.1000000000000001</v>
      </c>
      <c r="F196" s="274">
        <v>1.8</v>
      </c>
      <c r="G196" s="274">
        <v>9</v>
      </c>
      <c r="H196" s="274">
        <v>1023.2</v>
      </c>
      <c r="I196" s="274">
        <v>0</v>
      </c>
      <c r="J196" s="274">
        <v>0</v>
      </c>
      <c r="K196" s="274">
        <v>0</v>
      </c>
      <c r="L196" s="274">
        <v>0</v>
      </c>
      <c r="M196" s="274">
        <v>65.3</v>
      </c>
      <c r="N196" s="396">
        <v>599.79999999999995</v>
      </c>
      <c r="O196" s="396">
        <v>11.6</v>
      </c>
      <c r="P196" s="396">
        <v>11.6</v>
      </c>
      <c r="Q196" s="397">
        <v>0.12986111111111101</v>
      </c>
      <c r="R196" s="396"/>
      <c r="S196" s="400"/>
      <c r="T196" s="409"/>
      <c r="U196" s="398" t="str">
        <f t="shared" si="9"/>
        <v/>
      </c>
      <c r="V196" s="400"/>
      <c r="W196" s="410">
        <f t="shared" si="8"/>
        <v>11.6</v>
      </c>
      <c r="X196" s="472"/>
      <c r="AT196" s="232"/>
      <c r="AV196" s="198"/>
      <c r="AW196" s="274"/>
    </row>
    <row r="197" spans="2:49" x14ac:dyDescent="0.25">
      <c r="B197" s="274">
        <v>13</v>
      </c>
      <c r="C197" s="274">
        <v>90</v>
      </c>
      <c r="D197" s="274">
        <v>13</v>
      </c>
      <c r="E197" s="274">
        <v>0.4</v>
      </c>
      <c r="F197" s="274">
        <v>1.8</v>
      </c>
      <c r="G197" s="274">
        <v>9</v>
      </c>
      <c r="H197" s="274">
        <v>1023.2</v>
      </c>
      <c r="I197" s="274">
        <v>0</v>
      </c>
      <c r="J197" s="274">
        <v>0</v>
      </c>
      <c r="K197" s="274">
        <v>0</v>
      </c>
      <c r="L197" s="274">
        <v>0</v>
      </c>
      <c r="M197" s="274">
        <v>65.3</v>
      </c>
      <c r="N197" s="396">
        <v>599.79999999999995</v>
      </c>
      <c r="O197" s="396">
        <v>11.6</v>
      </c>
      <c r="P197" s="396">
        <v>11.6</v>
      </c>
      <c r="Q197" s="397">
        <v>0.13055555555555601</v>
      </c>
      <c r="R197" s="396"/>
      <c r="S197" s="400"/>
      <c r="T197" s="409"/>
      <c r="U197" s="398" t="str">
        <f t="shared" si="9"/>
        <v/>
      </c>
      <c r="V197" s="400"/>
      <c r="W197" s="410">
        <f t="shared" si="8"/>
        <v>11.6</v>
      </c>
      <c r="X197" s="472"/>
      <c r="AT197" s="232"/>
      <c r="AV197" s="198"/>
      <c r="AW197" s="274"/>
    </row>
    <row r="198" spans="2:49" x14ac:dyDescent="0.25">
      <c r="B198" s="274">
        <v>13</v>
      </c>
      <c r="C198" s="274">
        <v>90</v>
      </c>
      <c r="D198" s="274">
        <v>13</v>
      </c>
      <c r="E198" s="274">
        <v>0</v>
      </c>
      <c r="F198" s="274">
        <v>0</v>
      </c>
      <c r="G198" s="274">
        <v>9</v>
      </c>
      <c r="H198" s="274">
        <v>1023.1</v>
      </c>
      <c r="I198" s="274">
        <v>0</v>
      </c>
      <c r="J198" s="274">
        <v>0</v>
      </c>
      <c r="K198" s="274">
        <v>0</v>
      </c>
      <c r="L198" s="274">
        <v>0</v>
      </c>
      <c r="M198" s="274">
        <v>65.3</v>
      </c>
      <c r="N198" s="396">
        <v>599.79999999999995</v>
      </c>
      <c r="O198" s="396">
        <v>11.6</v>
      </c>
      <c r="P198" s="396">
        <v>11.6</v>
      </c>
      <c r="Q198" s="397">
        <v>0.13125000000000001</v>
      </c>
      <c r="R198" s="396"/>
      <c r="S198" s="400"/>
      <c r="T198" s="409"/>
      <c r="U198" s="398" t="str">
        <f t="shared" si="9"/>
        <v/>
      </c>
      <c r="V198" s="400"/>
      <c r="W198" s="410">
        <f t="shared" si="8"/>
        <v>11.6</v>
      </c>
      <c r="X198" s="472"/>
      <c r="AT198" s="232"/>
      <c r="AV198" s="198"/>
      <c r="AW198" s="274"/>
    </row>
    <row r="199" spans="2:49" x14ac:dyDescent="0.25">
      <c r="B199" s="274">
        <v>13</v>
      </c>
      <c r="C199" s="274">
        <v>90</v>
      </c>
      <c r="D199" s="274">
        <v>13</v>
      </c>
      <c r="E199" s="274">
        <v>0</v>
      </c>
      <c r="F199" s="274">
        <v>0</v>
      </c>
      <c r="G199" s="274">
        <v>9</v>
      </c>
      <c r="H199" s="274">
        <v>1023.2</v>
      </c>
      <c r="I199" s="274">
        <v>0</v>
      </c>
      <c r="J199" s="274">
        <v>0</v>
      </c>
      <c r="K199" s="274">
        <v>0</v>
      </c>
      <c r="L199" s="274">
        <v>0</v>
      </c>
      <c r="M199" s="274">
        <v>65.3</v>
      </c>
      <c r="N199" s="396">
        <v>599.79999999999995</v>
      </c>
      <c r="O199" s="396">
        <v>11.6</v>
      </c>
      <c r="P199" s="396">
        <v>11.6</v>
      </c>
      <c r="Q199" s="397">
        <v>0.131944444444444</v>
      </c>
      <c r="R199" s="396"/>
      <c r="S199" s="400"/>
      <c r="T199" s="409"/>
      <c r="U199" s="398" t="str">
        <f t="shared" si="9"/>
        <v/>
      </c>
      <c r="V199" s="400"/>
      <c r="W199" s="410">
        <f t="shared" si="8"/>
        <v>11.6</v>
      </c>
      <c r="X199" s="472"/>
      <c r="AT199" s="232"/>
      <c r="AV199" s="198"/>
      <c r="AW199" s="274"/>
    </row>
    <row r="200" spans="2:49" x14ac:dyDescent="0.25">
      <c r="B200" s="274">
        <v>12.9</v>
      </c>
      <c r="C200" s="274">
        <v>90</v>
      </c>
      <c r="D200" s="274">
        <v>12.9</v>
      </c>
      <c r="E200" s="274">
        <v>0.7</v>
      </c>
      <c r="F200" s="274">
        <v>1.8</v>
      </c>
      <c r="G200" s="274">
        <v>9</v>
      </c>
      <c r="H200" s="274">
        <v>1023.3</v>
      </c>
      <c r="I200" s="274">
        <v>0</v>
      </c>
      <c r="J200" s="274">
        <v>0</v>
      </c>
      <c r="K200" s="274">
        <v>0</v>
      </c>
      <c r="L200" s="274">
        <v>0</v>
      </c>
      <c r="M200" s="274">
        <v>65.3</v>
      </c>
      <c r="N200" s="396">
        <v>599.79999999999995</v>
      </c>
      <c r="O200" s="396">
        <v>11.6</v>
      </c>
      <c r="P200" s="396">
        <v>11.6</v>
      </c>
      <c r="Q200" s="397">
        <v>0.132638888888889</v>
      </c>
      <c r="R200" s="396"/>
      <c r="S200" s="400"/>
      <c r="T200" s="409"/>
      <c r="U200" s="398" t="str">
        <f t="shared" si="9"/>
        <v/>
      </c>
      <c r="V200" s="400"/>
      <c r="W200" s="410">
        <f t="shared" si="8"/>
        <v>11.6</v>
      </c>
      <c r="X200" s="472"/>
      <c r="AT200" s="232"/>
      <c r="AV200" s="198"/>
      <c r="AW200" s="274"/>
    </row>
    <row r="201" spans="2:49" x14ac:dyDescent="0.25">
      <c r="B201" s="274">
        <v>12.9</v>
      </c>
      <c r="C201" s="274">
        <v>90</v>
      </c>
      <c r="D201" s="274">
        <v>12.9</v>
      </c>
      <c r="E201" s="274">
        <v>2.2000000000000002</v>
      </c>
      <c r="F201" s="274">
        <v>3.6</v>
      </c>
      <c r="G201" s="274">
        <v>9</v>
      </c>
      <c r="H201" s="274">
        <v>1023.4</v>
      </c>
      <c r="I201" s="274">
        <v>0</v>
      </c>
      <c r="J201" s="274">
        <v>0</v>
      </c>
      <c r="K201" s="274">
        <v>0</v>
      </c>
      <c r="L201" s="274">
        <v>0</v>
      </c>
      <c r="M201" s="274">
        <v>65.3</v>
      </c>
      <c r="N201" s="396">
        <v>599.79999999999995</v>
      </c>
      <c r="O201" s="396">
        <v>11.6</v>
      </c>
      <c r="P201" s="396">
        <v>11.5</v>
      </c>
      <c r="Q201" s="397">
        <v>0.133333333333333</v>
      </c>
      <c r="R201" s="396"/>
      <c r="S201" s="400"/>
      <c r="T201" s="409"/>
      <c r="U201" s="398" t="str">
        <f t="shared" si="9"/>
        <v/>
      </c>
      <c r="V201" s="400"/>
      <c r="W201" s="410">
        <f t="shared" ref="W201:W264" si="10">MAX(O201:P201)</f>
        <v>11.6</v>
      </c>
      <c r="X201" s="472"/>
      <c r="AT201" s="232"/>
      <c r="AV201" s="198"/>
      <c r="AW201" s="274"/>
    </row>
    <row r="202" spans="2:49" x14ac:dyDescent="0.25">
      <c r="B202" s="274">
        <v>12.9</v>
      </c>
      <c r="C202" s="274">
        <v>90</v>
      </c>
      <c r="D202" s="274">
        <v>12.9</v>
      </c>
      <c r="E202" s="274">
        <v>1.1000000000000001</v>
      </c>
      <c r="F202" s="274">
        <v>1.8</v>
      </c>
      <c r="G202" s="274">
        <v>9</v>
      </c>
      <c r="H202" s="274">
        <v>1023.4</v>
      </c>
      <c r="I202" s="274">
        <v>0</v>
      </c>
      <c r="J202" s="274">
        <v>0</v>
      </c>
      <c r="K202" s="274">
        <v>0</v>
      </c>
      <c r="L202" s="274">
        <v>0</v>
      </c>
      <c r="M202" s="274">
        <v>65.3</v>
      </c>
      <c r="N202" s="396">
        <v>599.79999999999995</v>
      </c>
      <c r="O202" s="396">
        <v>11.6</v>
      </c>
      <c r="P202" s="396">
        <v>11.5</v>
      </c>
      <c r="Q202" s="397">
        <v>0.134027777777778</v>
      </c>
      <c r="R202" s="396"/>
      <c r="S202" s="400"/>
      <c r="T202" s="409"/>
      <c r="U202" s="398" t="str">
        <f t="shared" si="9"/>
        <v/>
      </c>
      <c r="V202" s="400"/>
      <c r="W202" s="410">
        <f t="shared" si="10"/>
        <v>11.6</v>
      </c>
      <c r="X202" s="472"/>
      <c r="AT202" s="232"/>
      <c r="AV202" s="198"/>
      <c r="AW202" s="274"/>
    </row>
    <row r="203" spans="2:49" x14ac:dyDescent="0.25">
      <c r="B203" s="274">
        <v>12.9</v>
      </c>
      <c r="C203" s="274">
        <v>90</v>
      </c>
      <c r="D203" s="274">
        <v>12.9</v>
      </c>
      <c r="E203" s="274">
        <v>0.4</v>
      </c>
      <c r="F203" s="274">
        <v>1.8</v>
      </c>
      <c r="G203" s="274">
        <v>9</v>
      </c>
      <c r="H203" s="274">
        <v>1023.3</v>
      </c>
      <c r="I203" s="274">
        <v>0</v>
      </c>
      <c r="J203" s="274">
        <v>0</v>
      </c>
      <c r="K203" s="274">
        <v>0</v>
      </c>
      <c r="L203" s="274">
        <v>0</v>
      </c>
      <c r="M203" s="274">
        <v>65.3</v>
      </c>
      <c r="N203" s="396">
        <v>599.79999999999995</v>
      </c>
      <c r="O203" s="396">
        <v>11.5</v>
      </c>
      <c r="P203" s="396">
        <v>11.5</v>
      </c>
      <c r="Q203" s="397">
        <v>0.13472222222222199</v>
      </c>
      <c r="R203" s="396"/>
      <c r="S203" s="400"/>
      <c r="T203" s="409"/>
      <c r="U203" s="398" t="str">
        <f t="shared" ref="U203:U266" si="11">IF(J203&gt;0,60,"")</f>
        <v/>
      </c>
      <c r="V203" s="400"/>
      <c r="W203" s="410">
        <f t="shared" si="10"/>
        <v>11.5</v>
      </c>
      <c r="X203" s="472"/>
      <c r="AT203" s="232"/>
      <c r="AV203" s="198"/>
      <c r="AW203" s="274"/>
    </row>
    <row r="204" spans="2:49" x14ac:dyDescent="0.25">
      <c r="B204" s="274">
        <v>12.9</v>
      </c>
      <c r="C204" s="274">
        <v>90</v>
      </c>
      <c r="D204" s="274">
        <v>12.9</v>
      </c>
      <c r="E204" s="274">
        <v>1.4</v>
      </c>
      <c r="F204" s="274">
        <v>1.8</v>
      </c>
      <c r="G204" s="274">
        <v>9</v>
      </c>
      <c r="H204" s="274">
        <v>1023.3</v>
      </c>
      <c r="I204" s="274">
        <v>0</v>
      </c>
      <c r="J204" s="274">
        <v>0</v>
      </c>
      <c r="K204" s="274">
        <v>0</v>
      </c>
      <c r="L204" s="274">
        <v>0</v>
      </c>
      <c r="M204" s="274">
        <v>65.3</v>
      </c>
      <c r="N204" s="396">
        <v>599.79999999999995</v>
      </c>
      <c r="O204" s="396">
        <v>11.6</v>
      </c>
      <c r="P204" s="396">
        <v>11.6</v>
      </c>
      <c r="Q204" s="397">
        <v>0.13541666666666699</v>
      </c>
      <c r="R204" s="396"/>
      <c r="S204" s="400"/>
      <c r="T204" s="409"/>
      <c r="U204" s="398" t="str">
        <f t="shared" si="11"/>
        <v/>
      </c>
      <c r="V204" s="400"/>
      <c r="W204" s="410">
        <f t="shared" si="10"/>
        <v>11.6</v>
      </c>
      <c r="X204" s="472"/>
      <c r="AT204" s="232"/>
      <c r="AV204" s="198"/>
      <c r="AW204" s="274"/>
    </row>
    <row r="205" spans="2:49" x14ac:dyDescent="0.25">
      <c r="B205" s="274">
        <v>12.9</v>
      </c>
      <c r="C205" s="274">
        <v>90</v>
      </c>
      <c r="D205" s="274">
        <v>12.9</v>
      </c>
      <c r="E205" s="274">
        <v>0</v>
      </c>
      <c r="F205" s="274">
        <v>0</v>
      </c>
      <c r="G205" s="274">
        <v>9</v>
      </c>
      <c r="H205" s="274">
        <v>1023.5</v>
      </c>
      <c r="I205" s="274">
        <v>0</v>
      </c>
      <c r="J205" s="274">
        <v>0</v>
      </c>
      <c r="K205" s="274">
        <v>0</v>
      </c>
      <c r="L205" s="274">
        <v>0</v>
      </c>
      <c r="M205" s="274">
        <v>65.3</v>
      </c>
      <c r="N205" s="396">
        <v>599.79999999999995</v>
      </c>
      <c r="O205" s="396">
        <v>11.5</v>
      </c>
      <c r="P205" s="396">
        <v>11.5</v>
      </c>
      <c r="Q205" s="397">
        <v>0.13611111111111099</v>
      </c>
      <c r="R205" s="396"/>
      <c r="S205" s="400"/>
      <c r="T205" s="409"/>
      <c r="U205" s="398" t="str">
        <f t="shared" si="11"/>
        <v/>
      </c>
      <c r="V205" s="400"/>
      <c r="W205" s="410">
        <f t="shared" si="10"/>
        <v>11.5</v>
      </c>
      <c r="X205" s="472"/>
      <c r="AT205" s="232"/>
      <c r="AV205" s="198"/>
      <c r="AW205" s="274"/>
    </row>
    <row r="206" spans="2:49" x14ac:dyDescent="0.25">
      <c r="B206" s="274">
        <v>12.9</v>
      </c>
      <c r="C206" s="274">
        <v>90</v>
      </c>
      <c r="D206" s="274">
        <v>12.9</v>
      </c>
      <c r="E206" s="274">
        <v>0</v>
      </c>
      <c r="F206" s="274">
        <v>0</v>
      </c>
      <c r="G206" s="274">
        <v>9</v>
      </c>
      <c r="H206" s="274">
        <v>1023.1</v>
      </c>
      <c r="I206" s="274">
        <v>0</v>
      </c>
      <c r="J206" s="274">
        <v>0</v>
      </c>
      <c r="K206" s="274">
        <v>0</v>
      </c>
      <c r="L206" s="274">
        <v>0</v>
      </c>
      <c r="M206" s="274">
        <v>65.3</v>
      </c>
      <c r="N206" s="396">
        <v>599.79999999999995</v>
      </c>
      <c r="O206" s="396">
        <v>11.5</v>
      </c>
      <c r="P206" s="396">
        <v>11.5</v>
      </c>
      <c r="Q206" s="397">
        <v>0.13680555555555601</v>
      </c>
      <c r="R206" s="396"/>
      <c r="S206" s="400"/>
      <c r="T206" s="409"/>
      <c r="U206" s="398" t="str">
        <f t="shared" si="11"/>
        <v/>
      </c>
      <c r="V206" s="400"/>
      <c r="W206" s="410">
        <f t="shared" si="10"/>
        <v>11.5</v>
      </c>
      <c r="X206" s="472"/>
      <c r="AT206" s="232"/>
      <c r="AV206" s="198"/>
      <c r="AW206" s="274"/>
    </row>
    <row r="207" spans="2:49" x14ac:dyDescent="0.25">
      <c r="B207" s="274">
        <v>12.9</v>
      </c>
      <c r="C207" s="274">
        <v>90</v>
      </c>
      <c r="D207" s="274">
        <v>12.9</v>
      </c>
      <c r="E207" s="274">
        <v>0.4</v>
      </c>
      <c r="F207" s="274">
        <v>1.8</v>
      </c>
      <c r="G207" s="274">
        <v>9</v>
      </c>
      <c r="H207" s="274">
        <v>1023</v>
      </c>
      <c r="I207" s="274">
        <v>0</v>
      </c>
      <c r="J207" s="274">
        <v>0</v>
      </c>
      <c r="K207" s="274">
        <v>0</v>
      </c>
      <c r="L207" s="274">
        <v>0</v>
      </c>
      <c r="M207" s="274">
        <v>65.3</v>
      </c>
      <c r="N207" s="396">
        <v>599.79999999999995</v>
      </c>
      <c r="O207" s="396">
        <v>11.5</v>
      </c>
      <c r="P207" s="396">
        <v>11.5</v>
      </c>
      <c r="Q207" s="397">
        <v>0.13750000000000001</v>
      </c>
      <c r="R207" s="396"/>
      <c r="S207" s="400"/>
      <c r="T207" s="409"/>
      <c r="U207" s="398" t="str">
        <f t="shared" si="11"/>
        <v/>
      </c>
      <c r="V207" s="400"/>
      <c r="W207" s="410">
        <f t="shared" si="10"/>
        <v>11.5</v>
      </c>
      <c r="X207" s="472"/>
      <c r="AT207" s="232"/>
      <c r="AV207" s="198"/>
      <c r="AW207" s="274"/>
    </row>
    <row r="208" spans="2:49" x14ac:dyDescent="0.25">
      <c r="B208" s="274">
        <v>12.8</v>
      </c>
      <c r="C208" s="274">
        <v>90</v>
      </c>
      <c r="D208" s="274">
        <v>12.8</v>
      </c>
      <c r="E208" s="274">
        <v>0</v>
      </c>
      <c r="F208" s="274">
        <v>0</v>
      </c>
      <c r="G208" s="274">
        <v>9</v>
      </c>
      <c r="H208" s="274">
        <v>1023.2</v>
      </c>
      <c r="I208" s="274">
        <v>0</v>
      </c>
      <c r="J208" s="274">
        <v>0</v>
      </c>
      <c r="K208" s="274">
        <v>0</v>
      </c>
      <c r="L208" s="274">
        <v>0</v>
      </c>
      <c r="M208" s="274">
        <v>65.3</v>
      </c>
      <c r="N208" s="396">
        <v>599.79999999999995</v>
      </c>
      <c r="O208" s="396">
        <v>11.5</v>
      </c>
      <c r="P208" s="396">
        <v>11.5</v>
      </c>
      <c r="Q208" s="397">
        <v>0.13819444444444401</v>
      </c>
      <c r="R208" s="396"/>
      <c r="S208" s="400"/>
      <c r="T208" s="409"/>
      <c r="U208" s="398" t="str">
        <f t="shared" si="11"/>
        <v/>
      </c>
      <c r="V208" s="400"/>
      <c r="W208" s="410">
        <f t="shared" si="10"/>
        <v>11.5</v>
      </c>
      <c r="X208" s="472"/>
      <c r="AT208" s="232"/>
      <c r="AV208" s="198"/>
      <c r="AW208" s="274"/>
    </row>
    <row r="209" spans="2:49" x14ac:dyDescent="0.25">
      <c r="B209" s="274">
        <v>12.8</v>
      </c>
      <c r="C209" s="274">
        <v>90</v>
      </c>
      <c r="D209" s="274">
        <v>12.8</v>
      </c>
      <c r="E209" s="274">
        <v>0</v>
      </c>
      <c r="F209" s="274">
        <v>0</v>
      </c>
      <c r="G209" s="274">
        <v>9</v>
      </c>
      <c r="H209" s="274">
        <v>1023.4</v>
      </c>
      <c r="I209" s="274">
        <v>0</v>
      </c>
      <c r="J209" s="274">
        <v>0</v>
      </c>
      <c r="K209" s="274">
        <v>0</v>
      </c>
      <c r="L209" s="274">
        <v>0</v>
      </c>
      <c r="M209" s="274">
        <v>65.3</v>
      </c>
      <c r="N209" s="396">
        <v>599.79999999999995</v>
      </c>
      <c r="O209" s="396">
        <v>11.5</v>
      </c>
      <c r="P209" s="396">
        <v>11.5</v>
      </c>
      <c r="Q209" s="397">
        <v>0.13888888888888901</v>
      </c>
      <c r="R209" s="396"/>
      <c r="S209" s="400"/>
      <c r="T209" s="409"/>
      <c r="U209" s="398" t="str">
        <f t="shared" si="11"/>
        <v/>
      </c>
      <c r="V209" s="400"/>
      <c r="W209" s="410">
        <f t="shared" si="10"/>
        <v>11.5</v>
      </c>
      <c r="X209" s="472"/>
      <c r="AT209" s="232"/>
      <c r="AV209" s="198"/>
      <c r="AW209" s="274"/>
    </row>
    <row r="210" spans="2:49" x14ac:dyDescent="0.25">
      <c r="B210" s="274">
        <v>12.8</v>
      </c>
      <c r="C210" s="274">
        <v>90</v>
      </c>
      <c r="D210" s="274">
        <v>12.8</v>
      </c>
      <c r="E210" s="274">
        <v>0</v>
      </c>
      <c r="F210" s="274">
        <v>0</v>
      </c>
      <c r="G210" s="274">
        <v>9</v>
      </c>
      <c r="H210" s="274">
        <v>1023.2</v>
      </c>
      <c r="I210" s="274">
        <v>0</v>
      </c>
      <c r="J210" s="274">
        <v>0</v>
      </c>
      <c r="K210" s="274">
        <v>0</v>
      </c>
      <c r="L210" s="274">
        <v>0</v>
      </c>
      <c r="M210" s="274">
        <v>65.3</v>
      </c>
      <c r="N210" s="396">
        <v>599.79999999999995</v>
      </c>
      <c r="O210" s="396">
        <v>11.5</v>
      </c>
      <c r="P210" s="396">
        <v>11.5</v>
      </c>
      <c r="Q210" s="397">
        <v>0.139583333333333</v>
      </c>
      <c r="R210" s="396"/>
      <c r="S210" s="400"/>
      <c r="T210" s="409"/>
      <c r="U210" s="398" t="str">
        <f t="shared" si="11"/>
        <v/>
      </c>
      <c r="V210" s="400"/>
      <c r="W210" s="410">
        <f t="shared" si="10"/>
        <v>11.5</v>
      </c>
      <c r="X210" s="472"/>
      <c r="AT210" s="232"/>
      <c r="AV210" s="198"/>
      <c r="AW210" s="274"/>
    </row>
    <row r="211" spans="2:49" x14ac:dyDescent="0.25">
      <c r="B211" s="274">
        <v>12.8</v>
      </c>
      <c r="C211" s="274">
        <v>90</v>
      </c>
      <c r="D211" s="274">
        <v>12.8</v>
      </c>
      <c r="E211" s="274">
        <v>0</v>
      </c>
      <c r="F211" s="274">
        <v>0</v>
      </c>
      <c r="G211" s="274">
        <v>9</v>
      </c>
      <c r="H211" s="274">
        <v>1023.2</v>
      </c>
      <c r="I211" s="274">
        <v>0</v>
      </c>
      <c r="J211" s="274">
        <v>0</v>
      </c>
      <c r="K211" s="274">
        <v>0</v>
      </c>
      <c r="L211" s="274">
        <v>0</v>
      </c>
      <c r="M211" s="274">
        <v>65.3</v>
      </c>
      <c r="N211" s="396">
        <v>599.79999999999995</v>
      </c>
      <c r="O211" s="396">
        <v>11.5</v>
      </c>
      <c r="P211" s="396">
        <v>11.5</v>
      </c>
      <c r="Q211" s="397">
        <v>0.140277777777778</v>
      </c>
      <c r="R211" s="396"/>
      <c r="S211" s="400"/>
      <c r="T211" s="409"/>
      <c r="U211" s="398" t="str">
        <f t="shared" si="11"/>
        <v/>
      </c>
      <c r="V211" s="400"/>
      <c r="W211" s="410">
        <f t="shared" si="10"/>
        <v>11.5</v>
      </c>
      <c r="X211" s="472"/>
      <c r="AT211" s="232"/>
      <c r="AV211" s="198"/>
      <c r="AW211" s="274"/>
    </row>
    <row r="212" spans="2:49" x14ac:dyDescent="0.25">
      <c r="B212" s="274">
        <v>12.8</v>
      </c>
      <c r="C212" s="274">
        <v>91</v>
      </c>
      <c r="D212" s="274">
        <v>12.8</v>
      </c>
      <c r="E212" s="274">
        <v>0.7</v>
      </c>
      <c r="F212" s="274">
        <v>1.8</v>
      </c>
      <c r="G212" s="274">
        <v>9</v>
      </c>
      <c r="H212" s="274">
        <v>1023.2</v>
      </c>
      <c r="I212" s="274">
        <v>0</v>
      </c>
      <c r="J212" s="274">
        <v>0</v>
      </c>
      <c r="K212" s="274">
        <v>0</v>
      </c>
      <c r="L212" s="274">
        <v>0</v>
      </c>
      <c r="M212" s="274">
        <v>65.3</v>
      </c>
      <c r="N212" s="396">
        <v>599.79999999999995</v>
      </c>
      <c r="O212" s="396">
        <v>11.4</v>
      </c>
      <c r="P212" s="396">
        <v>11.4</v>
      </c>
      <c r="Q212" s="397">
        <v>0.140972222222222</v>
      </c>
      <c r="R212" s="396"/>
      <c r="S212" s="400"/>
      <c r="T212" s="409"/>
      <c r="U212" s="398" t="str">
        <f t="shared" si="11"/>
        <v/>
      </c>
      <c r="V212" s="400"/>
      <c r="W212" s="410">
        <f t="shared" si="10"/>
        <v>11.4</v>
      </c>
      <c r="X212" s="472"/>
      <c r="AT212" s="232"/>
      <c r="AV212" s="198"/>
      <c r="AW212" s="274"/>
    </row>
    <row r="213" spans="2:49" x14ac:dyDescent="0.25">
      <c r="B213" s="274">
        <v>12.7</v>
      </c>
      <c r="C213" s="274">
        <v>91</v>
      </c>
      <c r="D213" s="274">
        <v>12.7</v>
      </c>
      <c r="E213" s="274">
        <v>0</v>
      </c>
      <c r="F213" s="274">
        <v>0</v>
      </c>
      <c r="G213" s="274">
        <v>9</v>
      </c>
      <c r="H213" s="274">
        <v>1022.8</v>
      </c>
      <c r="I213" s="274">
        <v>0</v>
      </c>
      <c r="J213" s="274">
        <v>0</v>
      </c>
      <c r="K213" s="274">
        <v>0</v>
      </c>
      <c r="L213" s="274">
        <v>0</v>
      </c>
      <c r="M213" s="274">
        <v>65.3</v>
      </c>
      <c r="N213" s="396">
        <v>599.79999999999995</v>
      </c>
      <c r="O213" s="396">
        <v>11.4</v>
      </c>
      <c r="P213" s="396">
        <v>11.4</v>
      </c>
      <c r="Q213" s="397">
        <v>0.141666666666667</v>
      </c>
      <c r="R213" s="396"/>
      <c r="S213" s="400"/>
      <c r="T213" s="409"/>
      <c r="U213" s="398" t="str">
        <f t="shared" si="11"/>
        <v/>
      </c>
      <c r="V213" s="400"/>
      <c r="W213" s="410">
        <f t="shared" si="10"/>
        <v>11.4</v>
      </c>
      <c r="X213" s="472"/>
      <c r="AT213" s="232"/>
      <c r="AV213" s="198"/>
      <c r="AW213" s="274"/>
    </row>
    <row r="214" spans="2:49" x14ac:dyDescent="0.25">
      <c r="B214" s="274">
        <v>12.7</v>
      </c>
      <c r="C214" s="274">
        <v>91</v>
      </c>
      <c r="D214" s="274">
        <v>12.7</v>
      </c>
      <c r="E214" s="274">
        <v>0</v>
      </c>
      <c r="F214" s="274">
        <v>0</v>
      </c>
      <c r="G214" s="274">
        <v>9</v>
      </c>
      <c r="H214" s="274">
        <v>1023.1</v>
      </c>
      <c r="I214" s="274">
        <v>0</v>
      </c>
      <c r="J214" s="274">
        <v>0</v>
      </c>
      <c r="K214" s="274">
        <v>0</v>
      </c>
      <c r="L214" s="274">
        <v>0</v>
      </c>
      <c r="M214" s="274">
        <v>65.3</v>
      </c>
      <c r="N214" s="396">
        <v>599.79999999999995</v>
      </c>
      <c r="O214" s="396">
        <v>11.4</v>
      </c>
      <c r="P214" s="396">
        <v>11.4</v>
      </c>
      <c r="Q214" s="397">
        <v>0.14236111111111099</v>
      </c>
      <c r="R214" s="396"/>
      <c r="S214" s="400"/>
      <c r="T214" s="409"/>
      <c r="U214" s="398" t="str">
        <f t="shared" si="11"/>
        <v/>
      </c>
      <c r="V214" s="400"/>
      <c r="W214" s="410">
        <f t="shared" si="10"/>
        <v>11.4</v>
      </c>
      <c r="X214" s="472"/>
      <c r="AT214" s="232"/>
      <c r="AV214" s="198"/>
      <c r="AW214" s="274"/>
    </row>
    <row r="215" spans="2:49" x14ac:dyDescent="0.25">
      <c r="B215" s="274">
        <v>12.7</v>
      </c>
      <c r="C215" s="274">
        <v>91</v>
      </c>
      <c r="D215" s="274">
        <v>12.7</v>
      </c>
      <c r="E215" s="274">
        <v>0.7</v>
      </c>
      <c r="F215" s="274">
        <v>1.8</v>
      </c>
      <c r="G215" s="274">
        <v>9</v>
      </c>
      <c r="H215" s="274">
        <v>1023.1</v>
      </c>
      <c r="I215" s="274">
        <v>0</v>
      </c>
      <c r="J215" s="274">
        <v>0</v>
      </c>
      <c r="K215" s="274">
        <v>0</v>
      </c>
      <c r="L215" s="274">
        <v>0</v>
      </c>
      <c r="M215" s="274">
        <v>65.3</v>
      </c>
      <c r="N215" s="396">
        <v>599.79999999999995</v>
      </c>
      <c r="O215" s="396">
        <v>11.3</v>
      </c>
      <c r="P215" s="396">
        <v>11.3</v>
      </c>
      <c r="Q215" s="397">
        <v>0.14305555555555599</v>
      </c>
      <c r="R215" s="396"/>
      <c r="S215" s="400"/>
      <c r="T215" s="409"/>
      <c r="U215" s="398" t="str">
        <f t="shared" si="11"/>
        <v/>
      </c>
      <c r="V215" s="400"/>
      <c r="W215" s="410">
        <f t="shared" si="10"/>
        <v>11.3</v>
      </c>
      <c r="X215" s="472"/>
      <c r="AT215" s="232"/>
      <c r="AV215" s="198"/>
      <c r="AW215" s="274"/>
    </row>
    <row r="216" spans="2:49" x14ac:dyDescent="0.25">
      <c r="B216" s="274">
        <v>12.7</v>
      </c>
      <c r="C216" s="274">
        <v>91</v>
      </c>
      <c r="D216" s="274">
        <v>12.7</v>
      </c>
      <c r="E216" s="274">
        <v>0.4</v>
      </c>
      <c r="F216" s="274">
        <v>1.8</v>
      </c>
      <c r="G216" s="274">
        <v>9</v>
      </c>
      <c r="H216" s="274">
        <v>1023.1</v>
      </c>
      <c r="I216" s="274">
        <v>0</v>
      </c>
      <c r="J216" s="274">
        <v>0</v>
      </c>
      <c r="K216" s="274">
        <v>0</v>
      </c>
      <c r="L216" s="274">
        <v>0</v>
      </c>
      <c r="M216" s="274">
        <v>65.3</v>
      </c>
      <c r="N216" s="396">
        <v>599.79999999999995</v>
      </c>
      <c r="O216" s="396">
        <v>11.3</v>
      </c>
      <c r="P216" s="396">
        <v>11.3</v>
      </c>
      <c r="Q216" s="397">
        <v>0.14374999999999999</v>
      </c>
      <c r="R216" s="396"/>
      <c r="S216" s="400"/>
      <c r="T216" s="409"/>
      <c r="U216" s="398" t="str">
        <f t="shared" si="11"/>
        <v/>
      </c>
      <c r="V216" s="400"/>
      <c r="W216" s="410">
        <f t="shared" si="10"/>
        <v>11.3</v>
      </c>
      <c r="X216" s="472"/>
      <c r="AT216" s="232"/>
      <c r="AV216" s="198"/>
      <c r="AW216" s="274"/>
    </row>
    <row r="217" spans="2:49" x14ac:dyDescent="0.25">
      <c r="B217" s="274">
        <v>12.7</v>
      </c>
      <c r="C217" s="274">
        <v>91</v>
      </c>
      <c r="D217" s="274">
        <v>12.7</v>
      </c>
      <c r="E217" s="274">
        <v>0.4</v>
      </c>
      <c r="F217" s="274">
        <v>1.8</v>
      </c>
      <c r="G217" s="274">
        <v>9</v>
      </c>
      <c r="H217" s="274">
        <v>1023</v>
      </c>
      <c r="I217" s="274">
        <v>0</v>
      </c>
      <c r="J217" s="274">
        <v>0</v>
      </c>
      <c r="K217" s="274">
        <v>0</v>
      </c>
      <c r="L217" s="274">
        <v>0</v>
      </c>
      <c r="M217" s="274">
        <v>65.3</v>
      </c>
      <c r="N217" s="396">
        <v>599.79999999999995</v>
      </c>
      <c r="O217" s="396">
        <v>11.3</v>
      </c>
      <c r="P217" s="396">
        <v>11.3</v>
      </c>
      <c r="Q217" s="397">
        <v>0.14444444444444399</v>
      </c>
      <c r="R217" s="396"/>
      <c r="S217" s="400"/>
      <c r="T217" s="409"/>
      <c r="U217" s="398" t="str">
        <f t="shared" si="11"/>
        <v/>
      </c>
      <c r="V217" s="400"/>
      <c r="W217" s="410">
        <f t="shared" si="10"/>
        <v>11.3</v>
      </c>
      <c r="X217" s="472"/>
      <c r="AT217" s="232"/>
      <c r="AV217" s="198"/>
      <c r="AW217" s="274"/>
    </row>
    <row r="218" spans="2:49" x14ac:dyDescent="0.25">
      <c r="B218" s="274">
        <v>12.7</v>
      </c>
      <c r="C218" s="274">
        <v>91</v>
      </c>
      <c r="D218" s="274">
        <v>12.7</v>
      </c>
      <c r="E218" s="274">
        <v>1.4</v>
      </c>
      <c r="F218" s="274">
        <v>1.8</v>
      </c>
      <c r="G218" s="274">
        <v>9</v>
      </c>
      <c r="H218" s="274">
        <v>1023.1</v>
      </c>
      <c r="I218" s="274">
        <v>0</v>
      </c>
      <c r="J218" s="274">
        <v>0</v>
      </c>
      <c r="K218" s="274">
        <v>0</v>
      </c>
      <c r="L218" s="274">
        <v>0</v>
      </c>
      <c r="M218" s="274">
        <v>65.3</v>
      </c>
      <c r="N218" s="396">
        <v>599.79999999999995</v>
      </c>
      <c r="O218" s="396">
        <v>11.3</v>
      </c>
      <c r="P218" s="396">
        <v>11.3</v>
      </c>
      <c r="Q218" s="397">
        <v>0.14513888888888901</v>
      </c>
      <c r="R218" s="396"/>
      <c r="S218" s="400"/>
      <c r="T218" s="409"/>
      <c r="U218" s="398" t="str">
        <f t="shared" si="11"/>
        <v/>
      </c>
      <c r="V218" s="400"/>
      <c r="W218" s="410">
        <f t="shared" si="10"/>
        <v>11.3</v>
      </c>
      <c r="X218" s="472"/>
      <c r="AT218" s="232"/>
      <c r="AV218" s="198"/>
      <c r="AW218" s="274"/>
    </row>
    <row r="219" spans="2:49" x14ac:dyDescent="0.25">
      <c r="B219" s="274">
        <v>12.7</v>
      </c>
      <c r="C219" s="274">
        <v>91</v>
      </c>
      <c r="D219" s="274">
        <v>12.7</v>
      </c>
      <c r="E219" s="274">
        <v>0.4</v>
      </c>
      <c r="F219" s="274">
        <v>1.8</v>
      </c>
      <c r="G219" s="274">
        <v>9</v>
      </c>
      <c r="H219" s="274">
        <v>1023.2</v>
      </c>
      <c r="I219" s="274">
        <v>0</v>
      </c>
      <c r="J219" s="274">
        <v>0</v>
      </c>
      <c r="K219" s="274">
        <v>0</v>
      </c>
      <c r="L219" s="274">
        <v>0</v>
      </c>
      <c r="M219" s="274">
        <v>65.3</v>
      </c>
      <c r="N219" s="396">
        <v>599.79999999999995</v>
      </c>
      <c r="O219" s="396">
        <v>11.3</v>
      </c>
      <c r="P219" s="396">
        <v>11.2</v>
      </c>
      <c r="Q219" s="397">
        <v>0.14583333333333301</v>
      </c>
      <c r="R219" s="396"/>
      <c r="S219" s="400"/>
      <c r="T219" s="409"/>
      <c r="U219" s="398" t="str">
        <f t="shared" si="11"/>
        <v/>
      </c>
      <c r="V219" s="400"/>
      <c r="W219" s="410">
        <f t="shared" si="10"/>
        <v>11.3</v>
      </c>
      <c r="X219" s="472"/>
      <c r="AT219" s="232"/>
      <c r="AV219" s="198"/>
      <c r="AW219" s="274"/>
    </row>
    <row r="220" spans="2:49" x14ac:dyDescent="0.25">
      <c r="B220" s="274">
        <v>12.7</v>
      </c>
      <c r="C220" s="274">
        <v>91</v>
      </c>
      <c r="D220" s="274">
        <v>12.7</v>
      </c>
      <c r="E220" s="274">
        <v>0</v>
      </c>
      <c r="F220" s="274">
        <v>0</v>
      </c>
      <c r="G220" s="274">
        <v>9</v>
      </c>
      <c r="H220" s="274">
        <v>1023.1</v>
      </c>
      <c r="I220" s="274">
        <v>0</v>
      </c>
      <c r="J220" s="274">
        <v>0</v>
      </c>
      <c r="K220" s="274">
        <v>0</v>
      </c>
      <c r="L220" s="274">
        <v>0</v>
      </c>
      <c r="M220" s="274">
        <v>65.3</v>
      </c>
      <c r="N220" s="396">
        <v>599.79999999999995</v>
      </c>
      <c r="O220" s="396">
        <v>11.3</v>
      </c>
      <c r="P220" s="396">
        <v>11.3</v>
      </c>
      <c r="Q220" s="397">
        <v>0.14652777777777801</v>
      </c>
      <c r="R220" s="396"/>
      <c r="S220" s="400"/>
      <c r="T220" s="409"/>
      <c r="U220" s="398" t="str">
        <f t="shared" si="11"/>
        <v/>
      </c>
      <c r="V220" s="400"/>
      <c r="W220" s="410">
        <f t="shared" si="10"/>
        <v>11.3</v>
      </c>
      <c r="X220" s="472"/>
      <c r="AT220" s="232"/>
      <c r="AV220" s="198"/>
      <c r="AW220" s="274"/>
    </row>
    <row r="221" spans="2:49" x14ac:dyDescent="0.25">
      <c r="B221" s="274">
        <v>12.7</v>
      </c>
      <c r="C221" s="274">
        <v>91</v>
      </c>
      <c r="D221" s="274">
        <v>12.7</v>
      </c>
      <c r="E221" s="274">
        <v>0.7</v>
      </c>
      <c r="F221" s="274">
        <v>1.8</v>
      </c>
      <c r="G221" s="274">
        <v>9</v>
      </c>
      <c r="H221" s="274">
        <v>1023.2</v>
      </c>
      <c r="I221" s="274">
        <v>0</v>
      </c>
      <c r="J221" s="274">
        <v>0</v>
      </c>
      <c r="K221" s="274">
        <v>0</v>
      </c>
      <c r="L221" s="274">
        <v>0</v>
      </c>
      <c r="M221" s="274">
        <v>65.3</v>
      </c>
      <c r="N221" s="396">
        <v>599.79999999999995</v>
      </c>
      <c r="O221" s="396">
        <v>11.2</v>
      </c>
      <c r="P221" s="396">
        <v>11.2</v>
      </c>
      <c r="Q221" s="397">
        <v>0.147222222222222</v>
      </c>
      <c r="R221" s="396"/>
      <c r="S221" s="400"/>
      <c r="T221" s="409"/>
      <c r="U221" s="398" t="str">
        <f t="shared" si="11"/>
        <v/>
      </c>
      <c r="V221" s="400"/>
      <c r="W221" s="410">
        <f t="shared" si="10"/>
        <v>11.2</v>
      </c>
      <c r="X221" s="472"/>
      <c r="AT221" s="232"/>
      <c r="AV221" s="198"/>
      <c r="AW221" s="274"/>
    </row>
    <row r="222" spans="2:49" x14ac:dyDescent="0.25">
      <c r="B222" s="274">
        <v>12.6</v>
      </c>
      <c r="C222" s="274">
        <v>91</v>
      </c>
      <c r="D222" s="274">
        <v>12.6</v>
      </c>
      <c r="E222" s="274">
        <v>0</v>
      </c>
      <c r="F222" s="274">
        <v>0</v>
      </c>
      <c r="G222" s="274">
        <v>9</v>
      </c>
      <c r="H222" s="274">
        <v>1023.1</v>
      </c>
      <c r="I222" s="274">
        <v>0</v>
      </c>
      <c r="J222" s="274">
        <v>0</v>
      </c>
      <c r="K222" s="274">
        <v>0</v>
      </c>
      <c r="L222" s="274">
        <v>0</v>
      </c>
      <c r="M222" s="274">
        <v>65.3</v>
      </c>
      <c r="N222" s="396">
        <v>599.79999999999995</v>
      </c>
      <c r="O222" s="396">
        <v>11.2</v>
      </c>
      <c r="P222" s="396">
        <v>11.2</v>
      </c>
      <c r="Q222" s="397">
        <v>0.147916666666667</v>
      </c>
      <c r="R222" s="396"/>
      <c r="S222" s="400"/>
      <c r="T222" s="409"/>
      <c r="U222" s="398" t="str">
        <f t="shared" si="11"/>
        <v/>
      </c>
      <c r="V222" s="400"/>
      <c r="W222" s="410">
        <f t="shared" si="10"/>
        <v>11.2</v>
      </c>
      <c r="X222" s="472"/>
      <c r="AT222" s="232"/>
      <c r="AV222" s="198"/>
      <c r="AW222" s="274"/>
    </row>
    <row r="223" spans="2:49" x14ac:dyDescent="0.25">
      <c r="B223" s="274">
        <v>12.6</v>
      </c>
      <c r="C223" s="274">
        <v>91</v>
      </c>
      <c r="D223" s="274">
        <v>12.6</v>
      </c>
      <c r="E223" s="274">
        <v>0</v>
      </c>
      <c r="F223" s="274">
        <v>0</v>
      </c>
      <c r="G223" s="274">
        <v>9</v>
      </c>
      <c r="H223" s="274">
        <v>1023.1</v>
      </c>
      <c r="I223" s="274">
        <v>0</v>
      </c>
      <c r="J223" s="274">
        <v>0</v>
      </c>
      <c r="K223" s="274">
        <v>0</v>
      </c>
      <c r="L223" s="274">
        <v>0</v>
      </c>
      <c r="M223" s="274">
        <v>65.3</v>
      </c>
      <c r="N223" s="396">
        <v>599.79999999999995</v>
      </c>
      <c r="O223" s="396">
        <v>11.2</v>
      </c>
      <c r="P223" s="396">
        <v>11.2</v>
      </c>
      <c r="Q223" s="397">
        <v>0.148611111111111</v>
      </c>
      <c r="R223" s="396"/>
      <c r="S223" s="400"/>
      <c r="T223" s="409"/>
      <c r="U223" s="398" t="str">
        <f t="shared" si="11"/>
        <v/>
      </c>
      <c r="V223" s="400"/>
      <c r="W223" s="410">
        <f t="shared" si="10"/>
        <v>11.2</v>
      </c>
      <c r="X223" s="472"/>
      <c r="AT223" s="232"/>
      <c r="AV223" s="198"/>
      <c r="AW223" s="274"/>
    </row>
    <row r="224" spans="2:49" x14ac:dyDescent="0.25">
      <c r="B224" s="274">
        <v>12.6</v>
      </c>
      <c r="C224" s="274">
        <v>91</v>
      </c>
      <c r="D224" s="274">
        <v>12.6</v>
      </c>
      <c r="E224" s="274">
        <v>0</v>
      </c>
      <c r="F224" s="274">
        <v>0</v>
      </c>
      <c r="G224" s="274">
        <v>9</v>
      </c>
      <c r="H224" s="274">
        <v>1023.2</v>
      </c>
      <c r="I224" s="274">
        <v>0</v>
      </c>
      <c r="J224" s="274">
        <v>0</v>
      </c>
      <c r="K224" s="274">
        <v>0</v>
      </c>
      <c r="L224" s="274">
        <v>0</v>
      </c>
      <c r="M224" s="274">
        <v>65.3</v>
      </c>
      <c r="N224" s="396">
        <v>599.79999999999995</v>
      </c>
      <c r="O224" s="396">
        <v>11.2</v>
      </c>
      <c r="P224" s="396">
        <v>11.2</v>
      </c>
      <c r="Q224" s="397">
        <v>0.149305555555556</v>
      </c>
      <c r="R224" s="396"/>
      <c r="S224" s="400"/>
      <c r="T224" s="409"/>
      <c r="U224" s="398" t="str">
        <f t="shared" si="11"/>
        <v/>
      </c>
      <c r="V224" s="400"/>
      <c r="W224" s="410">
        <f t="shared" si="10"/>
        <v>11.2</v>
      </c>
      <c r="X224" s="472"/>
      <c r="AT224" s="232"/>
      <c r="AV224" s="198"/>
      <c r="AW224" s="274"/>
    </row>
    <row r="225" spans="2:49" x14ac:dyDescent="0.25">
      <c r="B225" s="274">
        <v>12.6</v>
      </c>
      <c r="C225" s="274">
        <v>91</v>
      </c>
      <c r="D225" s="274">
        <v>12.6</v>
      </c>
      <c r="E225" s="274">
        <v>0</v>
      </c>
      <c r="F225" s="274">
        <v>0</v>
      </c>
      <c r="G225" s="274">
        <v>9</v>
      </c>
      <c r="H225" s="274">
        <v>1023.3</v>
      </c>
      <c r="I225" s="274">
        <v>0</v>
      </c>
      <c r="J225" s="274">
        <v>0</v>
      </c>
      <c r="K225" s="274">
        <v>0</v>
      </c>
      <c r="L225" s="274">
        <v>0</v>
      </c>
      <c r="M225" s="274">
        <v>65.3</v>
      </c>
      <c r="N225" s="396">
        <v>599.79999999999995</v>
      </c>
      <c r="O225" s="396">
        <v>11.2</v>
      </c>
      <c r="P225" s="396">
        <v>11.2</v>
      </c>
      <c r="Q225" s="397">
        <v>0.15</v>
      </c>
      <c r="R225" s="396"/>
      <c r="S225" s="400"/>
      <c r="T225" s="409"/>
      <c r="U225" s="398" t="str">
        <f t="shared" si="11"/>
        <v/>
      </c>
      <c r="V225" s="400"/>
      <c r="W225" s="410">
        <f t="shared" si="10"/>
        <v>11.2</v>
      </c>
      <c r="X225" s="472"/>
      <c r="AT225" s="232"/>
      <c r="AV225" s="198"/>
      <c r="AW225" s="274"/>
    </row>
    <row r="226" spans="2:49" x14ac:dyDescent="0.25">
      <c r="B226" s="274">
        <v>12.6</v>
      </c>
      <c r="C226" s="274">
        <v>91</v>
      </c>
      <c r="D226" s="274">
        <v>12.6</v>
      </c>
      <c r="E226" s="274">
        <v>0.7</v>
      </c>
      <c r="F226" s="274">
        <v>1.8</v>
      </c>
      <c r="G226" s="274">
        <v>9</v>
      </c>
      <c r="H226" s="274">
        <v>1023.2</v>
      </c>
      <c r="I226" s="274">
        <v>0</v>
      </c>
      <c r="J226" s="274">
        <v>0</v>
      </c>
      <c r="K226" s="274">
        <v>0</v>
      </c>
      <c r="L226" s="274">
        <v>0</v>
      </c>
      <c r="M226" s="274">
        <v>65.3</v>
      </c>
      <c r="N226" s="396">
        <v>599.79999999999995</v>
      </c>
      <c r="O226" s="396">
        <v>11.2</v>
      </c>
      <c r="P226" s="396">
        <v>11.1</v>
      </c>
      <c r="Q226" s="397">
        <v>0.15069444444444399</v>
      </c>
      <c r="R226" s="396"/>
      <c r="S226" s="400"/>
      <c r="T226" s="409"/>
      <c r="U226" s="398" t="str">
        <f t="shared" si="11"/>
        <v/>
      </c>
      <c r="V226" s="400"/>
      <c r="W226" s="410">
        <f t="shared" si="10"/>
        <v>11.2</v>
      </c>
      <c r="X226" s="472"/>
      <c r="AT226" s="232"/>
      <c r="AV226" s="198"/>
      <c r="AW226" s="274"/>
    </row>
    <row r="227" spans="2:49" x14ac:dyDescent="0.25">
      <c r="B227" s="274">
        <v>12.6</v>
      </c>
      <c r="C227" s="274">
        <v>91</v>
      </c>
      <c r="D227" s="274">
        <v>12.6</v>
      </c>
      <c r="E227" s="274">
        <v>2.5</v>
      </c>
      <c r="F227" s="274">
        <v>3.6</v>
      </c>
      <c r="G227" s="274">
        <v>9</v>
      </c>
      <c r="H227" s="274">
        <v>1023.1</v>
      </c>
      <c r="I227" s="274">
        <v>0</v>
      </c>
      <c r="J227" s="274">
        <v>0</v>
      </c>
      <c r="K227" s="274">
        <v>0</v>
      </c>
      <c r="L227" s="274">
        <v>0</v>
      </c>
      <c r="M227" s="274">
        <v>65.3</v>
      </c>
      <c r="N227" s="396">
        <v>599.79999999999995</v>
      </c>
      <c r="O227" s="396">
        <v>11.2</v>
      </c>
      <c r="P227" s="396">
        <v>11.1</v>
      </c>
      <c r="Q227" s="397">
        <v>0.15138888888888899</v>
      </c>
      <c r="R227" s="396"/>
      <c r="S227" s="400"/>
      <c r="T227" s="409"/>
      <c r="U227" s="398" t="str">
        <f t="shared" si="11"/>
        <v/>
      </c>
      <c r="V227" s="400"/>
      <c r="W227" s="410">
        <f t="shared" si="10"/>
        <v>11.2</v>
      </c>
      <c r="X227" s="472"/>
      <c r="AT227" s="232"/>
      <c r="AV227" s="198"/>
      <c r="AW227" s="274"/>
    </row>
    <row r="228" spans="2:49" x14ac:dyDescent="0.25">
      <c r="B228" s="274">
        <v>12.6</v>
      </c>
      <c r="C228" s="274">
        <v>91</v>
      </c>
      <c r="D228" s="274">
        <v>12.6</v>
      </c>
      <c r="E228" s="274">
        <v>0.4</v>
      </c>
      <c r="F228" s="274">
        <v>1.8</v>
      </c>
      <c r="G228" s="274">
        <v>9</v>
      </c>
      <c r="H228" s="274">
        <v>1023.1</v>
      </c>
      <c r="I228" s="274">
        <v>0</v>
      </c>
      <c r="J228" s="274">
        <v>0</v>
      </c>
      <c r="K228" s="274">
        <v>0</v>
      </c>
      <c r="L228" s="274">
        <v>0</v>
      </c>
      <c r="M228" s="274">
        <v>65.3</v>
      </c>
      <c r="N228" s="396">
        <v>599.79999999999995</v>
      </c>
      <c r="O228" s="396">
        <v>11.2</v>
      </c>
      <c r="P228" s="396">
        <v>11.1</v>
      </c>
      <c r="Q228" s="397">
        <v>0.15208333333333299</v>
      </c>
      <c r="R228" s="396"/>
      <c r="S228" s="400"/>
      <c r="T228" s="409"/>
      <c r="U228" s="398" t="str">
        <f t="shared" si="11"/>
        <v/>
      </c>
      <c r="V228" s="400"/>
      <c r="W228" s="410">
        <f t="shared" si="10"/>
        <v>11.2</v>
      </c>
      <c r="X228" s="472"/>
      <c r="AT228" s="232"/>
      <c r="AV228" s="198"/>
      <c r="AW228" s="274"/>
    </row>
    <row r="229" spans="2:49" x14ac:dyDescent="0.25">
      <c r="B229" s="274">
        <v>12.6</v>
      </c>
      <c r="C229" s="274">
        <v>91</v>
      </c>
      <c r="D229" s="274">
        <v>12.6</v>
      </c>
      <c r="E229" s="274">
        <v>0</v>
      </c>
      <c r="F229" s="274">
        <v>0</v>
      </c>
      <c r="G229" s="274">
        <v>9</v>
      </c>
      <c r="H229" s="274">
        <v>1023.2</v>
      </c>
      <c r="I229" s="274">
        <v>0</v>
      </c>
      <c r="J229" s="274">
        <v>0</v>
      </c>
      <c r="K229" s="274">
        <v>0</v>
      </c>
      <c r="L229" s="274">
        <v>0</v>
      </c>
      <c r="M229" s="274">
        <v>65.3</v>
      </c>
      <c r="N229" s="396">
        <v>599.79999999999995</v>
      </c>
      <c r="O229" s="396">
        <v>11.2</v>
      </c>
      <c r="P229" s="396">
        <v>11.1</v>
      </c>
      <c r="Q229" s="397">
        <v>0.15277777777777801</v>
      </c>
      <c r="R229" s="396"/>
      <c r="S229" s="400"/>
      <c r="T229" s="409"/>
      <c r="U229" s="398" t="str">
        <f t="shared" si="11"/>
        <v/>
      </c>
      <c r="V229" s="400"/>
      <c r="W229" s="410">
        <f t="shared" si="10"/>
        <v>11.2</v>
      </c>
      <c r="X229" s="472"/>
      <c r="AT229" s="232"/>
      <c r="AV229" s="198"/>
      <c r="AW229" s="274"/>
    </row>
    <row r="230" spans="2:49" x14ac:dyDescent="0.25">
      <c r="B230" s="274">
        <v>12.6</v>
      </c>
      <c r="C230" s="274">
        <v>91</v>
      </c>
      <c r="D230" s="274">
        <v>12.6</v>
      </c>
      <c r="E230" s="274">
        <v>0</v>
      </c>
      <c r="F230" s="274">
        <v>0</v>
      </c>
      <c r="G230" s="274">
        <v>9</v>
      </c>
      <c r="H230" s="274">
        <v>1023.3</v>
      </c>
      <c r="I230" s="274">
        <v>0</v>
      </c>
      <c r="J230" s="274">
        <v>0</v>
      </c>
      <c r="K230" s="274">
        <v>0</v>
      </c>
      <c r="L230" s="274">
        <v>0</v>
      </c>
      <c r="M230" s="274">
        <v>65.3</v>
      </c>
      <c r="N230" s="396">
        <v>599.79999999999995</v>
      </c>
      <c r="O230" s="396">
        <v>11.2</v>
      </c>
      <c r="P230" s="396">
        <v>11.1</v>
      </c>
      <c r="Q230" s="397">
        <v>0.15347222222222201</v>
      </c>
      <c r="R230" s="396"/>
      <c r="S230" s="400"/>
      <c r="T230" s="409"/>
      <c r="U230" s="398" t="str">
        <f t="shared" si="11"/>
        <v/>
      </c>
      <c r="V230" s="400"/>
      <c r="W230" s="410">
        <f t="shared" si="10"/>
        <v>11.2</v>
      </c>
      <c r="X230" s="472"/>
      <c r="AT230" s="232"/>
      <c r="AV230" s="198"/>
      <c r="AW230" s="274"/>
    </row>
    <row r="231" spans="2:49" x14ac:dyDescent="0.25">
      <c r="B231" s="274">
        <v>12.6</v>
      </c>
      <c r="C231" s="274">
        <v>91</v>
      </c>
      <c r="D231" s="274">
        <v>12.6</v>
      </c>
      <c r="E231" s="274">
        <v>0</v>
      </c>
      <c r="F231" s="274">
        <v>0</v>
      </c>
      <c r="G231" s="274">
        <v>9</v>
      </c>
      <c r="H231" s="274">
        <v>1023.2</v>
      </c>
      <c r="I231" s="274">
        <v>0</v>
      </c>
      <c r="J231" s="274">
        <v>0</v>
      </c>
      <c r="K231" s="274">
        <v>0</v>
      </c>
      <c r="L231" s="274">
        <v>0</v>
      </c>
      <c r="M231" s="274">
        <v>65.3</v>
      </c>
      <c r="N231" s="396">
        <v>599.79999999999995</v>
      </c>
      <c r="O231" s="396">
        <v>11.2</v>
      </c>
      <c r="P231" s="396">
        <v>11.1</v>
      </c>
      <c r="Q231" s="397">
        <v>0.15416666666666701</v>
      </c>
      <c r="R231" s="396"/>
      <c r="S231" s="400"/>
      <c r="T231" s="409"/>
      <c r="U231" s="398" t="str">
        <f t="shared" si="11"/>
        <v/>
      </c>
      <c r="V231" s="400"/>
      <c r="W231" s="410">
        <f t="shared" si="10"/>
        <v>11.2</v>
      </c>
      <c r="X231" s="472"/>
      <c r="AT231" s="232"/>
      <c r="AV231" s="198"/>
      <c r="AW231" s="274"/>
    </row>
    <row r="232" spans="2:49" x14ac:dyDescent="0.25">
      <c r="B232" s="274">
        <v>12.5</v>
      </c>
      <c r="C232" s="274">
        <v>92</v>
      </c>
      <c r="D232" s="274">
        <v>12.5</v>
      </c>
      <c r="E232" s="274">
        <v>0</v>
      </c>
      <c r="F232" s="274">
        <v>0</v>
      </c>
      <c r="G232" s="274">
        <v>9</v>
      </c>
      <c r="H232" s="274">
        <v>1023.2</v>
      </c>
      <c r="I232" s="274">
        <v>0</v>
      </c>
      <c r="J232" s="274">
        <v>0</v>
      </c>
      <c r="K232" s="274">
        <v>0</v>
      </c>
      <c r="L232" s="274">
        <v>0</v>
      </c>
      <c r="M232" s="274">
        <v>65.3</v>
      </c>
      <c r="N232" s="396">
        <v>599.79999999999995</v>
      </c>
      <c r="O232" s="396">
        <v>11.1</v>
      </c>
      <c r="P232" s="396">
        <v>11.1</v>
      </c>
      <c r="Q232" s="397">
        <v>0.15486111111111101</v>
      </c>
      <c r="R232" s="396"/>
      <c r="S232" s="400"/>
      <c r="T232" s="409"/>
      <c r="U232" s="398" t="str">
        <f t="shared" si="11"/>
        <v/>
      </c>
      <c r="V232" s="400"/>
      <c r="W232" s="410">
        <f t="shared" si="10"/>
        <v>11.1</v>
      </c>
      <c r="X232" s="472"/>
      <c r="AT232" s="232"/>
      <c r="AV232" s="198"/>
      <c r="AW232" s="274"/>
    </row>
    <row r="233" spans="2:49" x14ac:dyDescent="0.25">
      <c r="B233" s="274">
        <v>12.5</v>
      </c>
      <c r="C233" s="274">
        <v>91</v>
      </c>
      <c r="D233" s="274">
        <v>12.5</v>
      </c>
      <c r="E233" s="274">
        <v>0</v>
      </c>
      <c r="F233" s="274">
        <v>0</v>
      </c>
      <c r="G233" s="274">
        <v>9</v>
      </c>
      <c r="H233" s="274">
        <v>1023.3</v>
      </c>
      <c r="I233" s="274">
        <v>0</v>
      </c>
      <c r="J233" s="274">
        <v>0</v>
      </c>
      <c r="K233" s="274">
        <v>0</v>
      </c>
      <c r="L233" s="274">
        <v>0</v>
      </c>
      <c r="M233" s="274">
        <v>65.3</v>
      </c>
      <c r="N233" s="396">
        <v>599.79999999999995</v>
      </c>
      <c r="O233" s="396">
        <v>11.1</v>
      </c>
      <c r="P233" s="396">
        <v>11.1</v>
      </c>
      <c r="Q233" s="397">
        <v>0.155555555555556</v>
      </c>
      <c r="R233" s="396"/>
      <c r="S233" s="400"/>
      <c r="T233" s="409"/>
      <c r="U233" s="398" t="str">
        <f t="shared" si="11"/>
        <v/>
      </c>
      <c r="V233" s="400"/>
      <c r="W233" s="410">
        <f t="shared" si="10"/>
        <v>11.1</v>
      </c>
      <c r="X233" s="472"/>
      <c r="AT233" s="232"/>
      <c r="AV233" s="198"/>
      <c r="AW233" s="274"/>
    </row>
    <row r="234" spans="2:49" x14ac:dyDescent="0.25">
      <c r="B234" s="274">
        <v>12.5</v>
      </c>
      <c r="C234" s="274">
        <v>91</v>
      </c>
      <c r="D234" s="274">
        <v>12.5</v>
      </c>
      <c r="E234" s="274">
        <v>0</v>
      </c>
      <c r="F234" s="274">
        <v>0</v>
      </c>
      <c r="G234" s="274">
        <v>9</v>
      </c>
      <c r="H234" s="274">
        <v>1023.1</v>
      </c>
      <c r="I234" s="274">
        <v>0</v>
      </c>
      <c r="J234" s="274">
        <v>0</v>
      </c>
      <c r="K234" s="274">
        <v>0</v>
      </c>
      <c r="L234" s="274">
        <v>0</v>
      </c>
      <c r="M234" s="274">
        <v>65.3</v>
      </c>
      <c r="N234" s="396">
        <v>599.79999999999995</v>
      </c>
      <c r="O234" s="396">
        <v>11.1</v>
      </c>
      <c r="P234" s="396">
        <v>11.1</v>
      </c>
      <c r="Q234" s="397">
        <v>0.15625</v>
      </c>
      <c r="R234" s="396"/>
      <c r="S234" s="400"/>
      <c r="T234" s="409"/>
      <c r="U234" s="398" t="str">
        <f t="shared" si="11"/>
        <v/>
      </c>
      <c r="V234" s="400"/>
      <c r="W234" s="410">
        <f t="shared" si="10"/>
        <v>11.1</v>
      </c>
      <c r="X234" s="472"/>
      <c r="AT234" s="232"/>
      <c r="AV234" s="198"/>
      <c r="AW234" s="274"/>
    </row>
    <row r="235" spans="2:49" x14ac:dyDescent="0.25">
      <c r="B235" s="274">
        <v>12.5</v>
      </c>
      <c r="C235" s="274">
        <v>92</v>
      </c>
      <c r="D235" s="274">
        <v>12.5</v>
      </c>
      <c r="E235" s="274">
        <v>0.7</v>
      </c>
      <c r="F235" s="274">
        <v>1.8</v>
      </c>
      <c r="G235" s="274">
        <v>9</v>
      </c>
      <c r="H235" s="274">
        <v>1023.2</v>
      </c>
      <c r="I235" s="274">
        <v>0</v>
      </c>
      <c r="J235" s="274">
        <v>0</v>
      </c>
      <c r="K235" s="274">
        <v>0</v>
      </c>
      <c r="L235" s="274">
        <v>0</v>
      </c>
      <c r="M235" s="274">
        <v>65.3</v>
      </c>
      <c r="N235" s="396">
        <v>599.79999999999995</v>
      </c>
      <c r="O235" s="396">
        <v>11.1</v>
      </c>
      <c r="P235" s="396">
        <v>11.1</v>
      </c>
      <c r="Q235" s="397">
        <v>0.156944444444444</v>
      </c>
      <c r="R235" s="396"/>
      <c r="S235" s="400"/>
      <c r="T235" s="409"/>
      <c r="U235" s="398" t="str">
        <f t="shared" si="11"/>
        <v/>
      </c>
      <c r="V235" s="400"/>
      <c r="W235" s="410">
        <f t="shared" si="10"/>
        <v>11.1</v>
      </c>
      <c r="X235" s="472"/>
      <c r="AT235" s="232"/>
      <c r="AV235" s="198"/>
      <c r="AW235" s="274"/>
    </row>
    <row r="236" spans="2:49" x14ac:dyDescent="0.25">
      <c r="B236" s="274">
        <v>12.5</v>
      </c>
      <c r="C236" s="274">
        <v>92</v>
      </c>
      <c r="D236" s="274">
        <v>12.5</v>
      </c>
      <c r="E236" s="274">
        <v>0</v>
      </c>
      <c r="F236" s="274">
        <v>0</v>
      </c>
      <c r="G236" s="274">
        <v>9</v>
      </c>
      <c r="H236" s="274">
        <v>1023.2</v>
      </c>
      <c r="I236" s="274">
        <v>0</v>
      </c>
      <c r="J236" s="274">
        <v>0</v>
      </c>
      <c r="K236" s="274">
        <v>0</v>
      </c>
      <c r="L236" s="274">
        <v>0</v>
      </c>
      <c r="M236" s="274">
        <v>65.3</v>
      </c>
      <c r="N236" s="396">
        <v>599.79999999999995</v>
      </c>
      <c r="O236" s="396">
        <v>11</v>
      </c>
      <c r="P236" s="396">
        <v>11</v>
      </c>
      <c r="Q236" s="397">
        <v>0.15763888888888899</v>
      </c>
      <c r="R236" s="396"/>
      <c r="S236" s="400"/>
      <c r="T236" s="409"/>
      <c r="U236" s="398" t="str">
        <f t="shared" si="11"/>
        <v/>
      </c>
      <c r="V236" s="400"/>
      <c r="W236" s="410">
        <f t="shared" si="10"/>
        <v>11</v>
      </c>
      <c r="X236" s="472"/>
      <c r="AT236" s="232"/>
      <c r="AV236" s="198"/>
      <c r="AW236" s="274"/>
    </row>
    <row r="237" spans="2:49" x14ac:dyDescent="0.25">
      <c r="B237" s="274">
        <v>12.5</v>
      </c>
      <c r="C237" s="274">
        <v>92</v>
      </c>
      <c r="D237" s="274">
        <v>12.5</v>
      </c>
      <c r="E237" s="274">
        <v>0</v>
      </c>
      <c r="F237" s="274">
        <v>0</v>
      </c>
      <c r="G237" s="274">
        <v>9</v>
      </c>
      <c r="H237" s="274">
        <v>1023.3</v>
      </c>
      <c r="I237" s="274">
        <v>0</v>
      </c>
      <c r="J237" s="274">
        <v>0</v>
      </c>
      <c r="K237" s="274">
        <v>0</v>
      </c>
      <c r="L237" s="274">
        <v>0</v>
      </c>
      <c r="M237" s="274">
        <v>65.3</v>
      </c>
      <c r="N237" s="396">
        <v>599.79999999999995</v>
      </c>
      <c r="O237" s="396">
        <v>11</v>
      </c>
      <c r="P237" s="396">
        <v>11</v>
      </c>
      <c r="Q237" s="397">
        <v>0.15833333333333299</v>
      </c>
      <c r="R237" s="396"/>
      <c r="S237" s="400"/>
      <c r="T237" s="409"/>
      <c r="U237" s="398" t="str">
        <f t="shared" si="11"/>
        <v/>
      </c>
      <c r="V237" s="400"/>
      <c r="W237" s="410">
        <f t="shared" si="10"/>
        <v>11</v>
      </c>
      <c r="X237" s="472"/>
      <c r="AT237" s="232"/>
      <c r="AV237" s="198"/>
      <c r="AW237" s="274"/>
    </row>
    <row r="238" spans="2:49" x14ac:dyDescent="0.25">
      <c r="B238" s="274">
        <v>12.5</v>
      </c>
      <c r="C238" s="274">
        <v>91</v>
      </c>
      <c r="D238" s="274">
        <v>12.5</v>
      </c>
      <c r="E238" s="274">
        <v>0</v>
      </c>
      <c r="F238" s="274">
        <v>0</v>
      </c>
      <c r="G238" s="274">
        <v>9</v>
      </c>
      <c r="H238" s="274">
        <v>1023.2</v>
      </c>
      <c r="I238" s="274">
        <v>0</v>
      </c>
      <c r="J238" s="274">
        <v>0</v>
      </c>
      <c r="K238" s="274">
        <v>0</v>
      </c>
      <c r="L238" s="274">
        <v>0</v>
      </c>
      <c r="M238" s="274">
        <v>65.3</v>
      </c>
      <c r="N238" s="396">
        <v>599.79999999999995</v>
      </c>
      <c r="O238" s="396">
        <v>11</v>
      </c>
      <c r="P238" s="396">
        <v>11</v>
      </c>
      <c r="Q238" s="397">
        <v>0.15902777777777799</v>
      </c>
      <c r="R238" s="396"/>
      <c r="S238" s="400"/>
      <c r="T238" s="409"/>
      <c r="U238" s="398" t="str">
        <f t="shared" si="11"/>
        <v/>
      </c>
      <c r="V238" s="400"/>
      <c r="W238" s="410">
        <f t="shared" si="10"/>
        <v>11</v>
      </c>
      <c r="X238" s="472"/>
      <c r="AT238" s="232"/>
      <c r="AV238" s="198"/>
      <c r="AW238" s="274"/>
    </row>
    <row r="239" spans="2:49" x14ac:dyDescent="0.25">
      <c r="B239" s="274">
        <v>12.4</v>
      </c>
      <c r="C239" s="274">
        <v>92</v>
      </c>
      <c r="D239" s="274">
        <v>12.4</v>
      </c>
      <c r="E239" s="274">
        <v>0</v>
      </c>
      <c r="F239" s="274">
        <v>0</v>
      </c>
      <c r="G239" s="274">
        <v>9</v>
      </c>
      <c r="H239" s="274">
        <v>1023.3</v>
      </c>
      <c r="I239" s="274">
        <v>0</v>
      </c>
      <c r="J239" s="274">
        <v>0</v>
      </c>
      <c r="K239" s="274">
        <v>0</v>
      </c>
      <c r="L239" s="274">
        <v>0</v>
      </c>
      <c r="M239" s="274">
        <v>65.3</v>
      </c>
      <c r="N239" s="396">
        <v>599.79999999999995</v>
      </c>
      <c r="O239" s="396">
        <v>11</v>
      </c>
      <c r="P239" s="396">
        <v>11</v>
      </c>
      <c r="Q239" s="397">
        <v>0.15972222222222199</v>
      </c>
      <c r="R239" s="396"/>
      <c r="S239" s="400"/>
      <c r="T239" s="409"/>
      <c r="U239" s="398" t="str">
        <f t="shared" si="11"/>
        <v/>
      </c>
      <c r="V239" s="400"/>
      <c r="W239" s="410">
        <f t="shared" si="10"/>
        <v>11</v>
      </c>
      <c r="X239" s="472"/>
      <c r="AT239" s="232"/>
      <c r="AV239" s="198"/>
      <c r="AW239" s="274"/>
    </row>
    <row r="240" spans="2:49" x14ac:dyDescent="0.25">
      <c r="B240" s="274">
        <v>12.4</v>
      </c>
      <c r="C240" s="274">
        <v>92</v>
      </c>
      <c r="D240" s="274">
        <v>12.4</v>
      </c>
      <c r="E240" s="274">
        <v>0.4</v>
      </c>
      <c r="F240" s="274">
        <v>1.8</v>
      </c>
      <c r="G240" s="274">
        <v>9</v>
      </c>
      <c r="H240" s="274">
        <v>1023.1</v>
      </c>
      <c r="I240" s="274">
        <v>0</v>
      </c>
      <c r="J240" s="274">
        <v>0</v>
      </c>
      <c r="K240" s="274">
        <v>0</v>
      </c>
      <c r="L240" s="274">
        <v>0</v>
      </c>
      <c r="M240" s="274">
        <v>65.3</v>
      </c>
      <c r="N240" s="396">
        <v>599.79999999999995</v>
      </c>
      <c r="O240" s="396">
        <v>11</v>
      </c>
      <c r="P240" s="396">
        <v>11</v>
      </c>
      <c r="Q240" s="397">
        <v>0.16041666666666701</v>
      </c>
      <c r="R240" s="396"/>
      <c r="S240" s="400"/>
      <c r="T240" s="409"/>
      <c r="U240" s="398" t="str">
        <f t="shared" si="11"/>
        <v/>
      </c>
      <c r="V240" s="400"/>
      <c r="W240" s="410">
        <f t="shared" si="10"/>
        <v>11</v>
      </c>
      <c r="X240" s="472"/>
      <c r="AT240" s="232"/>
      <c r="AV240" s="198"/>
      <c r="AW240" s="274"/>
    </row>
    <row r="241" spans="2:49" x14ac:dyDescent="0.25">
      <c r="B241" s="274">
        <v>12.4</v>
      </c>
      <c r="C241" s="274">
        <v>92</v>
      </c>
      <c r="D241" s="274">
        <v>12.4</v>
      </c>
      <c r="E241" s="274">
        <v>0</v>
      </c>
      <c r="F241" s="274">
        <v>0</v>
      </c>
      <c r="G241" s="274">
        <v>9</v>
      </c>
      <c r="H241" s="274">
        <v>1023.1</v>
      </c>
      <c r="I241" s="274">
        <v>0</v>
      </c>
      <c r="J241" s="274">
        <v>0</v>
      </c>
      <c r="K241" s="274">
        <v>0</v>
      </c>
      <c r="L241" s="274">
        <v>0</v>
      </c>
      <c r="M241" s="274">
        <v>65.3</v>
      </c>
      <c r="N241" s="396">
        <v>599.79999999999995</v>
      </c>
      <c r="O241" s="396">
        <v>11</v>
      </c>
      <c r="P241" s="396">
        <v>11</v>
      </c>
      <c r="Q241" s="397">
        <v>0.16111111111111101</v>
      </c>
      <c r="R241" s="396"/>
      <c r="S241" s="400"/>
      <c r="T241" s="409"/>
      <c r="U241" s="398" t="str">
        <f t="shared" si="11"/>
        <v/>
      </c>
      <c r="V241" s="400"/>
      <c r="W241" s="410">
        <f t="shared" si="10"/>
        <v>11</v>
      </c>
      <c r="X241" s="472"/>
      <c r="AT241" s="232"/>
      <c r="AV241" s="198"/>
      <c r="AW241" s="274"/>
    </row>
    <row r="242" spans="2:49" x14ac:dyDescent="0.25">
      <c r="B242" s="274">
        <v>12.4</v>
      </c>
      <c r="C242" s="274">
        <v>92</v>
      </c>
      <c r="D242" s="274">
        <v>12.4</v>
      </c>
      <c r="E242" s="274">
        <v>0</v>
      </c>
      <c r="F242" s="274">
        <v>0</v>
      </c>
      <c r="G242" s="274">
        <v>9</v>
      </c>
      <c r="H242" s="274">
        <v>1023.2</v>
      </c>
      <c r="I242" s="274">
        <v>0</v>
      </c>
      <c r="J242" s="274">
        <v>0</v>
      </c>
      <c r="K242" s="274">
        <v>0</v>
      </c>
      <c r="L242" s="274">
        <v>0</v>
      </c>
      <c r="M242" s="274">
        <v>65.3</v>
      </c>
      <c r="N242" s="396">
        <v>599.79999999999995</v>
      </c>
      <c r="O242" s="396">
        <v>10.9</v>
      </c>
      <c r="P242" s="396">
        <v>10.9</v>
      </c>
      <c r="Q242" s="397">
        <v>0.16180555555555601</v>
      </c>
      <c r="R242" s="396"/>
      <c r="S242" s="400"/>
      <c r="T242" s="409"/>
      <c r="U242" s="398" t="str">
        <f t="shared" si="11"/>
        <v/>
      </c>
      <c r="V242" s="400"/>
      <c r="W242" s="410">
        <f t="shared" si="10"/>
        <v>10.9</v>
      </c>
      <c r="X242" s="472"/>
      <c r="AT242" s="232"/>
      <c r="AV242" s="198"/>
      <c r="AW242" s="274"/>
    </row>
    <row r="243" spans="2:49" x14ac:dyDescent="0.25">
      <c r="B243" s="274">
        <v>12.4</v>
      </c>
      <c r="C243" s="274">
        <v>92</v>
      </c>
      <c r="D243" s="274">
        <v>12.4</v>
      </c>
      <c r="E243" s="274">
        <v>0</v>
      </c>
      <c r="F243" s="274">
        <v>0</v>
      </c>
      <c r="G243" s="274">
        <v>9</v>
      </c>
      <c r="H243" s="274">
        <v>1023.1</v>
      </c>
      <c r="I243" s="274">
        <v>0</v>
      </c>
      <c r="J243" s="274">
        <v>0</v>
      </c>
      <c r="K243" s="274">
        <v>0</v>
      </c>
      <c r="L243" s="274">
        <v>0</v>
      </c>
      <c r="M243" s="274">
        <v>65.3</v>
      </c>
      <c r="N243" s="396">
        <v>599.79999999999995</v>
      </c>
      <c r="O243" s="396">
        <v>10.9</v>
      </c>
      <c r="P243" s="396">
        <v>10.9</v>
      </c>
      <c r="Q243" s="397">
        <v>0.16250000000000001</v>
      </c>
      <c r="R243" s="396"/>
      <c r="S243" s="400"/>
      <c r="T243" s="409"/>
      <c r="U243" s="398" t="str">
        <f t="shared" si="11"/>
        <v/>
      </c>
      <c r="V243" s="400"/>
      <c r="W243" s="410">
        <f t="shared" si="10"/>
        <v>10.9</v>
      </c>
      <c r="X243" s="472"/>
      <c r="Z243" s="156"/>
      <c r="AA243" s="156"/>
      <c r="AB243" s="156"/>
      <c r="AT243" s="232"/>
      <c r="AV243" s="198"/>
      <c r="AW243" s="274"/>
    </row>
    <row r="244" spans="2:49" x14ac:dyDescent="0.25">
      <c r="B244" s="274">
        <v>12.4</v>
      </c>
      <c r="C244" s="274">
        <v>92</v>
      </c>
      <c r="D244" s="274">
        <v>12.4</v>
      </c>
      <c r="E244" s="274">
        <v>0</v>
      </c>
      <c r="F244" s="274">
        <v>0</v>
      </c>
      <c r="G244" s="274">
        <v>9</v>
      </c>
      <c r="H244" s="274">
        <v>1023.3</v>
      </c>
      <c r="I244" s="274">
        <v>0</v>
      </c>
      <c r="J244" s="274">
        <v>0</v>
      </c>
      <c r="K244" s="274">
        <v>0</v>
      </c>
      <c r="L244" s="274">
        <v>0</v>
      </c>
      <c r="M244" s="274">
        <v>65.3</v>
      </c>
      <c r="N244" s="396">
        <v>599.79999999999995</v>
      </c>
      <c r="O244" s="396">
        <v>10.9</v>
      </c>
      <c r="P244" s="396">
        <v>10.9</v>
      </c>
      <c r="Q244" s="397">
        <v>0.163194444444444</v>
      </c>
      <c r="R244" s="396"/>
      <c r="S244" s="400"/>
      <c r="T244" s="409"/>
      <c r="U244" s="398" t="str">
        <f t="shared" si="11"/>
        <v/>
      </c>
      <c r="V244" s="400"/>
      <c r="W244" s="410">
        <f t="shared" si="10"/>
        <v>10.9</v>
      </c>
      <c r="X244" s="472"/>
      <c r="AT244" s="232"/>
      <c r="AV244" s="198"/>
      <c r="AW244" s="274"/>
    </row>
    <row r="245" spans="2:49" x14ac:dyDescent="0.25">
      <c r="B245" s="274">
        <v>12.4</v>
      </c>
      <c r="C245" s="274">
        <v>92</v>
      </c>
      <c r="D245" s="274">
        <v>12.4</v>
      </c>
      <c r="E245" s="274">
        <v>0</v>
      </c>
      <c r="F245" s="274">
        <v>0</v>
      </c>
      <c r="G245" s="274">
        <v>9</v>
      </c>
      <c r="H245" s="274">
        <v>1023.4</v>
      </c>
      <c r="I245" s="274">
        <v>0</v>
      </c>
      <c r="J245" s="274">
        <v>0</v>
      </c>
      <c r="K245" s="274">
        <v>0</v>
      </c>
      <c r="L245" s="274">
        <v>0</v>
      </c>
      <c r="M245" s="274">
        <v>65.3</v>
      </c>
      <c r="N245" s="396">
        <v>599.79999999999995</v>
      </c>
      <c r="O245" s="396">
        <v>10.9</v>
      </c>
      <c r="P245" s="396">
        <v>10.9</v>
      </c>
      <c r="Q245" s="397">
        <v>0.163888888888889</v>
      </c>
      <c r="R245" s="396"/>
      <c r="S245" s="400"/>
      <c r="T245" s="409"/>
      <c r="U245" s="398" t="str">
        <f t="shared" si="11"/>
        <v/>
      </c>
      <c r="V245" s="400"/>
      <c r="W245" s="410">
        <f t="shared" si="10"/>
        <v>10.9</v>
      </c>
      <c r="X245" s="472"/>
      <c r="AT245" s="232"/>
      <c r="AV245" s="198"/>
      <c r="AW245" s="274"/>
    </row>
    <row r="246" spans="2:49" x14ac:dyDescent="0.25">
      <c r="B246" s="274">
        <v>12.4</v>
      </c>
      <c r="C246" s="274">
        <v>92</v>
      </c>
      <c r="D246" s="274">
        <v>12.4</v>
      </c>
      <c r="E246" s="274">
        <v>0</v>
      </c>
      <c r="F246" s="274">
        <v>0</v>
      </c>
      <c r="G246" s="274">
        <v>9</v>
      </c>
      <c r="H246" s="274">
        <v>1023.4</v>
      </c>
      <c r="I246" s="274">
        <v>0</v>
      </c>
      <c r="J246" s="274">
        <v>0</v>
      </c>
      <c r="K246" s="274">
        <v>0</v>
      </c>
      <c r="L246" s="274">
        <v>0</v>
      </c>
      <c r="M246" s="274">
        <v>65.3</v>
      </c>
      <c r="N246" s="396">
        <v>599.79999999999995</v>
      </c>
      <c r="O246" s="396">
        <v>10.9</v>
      </c>
      <c r="P246" s="396">
        <v>10.9</v>
      </c>
      <c r="Q246" s="397">
        <v>0.164583333333333</v>
      </c>
      <c r="R246" s="396"/>
      <c r="S246" s="400"/>
      <c r="T246" s="409"/>
      <c r="U246" s="398" t="str">
        <f t="shared" si="11"/>
        <v/>
      </c>
      <c r="V246" s="400"/>
      <c r="W246" s="410">
        <f t="shared" si="10"/>
        <v>10.9</v>
      </c>
      <c r="X246" s="472"/>
      <c r="AT246" s="232"/>
      <c r="AV246" s="198"/>
      <c r="AW246" s="274"/>
    </row>
    <row r="247" spans="2:49" x14ac:dyDescent="0.25">
      <c r="B247" s="274">
        <v>12.4</v>
      </c>
      <c r="C247" s="274">
        <v>92</v>
      </c>
      <c r="D247" s="274">
        <v>12.4</v>
      </c>
      <c r="E247" s="274">
        <v>0</v>
      </c>
      <c r="F247" s="274">
        <v>0</v>
      </c>
      <c r="G247" s="274">
        <v>9</v>
      </c>
      <c r="H247" s="274">
        <v>1023.3</v>
      </c>
      <c r="I247" s="274">
        <v>0</v>
      </c>
      <c r="J247" s="274">
        <v>0</v>
      </c>
      <c r="K247" s="274">
        <v>0</v>
      </c>
      <c r="L247" s="274">
        <v>0</v>
      </c>
      <c r="M247" s="274">
        <v>65.3</v>
      </c>
      <c r="N247" s="396">
        <v>599.79999999999995</v>
      </c>
      <c r="O247" s="396">
        <v>10.9</v>
      </c>
      <c r="P247" s="396">
        <v>10.9</v>
      </c>
      <c r="Q247" s="397">
        <v>0.165277777777778</v>
      </c>
      <c r="R247" s="396"/>
      <c r="S247" s="400"/>
      <c r="T247" s="409"/>
      <c r="U247" s="398" t="str">
        <f t="shared" si="11"/>
        <v/>
      </c>
      <c r="V247" s="400"/>
      <c r="W247" s="410">
        <f t="shared" si="10"/>
        <v>10.9</v>
      </c>
      <c r="X247" s="472"/>
      <c r="AT247" s="232"/>
      <c r="AV247" s="198"/>
      <c r="AW247" s="274"/>
    </row>
    <row r="248" spans="2:49" x14ac:dyDescent="0.25">
      <c r="B248" s="274">
        <v>12.3</v>
      </c>
      <c r="C248" s="274">
        <v>92</v>
      </c>
      <c r="D248" s="274">
        <v>12.3</v>
      </c>
      <c r="E248" s="274">
        <v>0</v>
      </c>
      <c r="F248" s="274">
        <v>0</v>
      </c>
      <c r="G248" s="274">
        <v>9</v>
      </c>
      <c r="H248" s="274">
        <v>1023.2</v>
      </c>
      <c r="I248" s="274">
        <v>0</v>
      </c>
      <c r="J248" s="274">
        <v>0</v>
      </c>
      <c r="K248" s="274">
        <v>0</v>
      </c>
      <c r="L248" s="274">
        <v>0</v>
      </c>
      <c r="M248" s="274">
        <v>65.3</v>
      </c>
      <c r="N248" s="396">
        <v>599.79999999999995</v>
      </c>
      <c r="O248" s="396">
        <v>10.8</v>
      </c>
      <c r="P248" s="396">
        <v>10.9</v>
      </c>
      <c r="Q248" s="397">
        <v>0.16597222222222199</v>
      </c>
      <c r="R248" s="396"/>
      <c r="S248" s="400"/>
      <c r="T248" s="409"/>
      <c r="U248" s="398" t="str">
        <f t="shared" si="11"/>
        <v/>
      </c>
      <c r="V248" s="400"/>
      <c r="W248" s="410">
        <f t="shared" si="10"/>
        <v>10.9</v>
      </c>
      <c r="X248" s="472"/>
      <c r="AT248" s="232"/>
      <c r="AV248" s="198"/>
      <c r="AW248" s="274"/>
    </row>
    <row r="249" spans="2:49" x14ac:dyDescent="0.25">
      <c r="B249" s="274">
        <v>12.3</v>
      </c>
      <c r="C249" s="274">
        <v>92</v>
      </c>
      <c r="D249" s="274">
        <v>12.3</v>
      </c>
      <c r="E249" s="274">
        <v>0</v>
      </c>
      <c r="F249" s="274">
        <v>0</v>
      </c>
      <c r="G249" s="274">
        <v>9</v>
      </c>
      <c r="H249" s="274">
        <v>1023.4</v>
      </c>
      <c r="I249" s="274">
        <v>0</v>
      </c>
      <c r="J249" s="274">
        <v>0</v>
      </c>
      <c r="K249" s="274">
        <v>0</v>
      </c>
      <c r="L249" s="274">
        <v>0</v>
      </c>
      <c r="M249" s="274">
        <v>65.3</v>
      </c>
      <c r="N249" s="396">
        <v>599.79999999999995</v>
      </c>
      <c r="O249" s="396">
        <v>10.8</v>
      </c>
      <c r="P249" s="396">
        <v>10.9</v>
      </c>
      <c r="Q249" s="397">
        <v>0.16666666666666699</v>
      </c>
      <c r="R249" s="396"/>
      <c r="S249" s="400"/>
      <c r="T249" s="409"/>
      <c r="U249" s="398" t="str">
        <f t="shared" si="11"/>
        <v/>
      </c>
      <c r="V249" s="400"/>
      <c r="W249" s="410">
        <f t="shared" si="10"/>
        <v>10.9</v>
      </c>
      <c r="X249" s="472"/>
      <c r="AT249" s="232"/>
      <c r="AV249" s="198"/>
      <c r="AW249" s="274"/>
    </row>
    <row r="250" spans="2:49" x14ac:dyDescent="0.25">
      <c r="B250" s="274">
        <v>12.3</v>
      </c>
      <c r="C250" s="274">
        <v>92</v>
      </c>
      <c r="D250" s="274">
        <v>12.3</v>
      </c>
      <c r="E250" s="274">
        <v>0</v>
      </c>
      <c r="F250" s="274">
        <v>0</v>
      </c>
      <c r="G250" s="274">
        <v>9</v>
      </c>
      <c r="H250" s="274">
        <v>1023.3</v>
      </c>
      <c r="I250" s="274">
        <v>0</v>
      </c>
      <c r="J250" s="274">
        <v>0</v>
      </c>
      <c r="K250" s="274">
        <v>0</v>
      </c>
      <c r="L250" s="274">
        <v>0</v>
      </c>
      <c r="M250" s="274">
        <v>65.3</v>
      </c>
      <c r="N250" s="396">
        <v>599.79999999999995</v>
      </c>
      <c r="O250" s="396">
        <v>10.8</v>
      </c>
      <c r="P250" s="396">
        <v>10.9</v>
      </c>
      <c r="Q250" s="397">
        <v>0.16736111111111099</v>
      </c>
      <c r="R250" s="396"/>
      <c r="S250" s="400"/>
      <c r="T250" s="409"/>
      <c r="U250" s="398" t="str">
        <f t="shared" si="11"/>
        <v/>
      </c>
      <c r="V250" s="400"/>
      <c r="W250" s="410">
        <f t="shared" si="10"/>
        <v>10.9</v>
      </c>
      <c r="X250" s="472"/>
      <c r="AT250" s="232"/>
      <c r="AV250" s="198"/>
      <c r="AW250" s="274"/>
    </row>
    <row r="251" spans="2:49" x14ac:dyDescent="0.25">
      <c r="B251" s="274">
        <v>12.3</v>
      </c>
      <c r="C251" s="274">
        <v>92</v>
      </c>
      <c r="D251" s="274">
        <v>12.3</v>
      </c>
      <c r="E251" s="274">
        <v>0</v>
      </c>
      <c r="F251" s="274">
        <v>0</v>
      </c>
      <c r="G251" s="274">
        <v>9</v>
      </c>
      <c r="H251" s="274">
        <v>1023.4</v>
      </c>
      <c r="I251" s="274">
        <v>0</v>
      </c>
      <c r="J251" s="274">
        <v>0</v>
      </c>
      <c r="K251" s="274">
        <v>0</v>
      </c>
      <c r="L251" s="274">
        <v>0</v>
      </c>
      <c r="M251" s="274">
        <v>65.3</v>
      </c>
      <c r="N251" s="396">
        <v>599.79999999999995</v>
      </c>
      <c r="O251" s="396">
        <v>10.8</v>
      </c>
      <c r="P251" s="396">
        <v>10.9</v>
      </c>
      <c r="Q251" s="397">
        <v>0.16805555555555601</v>
      </c>
      <c r="R251" s="396"/>
      <c r="S251" s="400"/>
      <c r="T251" s="409"/>
      <c r="U251" s="398" t="str">
        <f t="shared" si="11"/>
        <v/>
      </c>
      <c r="V251" s="400"/>
      <c r="W251" s="410">
        <f t="shared" si="10"/>
        <v>10.9</v>
      </c>
      <c r="X251" s="472"/>
      <c r="AT251" s="232"/>
      <c r="AV251" s="198"/>
      <c r="AW251" s="274"/>
    </row>
    <row r="252" spans="2:49" x14ac:dyDescent="0.25">
      <c r="B252" s="274">
        <v>12.4</v>
      </c>
      <c r="C252" s="274">
        <v>92</v>
      </c>
      <c r="D252" s="274">
        <v>12.4</v>
      </c>
      <c r="E252" s="274">
        <v>0</v>
      </c>
      <c r="F252" s="274">
        <v>0</v>
      </c>
      <c r="G252" s="274">
        <v>9</v>
      </c>
      <c r="H252" s="274">
        <v>1023.1</v>
      </c>
      <c r="I252" s="274">
        <v>0</v>
      </c>
      <c r="J252" s="274">
        <v>0</v>
      </c>
      <c r="K252" s="274">
        <v>0</v>
      </c>
      <c r="L252" s="274">
        <v>0</v>
      </c>
      <c r="M252" s="274">
        <v>65.3</v>
      </c>
      <c r="N252" s="396">
        <v>599.79999999999995</v>
      </c>
      <c r="O252" s="396">
        <v>10.8</v>
      </c>
      <c r="P252" s="396">
        <v>10.9</v>
      </c>
      <c r="Q252" s="397">
        <v>0.16875000000000001</v>
      </c>
      <c r="R252" s="396"/>
      <c r="S252" s="400"/>
      <c r="T252" s="409"/>
      <c r="U252" s="398" t="str">
        <f t="shared" si="11"/>
        <v/>
      </c>
      <c r="V252" s="400"/>
      <c r="W252" s="410">
        <f t="shared" si="10"/>
        <v>10.9</v>
      </c>
      <c r="X252" s="472"/>
      <c r="AT252" s="232"/>
      <c r="AV252" s="198"/>
      <c r="AW252" s="274"/>
    </row>
    <row r="253" spans="2:49" x14ac:dyDescent="0.25">
      <c r="B253" s="274">
        <v>12.4</v>
      </c>
      <c r="C253" s="274">
        <v>92</v>
      </c>
      <c r="D253" s="274">
        <v>12.4</v>
      </c>
      <c r="E253" s="274">
        <v>0</v>
      </c>
      <c r="F253" s="274">
        <v>0</v>
      </c>
      <c r="G253" s="274">
        <v>9</v>
      </c>
      <c r="H253" s="274">
        <v>1023.3</v>
      </c>
      <c r="I253" s="274">
        <v>0</v>
      </c>
      <c r="J253" s="274">
        <v>0</v>
      </c>
      <c r="K253" s="274">
        <v>0</v>
      </c>
      <c r="L253" s="274">
        <v>0</v>
      </c>
      <c r="M253" s="274">
        <v>65.3</v>
      </c>
      <c r="N253" s="396">
        <v>599.79999999999995</v>
      </c>
      <c r="O253" s="396">
        <v>10.8</v>
      </c>
      <c r="P253" s="396">
        <v>10.9</v>
      </c>
      <c r="Q253" s="397">
        <v>0.16944444444444401</v>
      </c>
      <c r="R253" s="396"/>
      <c r="S253" s="400"/>
      <c r="T253" s="409"/>
      <c r="U253" s="398" t="str">
        <f t="shared" si="11"/>
        <v/>
      </c>
      <c r="V253" s="400"/>
      <c r="W253" s="410">
        <f t="shared" si="10"/>
        <v>10.9</v>
      </c>
      <c r="X253" s="472"/>
      <c r="AT253" s="232"/>
      <c r="AV253" s="198"/>
      <c r="AW253" s="274"/>
    </row>
    <row r="254" spans="2:49" x14ac:dyDescent="0.25">
      <c r="B254" s="274">
        <v>12.4</v>
      </c>
      <c r="C254" s="274">
        <v>92</v>
      </c>
      <c r="D254" s="274">
        <v>12.4</v>
      </c>
      <c r="E254" s="274">
        <v>0</v>
      </c>
      <c r="F254" s="274">
        <v>0</v>
      </c>
      <c r="G254" s="274">
        <v>9</v>
      </c>
      <c r="H254" s="274">
        <v>1023.1</v>
      </c>
      <c r="I254" s="274">
        <v>0</v>
      </c>
      <c r="J254" s="274">
        <v>0</v>
      </c>
      <c r="K254" s="274">
        <v>0</v>
      </c>
      <c r="L254" s="274">
        <v>0</v>
      </c>
      <c r="M254" s="274">
        <v>65.3</v>
      </c>
      <c r="N254" s="396">
        <v>599.79999999999995</v>
      </c>
      <c r="O254" s="396">
        <v>10.8</v>
      </c>
      <c r="P254" s="396">
        <v>10.9</v>
      </c>
      <c r="Q254" s="397">
        <v>0.17013888888888901</v>
      </c>
      <c r="R254" s="396"/>
      <c r="S254" s="400"/>
      <c r="T254" s="409"/>
      <c r="U254" s="398" t="str">
        <f t="shared" si="11"/>
        <v/>
      </c>
      <c r="V254" s="400"/>
      <c r="W254" s="410">
        <f t="shared" si="10"/>
        <v>10.9</v>
      </c>
      <c r="X254" s="472"/>
      <c r="AT254" s="232"/>
      <c r="AV254" s="198"/>
      <c r="AW254" s="274"/>
    </row>
    <row r="255" spans="2:49" x14ac:dyDescent="0.25">
      <c r="B255" s="274">
        <v>12.3</v>
      </c>
      <c r="C255" s="274">
        <v>92</v>
      </c>
      <c r="D255" s="274">
        <v>12.3</v>
      </c>
      <c r="E255" s="274">
        <v>0.4</v>
      </c>
      <c r="F255" s="274">
        <v>1.8</v>
      </c>
      <c r="G255" s="274">
        <v>9</v>
      </c>
      <c r="H255" s="274">
        <v>1022.9</v>
      </c>
      <c r="I255" s="274">
        <v>0</v>
      </c>
      <c r="J255" s="274">
        <v>0</v>
      </c>
      <c r="K255" s="274">
        <v>0</v>
      </c>
      <c r="L255" s="274">
        <v>0</v>
      </c>
      <c r="M255" s="274">
        <v>65.3</v>
      </c>
      <c r="N255" s="396">
        <v>599.79999999999995</v>
      </c>
      <c r="O255" s="396">
        <v>10.8</v>
      </c>
      <c r="P255" s="396">
        <v>10.9</v>
      </c>
      <c r="Q255" s="397">
        <v>0.170833333333333</v>
      </c>
      <c r="R255" s="396"/>
      <c r="S255" s="400"/>
      <c r="T255" s="409"/>
      <c r="U255" s="398" t="str">
        <f t="shared" si="11"/>
        <v/>
      </c>
      <c r="V255" s="400"/>
      <c r="W255" s="410">
        <f t="shared" si="10"/>
        <v>10.9</v>
      </c>
      <c r="X255" s="472"/>
      <c r="AT255" s="232"/>
      <c r="AV255" s="198"/>
      <c r="AW255" s="274"/>
    </row>
    <row r="256" spans="2:49" x14ac:dyDescent="0.25">
      <c r="B256" s="274">
        <v>12.3</v>
      </c>
      <c r="C256" s="274">
        <v>93</v>
      </c>
      <c r="D256" s="274">
        <v>12.3</v>
      </c>
      <c r="E256" s="274">
        <v>1.1000000000000001</v>
      </c>
      <c r="F256" s="274">
        <v>1.8</v>
      </c>
      <c r="G256" s="274">
        <v>9</v>
      </c>
      <c r="H256" s="274">
        <v>1023.4</v>
      </c>
      <c r="I256" s="274">
        <v>0</v>
      </c>
      <c r="J256" s="274">
        <v>0</v>
      </c>
      <c r="K256" s="274">
        <v>0</v>
      </c>
      <c r="L256" s="274">
        <v>0</v>
      </c>
      <c r="M256" s="274">
        <v>65.3</v>
      </c>
      <c r="N256" s="396">
        <v>599.79999999999995</v>
      </c>
      <c r="O256" s="396">
        <v>10.8</v>
      </c>
      <c r="P256" s="396">
        <v>10.8</v>
      </c>
      <c r="Q256" s="397">
        <v>0.171527777777778</v>
      </c>
      <c r="R256" s="396"/>
      <c r="S256" s="400"/>
      <c r="T256" s="409"/>
      <c r="U256" s="398" t="str">
        <f t="shared" si="11"/>
        <v/>
      </c>
      <c r="V256" s="400"/>
      <c r="W256" s="410">
        <f t="shared" si="10"/>
        <v>10.8</v>
      </c>
      <c r="X256" s="472"/>
      <c r="AT256" s="232"/>
      <c r="AV256" s="198"/>
      <c r="AW256" s="274"/>
    </row>
    <row r="257" spans="2:49" x14ac:dyDescent="0.25">
      <c r="B257" s="274">
        <v>12.3</v>
      </c>
      <c r="C257" s="274">
        <v>92</v>
      </c>
      <c r="D257" s="274">
        <v>12.3</v>
      </c>
      <c r="E257" s="274">
        <v>0</v>
      </c>
      <c r="F257" s="274">
        <v>0</v>
      </c>
      <c r="G257" s="274">
        <v>9</v>
      </c>
      <c r="H257" s="274">
        <v>1023.3</v>
      </c>
      <c r="I257" s="274">
        <v>0</v>
      </c>
      <c r="J257" s="274">
        <v>0</v>
      </c>
      <c r="K257" s="274">
        <v>0</v>
      </c>
      <c r="L257" s="274">
        <v>0</v>
      </c>
      <c r="M257" s="274">
        <v>65.3</v>
      </c>
      <c r="N257" s="396">
        <v>599.79999999999995</v>
      </c>
      <c r="O257" s="396">
        <v>10.8</v>
      </c>
      <c r="P257" s="396">
        <v>10.8</v>
      </c>
      <c r="Q257" s="397">
        <v>0.172222222222222</v>
      </c>
      <c r="R257" s="396"/>
      <c r="S257" s="400"/>
      <c r="T257" s="409"/>
      <c r="U257" s="398" t="str">
        <f t="shared" si="11"/>
        <v/>
      </c>
      <c r="V257" s="400"/>
      <c r="W257" s="410">
        <f t="shared" si="10"/>
        <v>10.8</v>
      </c>
      <c r="X257" s="472"/>
      <c r="AT257" s="232"/>
      <c r="AV257" s="198"/>
      <c r="AW257" s="274"/>
    </row>
    <row r="258" spans="2:49" x14ac:dyDescent="0.25">
      <c r="B258" s="274">
        <v>12.4</v>
      </c>
      <c r="C258" s="274">
        <v>93</v>
      </c>
      <c r="D258" s="274">
        <v>12.4</v>
      </c>
      <c r="E258" s="274">
        <v>0</v>
      </c>
      <c r="F258" s="274">
        <v>0</v>
      </c>
      <c r="G258" s="274">
        <v>9</v>
      </c>
      <c r="H258" s="274">
        <v>1023.4</v>
      </c>
      <c r="I258" s="274">
        <v>0</v>
      </c>
      <c r="J258" s="274">
        <v>0</v>
      </c>
      <c r="K258" s="274">
        <v>0</v>
      </c>
      <c r="L258" s="274">
        <v>0</v>
      </c>
      <c r="M258" s="274">
        <v>65.3</v>
      </c>
      <c r="N258" s="396">
        <v>599.79999999999995</v>
      </c>
      <c r="O258" s="396">
        <v>10.8</v>
      </c>
      <c r="P258" s="396">
        <v>10.8</v>
      </c>
      <c r="Q258" s="397">
        <v>0.172916666666667</v>
      </c>
      <c r="R258" s="396"/>
      <c r="S258" s="400"/>
      <c r="T258" s="409"/>
      <c r="U258" s="398" t="str">
        <f t="shared" si="11"/>
        <v/>
      </c>
      <c r="V258" s="400"/>
      <c r="W258" s="410">
        <f t="shared" si="10"/>
        <v>10.8</v>
      </c>
      <c r="X258" s="472"/>
      <c r="AT258" s="232"/>
      <c r="AV258" s="198"/>
      <c r="AW258" s="274"/>
    </row>
    <row r="259" spans="2:49" x14ac:dyDescent="0.25">
      <c r="B259" s="274">
        <v>12.4</v>
      </c>
      <c r="C259" s="274">
        <v>92</v>
      </c>
      <c r="D259" s="274">
        <v>12.4</v>
      </c>
      <c r="E259" s="274">
        <v>0.4</v>
      </c>
      <c r="F259" s="274">
        <v>1.8</v>
      </c>
      <c r="G259" s="274">
        <v>9</v>
      </c>
      <c r="H259" s="274">
        <v>1023.3</v>
      </c>
      <c r="I259" s="274">
        <v>0</v>
      </c>
      <c r="J259" s="274">
        <v>0</v>
      </c>
      <c r="K259" s="274">
        <v>0</v>
      </c>
      <c r="L259" s="274">
        <v>0</v>
      </c>
      <c r="M259" s="274">
        <v>65.3</v>
      </c>
      <c r="N259" s="396">
        <v>599.79999999999995</v>
      </c>
      <c r="O259" s="396">
        <v>10.8</v>
      </c>
      <c r="P259" s="396">
        <v>10.8</v>
      </c>
      <c r="Q259" s="397">
        <v>0.17361111111111099</v>
      </c>
      <c r="R259" s="396"/>
      <c r="S259" s="400"/>
      <c r="T259" s="409"/>
      <c r="U259" s="398" t="str">
        <f t="shared" si="11"/>
        <v/>
      </c>
      <c r="V259" s="400"/>
      <c r="W259" s="410">
        <f t="shared" si="10"/>
        <v>10.8</v>
      </c>
      <c r="X259" s="472"/>
      <c r="AT259" s="232"/>
      <c r="AV259" s="198"/>
      <c r="AW259" s="274"/>
    </row>
    <row r="260" spans="2:49" x14ac:dyDescent="0.25">
      <c r="B260" s="274">
        <v>12.3</v>
      </c>
      <c r="C260" s="274">
        <v>92</v>
      </c>
      <c r="D260" s="274">
        <v>12.3</v>
      </c>
      <c r="E260" s="274">
        <v>0</v>
      </c>
      <c r="F260" s="274">
        <v>0</v>
      </c>
      <c r="G260" s="274">
        <v>9</v>
      </c>
      <c r="H260" s="274">
        <v>1023.3</v>
      </c>
      <c r="I260" s="274">
        <v>0</v>
      </c>
      <c r="J260" s="274">
        <v>0</v>
      </c>
      <c r="K260" s="274">
        <v>0</v>
      </c>
      <c r="L260" s="274">
        <v>0</v>
      </c>
      <c r="M260" s="274">
        <v>65.3</v>
      </c>
      <c r="N260" s="396">
        <v>599.79999999999995</v>
      </c>
      <c r="O260" s="396">
        <v>10.8</v>
      </c>
      <c r="P260" s="396">
        <v>10.8</v>
      </c>
      <c r="Q260" s="397">
        <v>0.17430555555555599</v>
      </c>
      <c r="R260" s="396"/>
      <c r="S260" s="400"/>
      <c r="T260" s="409"/>
      <c r="U260" s="398" t="str">
        <f t="shared" si="11"/>
        <v/>
      </c>
      <c r="V260" s="400"/>
      <c r="W260" s="410">
        <f t="shared" si="10"/>
        <v>10.8</v>
      </c>
      <c r="X260" s="472"/>
      <c r="AT260" s="232"/>
      <c r="AV260" s="198"/>
      <c r="AW260" s="274"/>
    </row>
    <row r="261" spans="2:49" x14ac:dyDescent="0.25">
      <c r="B261" s="274">
        <v>12.3</v>
      </c>
      <c r="C261" s="274">
        <v>92</v>
      </c>
      <c r="D261" s="274">
        <v>12.3</v>
      </c>
      <c r="E261" s="274">
        <v>0</v>
      </c>
      <c r="F261" s="274">
        <v>0</v>
      </c>
      <c r="G261" s="274">
        <v>9</v>
      </c>
      <c r="H261" s="274">
        <v>1023.4</v>
      </c>
      <c r="I261" s="274">
        <v>0</v>
      </c>
      <c r="J261" s="274">
        <v>0</v>
      </c>
      <c r="K261" s="274">
        <v>0</v>
      </c>
      <c r="L261" s="274">
        <v>0</v>
      </c>
      <c r="M261" s="274">
        <v>65.3</v>
      </c>
      <c r="N261" s="396">
        <v>599.79999999999995</v>
      </c>
      <c r="O261" s="396">
        <v>10.8</v>
      </c>
      <c r="P261" s="396">
        <v>10.8</v>
      </c>
      <c r="Q261" s="397">
        <v>0.17499999999999999</v>
      </c>
      <c r="R261" s="396"/>
      <c r="S261" s="400"/>
      <c r="T261" s="409"/>
      <c r="U261" s="398" t="str">
        <f t="shared" si="11"/>
        <v/>
      </c>
      <c r="V261" s="400"/>
      <c r="W261" s="410">
        <f t="shared" si="10"/>
        <v>10.8</v>
      </c>
      <c r="X261" s="472"/>
      <c r="AT261" s="232"/>
      <c r="AV261" s="198"/>
      <c r="AW261" s="274"/>
    </row>
    <row r="262" spans="2:49" x14ac:dyDescent="0.25">
      <c r="B262" s="274">
        <v>12.3</v>
      </c>
      <c r="C262" s="274">
        <v>93</v>
      </c>
      <c r="D262" s="274">
        <v>12.3</v>
      </c>
      <c r="E262" s="274">
        <v>0.4</v>
      </c>
      <c r="F262" s="274">
        <v>1.8</v>
      </c>
      <c r="G262" s="274">
        <v>9</v>
      </c>
      <c r="H262" s="274">
        <v>1023.3</v>
      </c>
      <c r="I262" s="274">
        <v>0</v>
      </c>
      <c r="J262" s="274">
        <v>0</v>
      </c>
      <c r="K262" s="274">
        <v>0</v>
      </c>
      <c r="L262" s="274">
        <v>0</v>
      </c>
      <c r="M262" s="274">
        <v>65.3</v>
      </c>
      <c r="N262" s="396">
        <v>599.79999999999995</v>
      </c>
      <c r="O262" s="396">
        <v>10.8</v>
      </c>
      <c r="P262" s="396">
        <v>10.8</v>
      </c>
      <c r="Q262" s="397">
        <v>0.17569444444444399</v>
      </c>
      <c r="R262" s="396"/>
      <c r="S262" s="400"/>
      <c r="T262" s="409"/>
      <c r="U262" s="398" t="str">
        <f t="shared" si="11"/>
        <v/>
      </c>
      <c r="V262" s="400"/>
      <c r="W262" s="410">
        <f t="shared" si="10"/>
        <v>10.8</v>
      </c>
      <c r="X262" s="472"/>
      <c r="AT262" s="232"/>
      <c r="AV262" s="198"/>
      <c r="AW262" s="274"/>
    </row>
    <row r="263" spans="2:49" x14ac:dyDescent="0.25">
      <c r="B263" s="274">
        <v>12.3</v>
      </c>
      <c r="C263" s="274">
        <v>93</v>
      </c>
      <c r="D263" s="274">
        <v>12.3</v>
      </c>
      <c r="E263" s="274">
        <v>0.7</v>
      </c>
      <c r="F263" s="274">
        <v>1.8</v>
      </c>
      <c r="G263" s="274">
        <v>9</v>
      </c>
      <c r="H263" s="274">
        <v>1023.3</v>
      </c>
      <c r="I263" s="274">
        <v>0</v>
      </c>
      <c r="J263" s="274">
        <v>0</v>
      </c>
      <c r="K263" s="274">
        <v>0</v>
      </c>
      <c r="L263" s="274">
        <v>0</v>
      </c>
      <c r="M263" s="274">
        <v>65.3</v>
      </c>
      <c r="N263" s="396">
        <v>599.79999999999995</v>
      </c>
      <c r="O263" s="396">
        <v>10.8</v>
      </c>
      <c r="P263" s="396">
        <v>10.8</v>
      </c>
      <c r="Q263" s="397">
        <v>0.17638888888888901</v>
      </c>
      <c r="R263" s="396"/>
      <c r="S263" s="400"/>
      <c r="T263" s="409"/>
      <c r="U263" s="398" t="str">
        <f t="shared" si="11"/>
        <v/>
      </c>
      <c r="V263" s="400"/>
      <c r="W263" s="410">
        <f t="shared" si="10"/>
        <v>10.8</v>
      </c>
      <c r="X263" s="472"/>
      <c r="AT263" s="232"/>
      <c r="AV263" s="198"/>
      <c r="AW263" s="274"/>
    </row>
    <row r="264" spans="2:49" x14ac:dyDescent="0.25">
      <c r="B264" s="274">
        <v>12.3</v>
      </c>
      <c r="C264" s="274">
        <v>93</v>
      </c>
      <c r="D264" s="274">
        <v>12.3</v>
      </c>
      <c r="E264" s="274">
        <v>0</v>
      </c>
      <c r="F264" s="274">
        <v>0</v>
      </c>
      <c r="G264" s="274">
        <v>9</v>
      </c>
      <c r="H264" s="274">
        <v>1023.4</v>
      </c>
      <c r="I264" s="274">
        <v>0</v>
      </c>
      <c r="J264" s="274">
        <v>0</v>
      </c>
      <c r="K264" s="274">
        <v>0</v>
      </c>
      <c r="L264" s="274">
        <v>0</v>
      </c>
      <c r="M264" s="274">
        <v>65.3</v>
      </c>
      <c r="N264" s="396">
        <v>599.79999999999995</v>
      </c>
      <c r="O264" s="396">
        <v>10.8</v>
      </c>
      <c r="P264" s="396">
        <v>10.8</v>
      </c>
      <c r="Q264" s="397">
        <v>0.17708333333333301</v>
      </c>
      <c r="R264" s="396"/>
      <c r="S264" s="400"/>
      <c r="T264" s="409"/>
      <c r="U264" s="398" t="str">
        <f t="shared" si="11"/>
        <v/>
      </c>
      <c r="V264" s="400"/>
      <c r="W264" s="410">
        <f t="shared" si="10"/>
        <v>10.8</v>
      </c>
      <c r="X264" s="472"/>
      <c r="AT264" s="232"/>
      <c r="AV264" s="198"/>
      <c r="AW264" s="274"/>
    </row>
    <row r="265" spans="2:49" x14ac:dyDescent="0.25">
      <c r="B265" s="274">
        <v>12.3</v>
      </c>
      <c r="C265" s="274">
        <v>92</v>
      </c>
      <c r="D265" s="274">
        <v>12.3</v>
      </c>
      <c r="E265" s="274">
        <v>0.4</v>
      </c>
      <c r="F265" s="274">
        <v>1.8</v>
      </c>
      <c r="G265" s="274">
        <v>9</v>
      </c>
      <c r="H265" s="274">
        <v>1023.2</v>
      </c>
      <c r="I265" s="274">
        <v>0</v>
      </c>
      <c r="J265" s="274">
        <v>0</v>
      </c>
      <c r="K265" s="274">
        <v>0</v>
      </c>
      <c r="L265" s="274">
        <v>0</v>
      </c>
      <c r="M265" s="274">
        <v>65.3</v>
      </c>
      <c r="N265" s="396">
        <v>599.79999999999995</v>
      </c>
      <c r="O265" s="396">
        <v>10.8</v>
      </c>
      <c r="P265" s="396">
        <v>10.8</v>
      </c>
      <c r="Q265" s="397">
        <v>0.17777777777777801</v>
      </c>
      <c r="R265" s="396"/>
      <c r="S265" s="400"/>
      <c r="T265" s="409"/>
      <c r="U265" s="398" t="str">
        <f t="shared" si="11"/>
        <v/>
      </c>
      <c r="V265" s="400"/>
      <c r="W265" s="410">
        <f t="shared" ref="W265:W328" si="12">MAX(O265:P265)</f>
        <v>10.8</v>
      </c>
      <c r="X265" s="472"/>
      <c r="AT265" s="232"/>
      <c r="AV265" s="198"/>
      <c r="AW265" s="274"/>
    </row>
    <row r="266" spans="2:49" x14ac:dyDescent="0.25">
      <c r="B266" s="274">
        <v>12.3</v>
      </c>
      <c r="C266" s="274">
        <v>92</v>
      </c>
      <c r="D266" s="274">
        <v>12.3</v>
      </c>
      <c r="E266" s="274">
        <v>0</v>
      </c>
      <c r="F266" s="274">
        <v>0</v>
      </c>
      <c r="G266" s="274">
        <v>9</v>
      </c>
      <c r="H266" s="274">
        <v>1023.1</v>
      </c>
      <c r="I266" s="274">
        <v>0</v>
      </c>
      <c r="J266" s="274">
        <v>0</v>
      </c>
      <c r="K266" s="274">
        <v>0</v>
      </c>
      <c r="L266" s="274">
        <v>0</v>
      </c>
      <c r="M266" s="274">
        <v>65.3</v>
      </c>
      <c r="N266" s="396">
        <v>599.79999999999995</v>
      </c>
      <c r="O266" s="396">
        <v>10.8</v>
      </c>
      <c r="P266" s="396">
        <v>10.8</v>
      </c>
      <c r="Q266" s="397">
        <v>0.178472222222222</v>
      </c>
      <c r="R266" s="396"/>
      <c r="S266" s="400"/>
      <c r="T266" s="409"/>
      <c r="U266" s="398" t="str">
        <f t="shared" si="11"/>
        <v/>
      </c>
      <c r="V266" s="400"/>
      <c r="W266" s="410">
        <f t="shared" si="12"/>
        <v>10.8</v>
      </c>
      <c r="X266" s="472"/>
      <c r="AT266" s="232"/>
      <c r="AV266" s="198"/>
      <c r="AW266" s="274"/>
    </row>
    <row r="267" spans="2:49" x14ac:dyDescent="0.25">
      <c r="B267" s="274">
        <v>12.3</v>
      </c>
      <c r="C267" s="274">
        <v>93</v>
      </c>
      <c r="D267" s="274">
        <v>12.3</v>
      </c>
      <c r="E267" s="274">
        <v>0</v>
      </c>
      <c r="F267" s="274">
        <v>0</v>
      </c>
      <c r="G267" s="274">
        <v>9</v>
      </c>
      <c r="H267" s="274">
        <v>1023.2</v>
      </c>
      <c r="I267" s="274">
        <v>0</v>
      </c>
      <c r="J267" s="274">
        <v>0</v>
      </c>
      <c r="K267" s="274">
        <v>0</v>
      </c>
      <c r="L267" s="274">
        <v>0</v>
      </c>
      <c r="M267" s="274">
        <v>65.3</v>
      </c>
      <c r="N267" s="396">
        <v>599.79999999999995</v>
      </c>
      <c r="O267" s="396">
        <v>10.8</v>
      </c>
      <c r="P267" s="396">
        <v>10.8</v>
      </c>
      <c r="Q267" s="397">
        <v>0.179166666666667</v>
      </c>
      <c r="R267" s="396"/>
      <c r="S267" s="400"/>
      <c r="T267" s="409"/>
      <c r="U267" s="398" t="str">
        <f t="shared" ref="U267:U330" si="13">IF(J267&gt;0,60,"")</f>
        <v/>
      </c>
      <c r="V267" s="400"/>
      <c r="W267" s="410">
        <f t="shared" si="12"/>
        <v>10.8</v>
      </c>
      <c r="X267" s="472"/>
      <c r="AT267" s="232"/>
      <c r="AV267" s="198"/>
      <c r="AW267" s="274"/>
    </row>
    <row r="268" spans="2:49" x14ac:dyDescent="0.25">
      <c r="B268" s="274">
        <v>12.3</v>
      </c>
      <c r="C268" s="274">
        <v>93</v>
      </c>
      <c r="D268" s="274">
        <v>12.3</v>
      </c>
      <c r="E268" s="274">
        <v>0</v>
      </c>
      <c r="F268" s="274">
        <v>0</v>
      </c>
      <c r="G268" s="274">
        <v>9</v>
      </c>
      <c r="H268" s="274">
        <v>1023.3</v>
      </c>
      <c r="I268" s="274">
        <v>0</v>
      </c>
      <c r="J268" s="274">
        <v>0</v>
      </c>
      <c r="K268" s="274">
        <v>0</v>
      </c>
      <c r="L268" s="274">
        <v>0</v>
      </c>
      <c r="M268" s="274">
        <v>65.3</v>
      </c>
      <c r="N268" s="396">
        <v>599.79999999999995</v>
      </c>
      <c r="O268" s="396">
        <v>10.8</v>
      </c>
      <c r="P268" s="396">
        <v>10.8</v>
      </c>
      <c r="Q268" s="397">
        <v>0.179861111111111</v>
      </c>
      <c r="R268" s="396"/>
      <c r="S268" s="400"/>
      <c r="T268" s="409"/>
      <c r="U268" s="398" t="str">
        <f t="shared" si="13"/>
        <v/>
      </c>
      <c r="V268" s="400"/>
      <c r="W268" s="410">
        <f t="shared" si="12"/>
        <v>10.8</v>
      </c>
      <c r="X268" s="472"/>
      <c r="AT268" s="232"/>
      <c r="AV268" s="198"/>
      <c r="AW268" s="274"/>
    </row>
    <row r="269" spans="2:49" x14ac:dyDescent="0.25">
      <c r="B269" s="274">
        <v>12.3</v>
      </c>
      <c r="C269" s="274">
        <v>93</v>
      </c>
      <c r="D269" s="274">
        <v>12.3</v>
      </c>
      <c r="E269" s="274">
        <v>0</v>
      </c>
      <c r="F269" s="274">
        <v>0</v>
      </c>
      <c r="G269" s="274">
        <v>9</v>
      </c>
      <c r="H269" s="274">
        <v>1023.2</v>
      </c>
      <c r="I269" s="274">
        <v>0</v>
      </c>
      <c r="J269" s="274">
        <v>0</v>
      </c>
      <c r="K269" s="274">
        <v>0</v>
      </c>
      <c r="L269" s="274">
        <v>0</v>
      </c>
      <c r="M269" s="274">
        <v>65.3</v>
      </c>
      <c r="N269" s="396">
        <v>599.79999999999995</v>
      </c>
      <c r="O269" s="396">
        <v>10.8</v>
      </c>
      <c r="P269" s="396">
        <v>10.8</v>
      </c>
      <c r="Q269" s="397">
        <v>0.180555555555556</v>
      </c>
      <c r="R269" s="396"/>
      <c r="S269" s="400"/>
      <c r="T269" s="409"/>
      <c r="U269" s="398" t="str">
        <f t="shared" si="13"/>
        <v/>
      </c>
      <c r="V269" s="400"/>
      <c r="W269" s="410">
        <f t="shared" si="12"/>
        <v>10.8</v>
      </c>
      <c r="X269" s="472"/>
      <c r="AT269" s="232"/>
      <c r="AV269" s="198"/>
      <c r="AW269" s="274"/>
    </row>
    <row r="270" spans="2:49" x14ac:dyDescent="0.25">
      <c r="B270" s="274">
        <v>12.3</v>
      </c>
      <c r="C270" s="274">
        <v>92</v>
      </c>
      <c r="D270" s="274">
        <v>12.3</v>
      </c>
      <c r="E270" s="274">
        <v>0</v>
      </c>
      <c r="F270" s="274">
        <v>0</v>
      </c>
      <c r="G270" s="274">
        <v>9</v>
      </c>
      <c r="H270" s="274">
        <v>1023.2</v>
      </c>
      <c r="I270" s="274">
        <v>0</v>
      </c>
      <c r="J270" s="274">
        <v>0</v>
      </c>
      <c r="K270" s="274">
        <v>0</v>
      </c>
      <c r="L270" s="274">
        <v>0</v>
      </c>
      <c r="M270" s="274">
        <v>65.3</v>
      </c>
      <c r="N270" s="396">
        <v>599.79999999999995</v>
      </c>
      <c r="O270" s="396">
        <v>10.8</v>
      </c>
      <c r="P270" s="396">
        <v>10.7</v>
      </c>
      <c r="Q270" s="397">
        <v>0.18124999999999999</v>
      </c>
      <c r="R270" s="396"/>
      <c r="S270" s="400"/>
      <c r="T270" s="409"/>
      <c r="U270" s="398" t="str">
        <f t="shared" si="13"/>
        <v/>
      </c>
      <c r="V270" s="400"/>
      <c r="W270" s="410">
        <f t="shared" si="12"/>
        <v>10.8</v>
      </c>
      <c r="X270" s="472"/>
      <c r="AT270" s="232"/>
      <c r="AV270" s="198"/>
      <c r="AW270" s="274"/>
    </row>
    <row r="271" spans="2:49" x14ac:dyDescent="0.25">
      <c r="B271" s="274">
        <v>12.2</v>
      </c>
      <c r="C271" s="274">
        <v>93</v>
      </c>
      <c r="D271" s="274">
        <v>12.2</v>
      </c>
      <c r="E271" s="274">
        <v>0</v>
      </c>
      <c r="F271" s="274">
        <v>0</v>
      </c>
      <c r="G271" s="274">
        <v>9</v>
      </c>
      <c r="H271" s="274">
        <v>1023.2</v>
      </c>
      <c r="I271" s="274">
        <v>0</v>
      </c>
      <c r="J271" s="274">
        <v>0</v>
      </c>
      <c r="K271" s="274">
        <v>0</v>
      </c>
      <c r="L271" s="274">
        <v>0</v>
      </c>
      <c r="M271" s="274">
        <v>65.3</v>
      </c>
      <c r="N271" s="396">
        <v>599.79999999999995</v>
      </c>
      <c r="O271" s="396">
        <v>10.8</v>
      </c>
      <c r="P271" s="396">
        <v>10.7</v>
      </c>
      <c r="Q271" s="397">
        <v>0.18194444444444399</v>
      </c>
      <c r="R271" s="396"/>
      <c r="S271" s="400"/>
      <c r="T271" s="409"/>
      <c r="U271" s="398" t="str">
        <f t="shared" si="13"/>
        <v/>
      </c>
      <c r="V271" s="400"/>
      <c r="W271" s="410">
        <f t="shared" si="12"/>
        <v>10.8</v>
      </c>
      <c r="X271" s="472"/>
      <c r="AT271" s="232"/>
      <c r="AV271" s="198"/>
      <c r="AW271" s="274"/>
    </row>
    <row r="272" spans="2:49" x14ac:dyDescent="0.25">
      <c r="B272" s="274">
        <v>12.2</v>
      </c>
      <c r="C272" s="274">
        <v>93</v>
      </c>
      <c r="D272" s="274">
        <v>12.2</v>
      </c>
      <c r="E272" s="274">
        <v>0</v>
      </c>
      <c r="F272" s="274">
        <v>0</v>
      </c>
      <c r="G272" s="274">
        <v>9</v>
      </c>
      <c r="H272" s="274">
        <v>1023.2</v>
      </c>
      <c r="I272" s="274">
        <v>0</v>
      </c>
      <c r="J272" s="274">
        <v>0</v>
      </c>
      <c r="K272" s="274">
        <v>0</v>
      </c>
      <c r="L272" s="274">
        <v>0</v>
      </c>
      <c r="M272" s="274">
        <v>65.3</v>
      </c>
      <c r="N272" s="396">
        <v>599.79999999999995</v>
      </c>
      <c r="O272" s="396">
        <v>10.8</v>
      </c>
      <c r="P272" s="396">
        <v>10.7</v>
      </c>
      <c r="Q272" s="397">
        <v>0.18263888888888899</v>
      </c>
      <c r="R272" s="396"/>
      <c r="S272" s="400"/>
      <c r="T272" s="409"/>
      <c r="U272" s="398" t="str">
        <f t="shared" si="13"/>
        <v/>
      </c>
      <c r="V272" s="400"/>
      <c r="W272" s="410">
        <f t="shared" si="12"/>
        <v>10.8</v>
      </c>
      <c r="X272" s="472"/>
      <c r="AB272" s="200"/>
      <c r="AT272" s="232"/>
      <c r="AV272" s="198"/>
      <c r="AW272" s="274"/>
    </row>
    <row r="273" spans="2:49" x14ac:dyDescent="0.25">
      <c r="B273" s="274">
        <v>12.2</v>
      </c>
      <c r="C273" s="274">
        <v>93</v>
      </c>
      <c r="D273" s="274">
        <v>12.2</v>
      </c>
      <c r="E273" s="274">
        <v>0</v>
      </c>
      <c r="F273" s="274">
        <v>0</v>
      </c>
      <c r="G273" s="274">
        <v>9</v>
      </c>
      <c r="H273" s="274">
        <v>1023.2</v>
      </c>
      <c r="I273" s="274">
        <v>0</v>
      </c>
      <c r="J273" s="274">
        <v>0</v>
      </c>
      <c r="K273" s="274">
        <v>0</v>
      </c>
      <c r="L273" s="274">
        <v>0</v>
      </c>
      <c r="M273" s="274">
        <v>65.3</v>
      </c>
      <c r="N273" s="396">
        <v>599.79999999999995</v>
      </c>
      <c r="O273" s="396">
        <v>10.7</v>
      </c>
      <c r="P273" s="396">
        <v>10.7</v>
      </c>
      <c r="Q273" s="397">
        <v>0.18333333333333299</v>
      </c>
      <c r="R273" s="396"/>
      <c r="S273" s="400"/>
      <c r="T273" s="409"/>
      <c r="U273" s="398" t="str">
        <f t="shared" si="13"/>
        <v/>
      </c>
      <c r="V273" s="400"/>
      <c r="W273" s="410">
        <f t="shared" si="12"/>
        <v>10.7</v>
      </c>
      <c r="X273" s="472"/>
      <c r="AT273" s="232"/>
      <c r="AV273" s="198"/>
      <c r="AW273" s="274"/>
    </row>
    <row r="274" spans="2:49" x14ac:dyDescent="0.25">
      <c r="B274" s="274">
        <v>12.2</v>
      </c>
      <c r="C274" s="274">
        <v>93</v>
      </c>
      <c r="D274" s="274">
        <v>12.2</v>
      </c>
      <c r="E274" s="274">
        <v>0</v>
      </c>
      <c r="F274" s="274">
        <v>0</v>
      </c>
      <c r="G274" s="274">
        <v>9</v>
      </c>
      <c r="H274" s="274">
        <v>1023</v>
      </c>
      <c r="I274" s="274">
        <v>0</v>
      </c>
      <c r="J274" s="274">
        <v>0</v>
      </c>
      <c r="K274" s="274">
        <v>0</v>
      </c>
      <c r="L274" s="274">
        <v>0</v>
      </c>
      <c r="M274" s="274">
        <v>65.3</v>
      </c>
      <c r="N274" s="396">
        <v>599.79999999999995</v>
      </c>
      <c r="O274" s="396">
        <v>10.7</v>
      </c>
      <c r="P274" s="396">
        <v>10.7</v>
      </c>
      <c r="Q274" s="397">
        <v>0.18402777777777801</v>
      </c>
      <c r="R274" s="396"/>
      <c r="S274" s="400"/>
      <c r="T274" s="409"/>
      <c r="U274" s="398" t="str">
        <f t="shared" si="13"/>
        <v/>
      </c>
      <c r="V274" s="400"/>
      <c r="W274" s="410">
        <f t="shared" si="12"/>
        <v>10.7</v>
      </c>
      <c r="X274" s="472"/>
      <c r="AT274" s="232"/>
      <c r="AV274" s="198"/>
      <c r="AW274" s="274"/>
    </row>
    <row r="275" spans="2:49" x14ac:dyDescent="0.25">
      <c r="B275" s="274">
        <v>12.2</v>
      </c>
      <c r="C275" s="274">
        <v>93</v>
      </c>
      <c r="D275" s="274">
        <v>12.2</v>
      </c>
      <c r="E275" s="274">
        <v>0</v>
      </c>
      <c r="F275" s="274">
        <v>0</v>
      </c>
      <c r="G275" s="274">
        <v>9</v>
      </c>
      <c r="H275" s="274">
        <v>1023.1</v>
      </c>
      <c r="I275" s="274">
        <v>0</v>
      </c>
      <c r="J275" s="274">
        <v>0</v>
      </c>
      <c r="K275" s="274">
        <v>0</v>
      </c>
      <c r="L275" s="274">
        <v>0</v>
      </c>
      <c r="M275" s="274">
        <v>65.3</v>
      </c>
      <c r="N275" s="396">
        <v>599.79999999999995</v>
      </c>
      <c r="O275" s="396">
        <v>10.7</v>
      </c>
      <c r="P275" s="396">
        <v>10.7</v>
      </c>
      <c r="Q275" s="397">
        <v>0.18472222222222201</v>
      </c>
      <c r="R275" s="396"/>
      <c r="S275" s="400"/>
      <c r="T275" s="409"/>
      <c r="U275" s="398" t="str">
        <f t="shared" si="13"/>
        <v/>
      </c>
      <c r="V275" s="400"/>
      <c r="W275" s="410">
        <f t="shared" si="12"/>
        <v>10.7</v>
      </c>
      <c r="X275" s="472"/>
      <c r="AT275" s="232"/>
      <c r="AV275" s="198"/>
      <c r="AW275" s="274"/>
    </row>
    <row r="276" spans="2:49" x14ac:dyDescent="0.25">
      <c r="B276" s="274">
        <v>12.1</v>
      </c>
      <c r="C276" s="274">
        <v>93</v>
      </c>
      <c r="D276" s="274">
        <v>12.1</v>
      </c>
      <c r="E276" s="274">
        <v>0</v>
      </c>
      <c r="F276" s="274">
        <v>0</v>
      </c>
      <c r="G276" s="274">
        <v>9</v>
      </c>
      <c r="H276" s="274">
        <v>1023.1</v>
      </c>
      <c r="I276" s="274">
        <v>0</v>
      </c>
      <c r="J276" s="274">
        <v>0</v>
      </c>
      <c r="K276" s="274">
        <v>0</v>
      </c>
      <c r="L276" s="274">
        <v>0</v>
      </c>
      <c r="M276" s="274">
        <v>65.3</v>
      </c>
      <c r="N276" s="396">
        <v>599.79999999999995</v>
      </c>
      <c r="O276" s="396">
        <v>10.7</v>
      </c>
      <c r="P276" s="396">
        <v>10.7</v>
      </c>
      <c r="Q276" s="397">
        <v>0.18541666666666701</v>
      </c>
      <c r="R276" s="396"/>
      <c r="S276" s="400"/>
      <c r="T276" s="409"/>
      <c r="U276" s="398" t="str">
        <f t="shared" si="13"/>
        <v/>
      </c>
      <c r="V276" s="400"/>
      <c r="W276" s="410">
        <f t="shared" si="12"/>
        <v>10.7</v>
      </c>
      <c r="X276" s="472"/>
      <c r="AT276" s="232"/>
      <c r="AV276" s="198"/>
      <c r="AW276" s="274"/>
    </row>
    <row r="277" spans="2:49" x14ac:dyDescent="0.25">
      <c r="B277" s="274">
        <v>12.1</v>
      </c>
      <c r="C277" s="274">
        <v>93</v>
      </c>
      <c r="D277" s="274">
        <v>12.1</v>
      </c>
      <c r="E277" s="274">
        <v>0</v>
      </c>
      <c r="F277" s="274">
        <v>0</v>
      </c>
      <c r="G277" s="274">
        <v>9</v>
      </c>
      <c r="H277" s="274">
        <v>1023.3</v>
      </c>
      <c r="I277" s="274">
        <v>0</v>
      </c>
      <c r="J277" s="274">
        <v>0</v>
      </c>
      <c r="K277" s="274">
        <v>0</v>
      </c>
      <c r="L277" s="274">
        <v>0</v>
      </c>
      <c r="M277" s="274">
        <v>65.3</v>
      </c>
      <c r="N277" s="396">
        <v>599.79999999999995</v>
      </c>
      <c r="O277" s="396">
        <v>10.7</v>
      </c>
      <c r="P277" s="396">
        <v>10.7</v>
      </c>
      <c r="Q277" s="397">
        <v>0.18611111111111101</v>
      </c>
      <c r="R277" s="396"/>
      <c r="S277" s="400"/>
      <c r="T277" s="409"/>
      <c r="U277" s="398" t="str">
        <f t="shared" si="13"/>
        <v/>
      </c>
      <c r="V277" s="400"/>
      <c r="W277" s="410">
        <f t="shared" si="12"/>
        <v>10.7</v>
      </c>
      <c r="X277" s="472"/>
      <c r="AT277" s="232"/>
      <c r="AV277" s="198"/>
      <c r="AW277" s="274"/>
    </row>
    <row r="278" spans="2:49" x14ac:dyDescent="0.25">
      <c r="B278" s="274">
        <v>12.1</v>
      </c>
      <c r="C278" s="274">
        <v>93</v>
      </c>
      <c r="D278" s="274">
        <v>12.1</v>
      </c>
      <c r="E278" s="274">
        <v>0</v>
      </c>
      <c r="F278" s="274">
        <v>0</v>
      </c>
      <c r="G278" s="274">
        <v>9</v>
      </c>
      <c r="H278" s="274">
        <v>1023.1</v>
      </c>
      <c r="I278" s="274">
        <v>0</v>
      </c>
      <c r="J278" s="274">
        <v>0</v>
      </c>
      <c r="K278" s="274">
        <v>0</v>
      </c>
      <c r="L278" s="274">
        <v>0</v>
      </c>
      <c r="M278" s="274">
        <v>65.3</v>
      </c>
      <c r="N278" s="396">
        <v>599.79999999999995</v>
      </c>
      <c r="O278" s="396">
        <v>10.7</v>
      </c>
      <c r="P278" s="396">
        <v>10.6</v>
      </c>
      <c r="Q278" s="397">
        <v>0.186805555555556</v>
      </c>
      <c r="R278" s="396"/>
      <c r="S278" s="400"/>
      <c r="T278" s="409"/>
      <c r="U278" s="398" t="str">
        <f t="shared" si="13"/>
        <v/>
      </c>
      <c r="V278" s="400"/>
      <c r="W278" s="410">
        <f t="shared" si="12"/>
        <v>10.7</v>
      </c>
      <c r="X278" s="472"/>
      <c r="AT278" s="232"/>
      <c r="AV278" s="198"/>
      <c r="AW278" s="274"/>
    </row>
    <row r="279" spans="2:49" x14ac:dyDescent="0.25">
      <c r="B279" s="274">
        <v>12.1</v>
      </c>
      <c r="C279" s="274">
        <v>93</v>
      </c>
      <c r="D279" s="274">
        <v>12.1</v>
      </c>
      <c r="E279" s="274">
        <v>0</v>
      </c>
      <c r="F279" s="274">
        <v>0</v>
      </c>
      <c r="G279" s="274">
        <v>9</v>
      </c>
      <c r="H279" s="274">
        <v>1023.1</v>
      </c>
      <c r="I279" s="274">
        <v>0</v>
      </c>
      <c r="J279" s="274">
        <v>0</v>
      </c>
      <c r="K279" s="274">
        <v>0</v>
      </c>
      <c r="L279" s="274">
        <v>0</v>
      </c>
      <c r="M279" s="274">
        <v>65.3</v>
      </c>
      <c r="N279" s="396">
        <v>599.79999999999995</v>
      </c>
      <c r="O279" s="396">
        <v>10.7</v>
      </c>
      <c r="P279" s="396">
        <v>10.6</v>
      </c>
      <c r="Q279" s="397">
        <v>0.1875</v>
      </c>
      <c r="R279" s="396"/>
      <c r="S279" s="400"/>
      <c r="T279" s="409"/>
      <c r="U279" s="398" t="str">
        <f t="shared" si="13"/>
        <v/>
      </c>
      <c r="V279" s="400"/>
      <c r="W279" s="410">
        <f t="shared" si="12"/>
        <v>10.7</v>
      </c>
      <c r="X279" s="472"/>
      <c r="AT279" s="232"/>
      <c r="AV279" s="198"/>
      <c r="AW279" s="274"/>
    </row>
    <row r="280" spans="2:49" x14ac:dyDescent="0.25">
      <c r="B280" s="274">
        <v>12.1</v>
      </c>
      <c r="C280" s="274">
        <v>93</v>
      </c>
      <c r="D280" s="274">
        <v>12.1</v>
      </c>
      <c r="E280" s="274">
        <v>0</v>
      </c>
      <c r="F280" s="274">
        <v>0</v>
      </c>
      <c r="G280" s="274">
        <v>9</v>
      </c>
      <c r="H280" s="274">
        <v>1023.3</v>
      </c>
      <c r="I280" s="274">
        <v>0</v>
      </c>
      <c r="J280" s="274">
        <v>0</v>
      </c>
      <c r="K280" s="274">
        <v>0</v>
      </c>
      <c r="L280" s="274">
        <v>0</v>
      </c>
      <c r="M280" s="274">
        <v>65.3</v>
      </c>
      <c r="N280" s="396">
        <v>599.79999999999995</v>
      </c>
      <c r="O280" s="396">
        <v>10.6</v>
      </c>
      <c r="P280" s="396">
        <v>10.6</v>
      </c>
      <c r="Q280" s="397">
        <v>0.188194444444444</v>
      </c>
      <c r="R280" s="396"/>
      <c r="S280" s="400"/>
      <c r="T280" s="409"/>
      <c r="U280" s="398" t="str">
        <f t="shared" si="13"/>
        <v/>
      </c>
      <c r="V280" s="400"/>
      <c r="W280" s="410">
        <f t="shared" si="12"/>
        <v>10.6</v>
      </c>
      <c r="X280" s="472"/>
      <c r="Y280" s="121"/>
      <c r="AT280" s="232"/>
      <c r="AV280" s="198"/>
      <c r="AW280" s="274"/>
    </row>
    <row r="281" spans="2:49" x14ac:dyDescent="0.25">
      <c r="B281" s="274">
        <v>12.1</v>
      </c>
      <c r="C281" s="274">
        <v>93</v>
      </c>
      <c r="D281" s="274">
        <v>12.1</v>
      </c>
      <c r="E281" s="274">
        <v>1.1000000000000001</v>
      </c>
      <c r="F281" s="274">
        <v>1.8</v>
      </c>
      <c r="G281" s="274">
        <v>9</v>
      </c>
      <c r="H281" s="274">
        <v>1023.2</v>
      </c>
      <c r="I281" s="274">
        <v>0</v>
      </c>
      <c r="J281" s="274">
        <v>0</v>
      </c>
      <c r="K281" s="274">
        <v>0</v>
      </c>
      <c r="L281" s="274">
        <v>0</v>
      </c>
      <c r="M281" s="274">
        <v>65.3</v>
      </c>
      <c r="N281" s="396">
        <v>599.79999999999995</v>
      </c>
      <c r="O281" s="396">
        <v>10.6</v>
      </c>
      <c r="P281" s="396">
        <v>10.6</v>
      </c>
      <c r="Q281" s="397">
        <v>0.18888888888888899</v>
      </c>
      <c r="R281" s="396"/>
      <c r="S281" s="400"/>
      <c r="T281" s="409"/>
      <c r="U281" s="398" t="str">
        <f t="shared" si="13"/>
        <v/>
      </c>
      <c r="V281" s="400"/>
      <c r="W281" s="410">
        <f t="shared" si="12"/>
        <v>10.6</v>
      </c>
      <c r="X281" s="472"/>
      <c r="Y281" s="191"/>
      <c r="AT281" s="232"/>
      <c r="AV281" s="198"/>
      <c r="AW281" s="274"/>
    </row>
    <row r="282" spans="2:49" x14ac:dyDescent="0.25">
      <c r="B282" s="274">
        <v>12.1</v>
      </c>
      <c r="C282" s="274">
        <v>93</v>
      </c>
      <c r="D282" s="274">
        <v>12.1</v>
      </c>
      <c r="E282" s="274">
        <v>0</v>
      </c>
      <c r="F282" s="274">
        <v>0</v>
      </c>
      <c r="G282" s="274">
        <v>9</v>
      </c>
      <c r="H282" s="274">
        <v>1023.3</v>
      </c>
      <c r="I282" s="274">
        <v>0</v>
      </c>
      <c r="J282" s="274">
        <v>0</v>
      </c>
      <c r="K282" s="274">
        <v>0</v>
      </c>
      <c r="L282" s="274">
        <v>0</v>
      </c>
      <c r="M282" s="274">
        <v>65.3</v>
      </c>
      <c r="N282" s="396">
        <v>599.79999999999995</v>
      </c>
      <c r="O282" s="396">
        <v>10.6</v>
      </c>
      <c r="P282" s="396">
        <v>10.6</v>
      </c>
      <c r="Q282" s="397">
        <v>0.18958333333333299</v>
      </c>
      <c r="R282" s="396"/>
      <c r="S282" s="400"/>
      <c r="T282" s="409"/>
      <c r="U282" s="398" t="str">
        <f t="shared" si="13"/>
        <v/>
      </c>
      <c r="V282" s="400"/>
      <c r="W282" s="410">
        <f t="shared" si="12"/>
        <v>10.6</v>
      </c>
      <c r="X282" s="472"/>
      <c r="AT282" s="232"/>
      <c r="AV282" s="198"/>
      <c r="AW282" s="274"/>
    </row>
    <row r="283" spans="2:49" x14ac:dyDescent="0.25">
      <c r="B283" s="274">
        <v>12.1</v>
      </c>
      <c r="C283" s="274">
        <v>93</v>
      </c>
      <c r="D283" s="274">
        <v>12.1</v>
      </c>
      <c r="E283" s="274">
        <v>0</v>
      </c>
      <c r="F283" s="274">
        <v>0</v>
      </c>
      <c r="G283" s="274">
        <v>9</v>
      </c>
      <c r="H283" s="274">
        <v>1023.2</v>
      </c>
      <c r="I283" s="274">
        <v>0</v>
      </c>
      <c r="J283" s="274">
        <v>0</v>
      </c>
      <c r="K283" s="274">
        <v>0</v>
      </c>
      <c r="L283" s="274">
        <v>0</v>
      </c>
      <c r="M283" s="274">
        <v>65.3</v>
      </c>
      <c r="N283" s="396">
        <v>599.79999999999995</v>
      </c>
      <c r="O283" s="396">
        <v>10.6</v>
      </c>
      <c r="P283" s="396">
        <v>10.6</v>
      </c>
      <c r="Q283" s="397">
        <v>0.19027777777777799</v>
      </c>
      <c r="R283" s="396"/>
      <c r="S283" s="400"/>
      <c r="T283" s="409"/>
      <c r="U283" s="398" t="str">
        <f t="shared" si="13"/>
        <v/>
      </c>
      <c r="V283" s="400"/>
      <c r="W283" s="410">
        <f t="shared" si="12"/>
        <v>10.6</v>
      </c>
      <c r="X283" s="472"/>
      <c r="AT283" s="232"/>
      <c r="AV283" s="198"/>
      <c r="AW283" s="274"/>
    </row>
    <row r="284" spans="2:49" x14ac:dyDescent="0.25">
      <c r="B284" s="274">
        <v>12.1</v>
      </c>
      <c r="C284" s="274">
        <v>93</v>
      </c>
      <c r="D284" s="274">
        <v>12.1</v>
      </c>
      <c r="E284" s="274">
        <v>0</v>
      </c>
      <c r="F284" s="274">
        <v>0</v>
      </c>
      <c r="G284" s="274">
        <v>9</v>
      </c>
      <c r="H284" s="274">
        <v>1023.2</v>
      </c>
      <c r="I284" s="274">
        <v>0</v>
      </c>
      <c r="J284" s="274">
        <v>0</v>
      </c>
      <c r="K284" s="274">
        <v>0</v>
      </c>
      <c r="L284" s="274">
        <v>0</v>
      </c>
      <c r="M284" s="274">
        <v>65.3</v>
      </c>
      <c r="N284" s="396">
        <v>599.79999999999995</v>
      </c>
      <c r="O284" s="396">
        <v>10.6</v>
      </c>
      <c r="P284" s="396">
        <v>10.6</v>
      </c>
      <c r="Q284" s="397">
        <v>0.19097222222222199</v>
      </c>
      <c r="R284" s="396"/>
      <c r="S284" s="400"/>
      <c r="T284" s="409"/>
      <c r="U284" s="398" t="str">
        <f t="shared" si="13"/>
        <v/>
      </c>
      <c r="V284" s="400"/>
      <c r="W284" s="410">
        <f t="shared" si="12"/>
        <v>10.6</v>
      </c>
      <c r="X284" s="472"/>
      <c r="AT284" s="232"/>
      <c r="AV284" s="198"/>
      <c r="AW284" s="274"/>
    </row>
    <row r="285" spans="2:49" x14ac:dyDescent="0.25">
      <c r="B285" s="274">
        <v>12.1</v>
      </c>
      <c r="C285" s="274">
        <v>93</v>
      </c>
      <c r="D285" s="274">
        <v>12.1</v>
      </c>
      <c r="E285" s="274">
        <v>0</v>
      </c>
      <c r="F285" s="274">
        <v>0</v>
      </c>
      <c r="G285" s="274">
        <v>9</v>
      </c>
      <c r="H285" s="274">
        <v>1023</v>
      </c>
      <c r="I285" s="274">
        <v>0</v>
      </c>
      <c r="J285" s="274">
        <v>0</v>
      </c>
      <c r="K285" s="274">
        <v>0</v>
      </c>
      <c r="L285" s="274">
        <v>0</v>
      </c>
      <c r="M285" s="274">
        <v>65.3</v>
      </c>
      <c r="N285" s="396">
        <v>599.79999999999995</v>
      </c>
      <c r="O285" s="396">
        <v>10.6</v>
      </c>
      <c r="P285" s="396">
        <v>10.6</v>
      </c>
      <c r="Q285" s="397">
        <v>0.19166666666666701</v>
      </c>
      <c r="R285" s="396"/>
      <c r="S285" s="400"/>
      <c r="T285" s="409"/>
      <c r="U285" s="398" t="str">
        <f t="shared" si="13"/>
        <v/>
      </c>
      <c r="V285" s="400"/>
      <c r="W285" s="410">
        <f t="shared" si="12"/>
        <v>10.6</v>
      </c>
      <c r="X285" s="472"/>
      <c r="AT285" s="232"/>
      <c r="AV285" s="198"/>
      <c r="AW285" s="274"/>
    </row>
    <row r="286" spans="2:49" x14ac:dyDescent="0.25">
      <c r="B286" s="274">
        <v>12.1</v>
      </c>
      <c r="C286" s="274">
        <v>93</v>
      </c>
      <c r="D286" s="274">
        <v>12.1</v>
      </c>
      <c r="E286" s="274">
        <v>0.4</v>
      </c>
      <c r="F286" s="274">
        <v>1.8</v>
      </c>
      <c r="G286" s="274">
        <v>9</v>
      </c>
      <c r="H286" s="274">
        <v>1023</v>
      </c>
      <c r="I286" s="274">
        <v>0</v>
      </c>
      <c r="J286" s="274">
        <v>0</v>
      </c>
      <c r="K286" s="274">
        <v>0</v>
      </c>
      <c r="L286" s="274">
        <v>0</v>
      </c>
      <c r="M286" s="274">
        <v>65.3</v>
      </c>
      <c r="N286" s="396">
        <v>599.79999999999995</v>
      </c>
      <c r="O286" s="396">
        <v>10.6</v>
      </c>
      <c r="P286" s="396">
        <v>10.6</v>
      </c>
      <c r="Q286" s="397">
        <v>0.19236111111111101</v>
      </c>
      <c r="R286" s="396"/>
      <c r="S286" s="400"/>
      <c r="T286" s="409"/>
      <c r="U286" s="398" t="str">
        <f t="shared" si="13"/>
        <v/>
      </c>
      <c r="V286" s="400"/>
      <c r="W286" s="410">
        <f t="shared" si="12"/>
        <v>10.6</v>
      </c>
      <c r="X286" s="472"/>
      <c r="AT286" s="232"/>
      <c r="AV286" s="198"/>
      <c r="AW286" s="274"/>
    </row>
    <row r="287" spans="2:49" x14ac:dyDescent="0.25">
      <c r="B287" s="274">
        <v>12.1</v>
      </c>
      <c r="C287" s="274">
        <v>93</v>
      </c>
      <c r="D287" s="274">
        <v>12.1</v>
      </c>
      <c r="E287" s="274">
        <v>0</v>
      </c>
      <c r="F287" s="274">
        <v>0</v>
      </c>
      <c r="G287" s="274">
        <v>9</v>
      </c>
      <c r="H287" s="274">
        <v>1023.3</v>
      </c>
      <c r="I287" s="274">
        <v>0</v>
      </c>
      <c r="J287" s="274">
        <v>0</v>
      </c>
      <c r="K287" s="274">
        <v>0</v>
      </c>
      <c r="L287" s="274">
        <v>0</v>
      </c>
      <c r="M287" s="274">
        <v>65.3</v>
      </c>
      <c r="N287" s="396">
        <v>599.79999999999995</v>
      </c>
      <c r="O287" s="396">
        <v>10.6</v>
      </c>
      <c r="P287" s="396">
        <v>10.6</v>
      </c>
      <c r="Q287" s="397">
        <v>0.19305555555555601</v>
      </c>
      <c r="R287" s="396"/>
      <c r="S287" s="400"/>
      <c r="T287" s="409"/>
      <c r="U287" s="398" t="str">
        <f t="shared" si="13"/>
        <v/>
      </c>
      <c r="V287" s="400"/>
      <c r="W287" s="410">
        <f t="shared" si="12"/>
        <v>10.6</v>
      </c>
      <c r="X287" s="472"/>
      <c r="AT287" s="232"/>
      <c r="AV287" s="198"/>
      <c r="AW287" s="274"/>
    </row>
    <row r="288" spans="2:49" x14ac:dyDescent="0.25">
      <c r="B288" s="274">
        <v>12.1</v>
      </c>
      <c r="C288" s="274">
        <v>93</v>
      </c>
      <c r="D288" s="274">
        <v>12.1</v>
      </c>
      <c r="E288" s="274">
        <v>0</v>
      </c>
      <c r="F288" s="274">
        <v>0</v>
      </c>
      <c r="G288" s="274">
        <v>9</v>
      </c>
      <c r="H288" s="274">
        <v>1023.1</v>
      </c>
      <c r="I288" s="274">
        <v>0</v>
      </c>
      <c r="J288" s="274">
        <v>0</v>
      </c>
      <c r="K288" s="274">
        <v>0</v>
      </c>
      <c r="L288" s="274">
        <v>0</v>
      </c>
      <c r="M288" s="274">
        <v>65.3</v>
      </c>
      <c r="N288" s="396">
        <v>599.79999999999995</v>
      </c>
      <c r="O288" s="396">
        <v>10.6</v>
      </c>
      <c r="P288" s="396">
        <v>10.6</v>
      </c>
      <c r="Q288" s="397">
        <v>0.19375000000000001</v>
      </c>
      <c r="R288" s="396"/>
      <c r="S288" s="400"/>
      <c r="T288" s="409"/>
      <c r="U288" s="398" t="str">
        <f t="shared" si="13"/>
        <v/>
      </c>
      <c r="V288" s="400"/>
      <c r="W288" s="410">
        <f t="shared" si="12"/>
        <v>10.6</v>
      </c>
      <c r="X288" s="472"/>
      <c r="AT288" s="232"/>
      <c r="AV288" s="198"/>
      <c r="AW288" s="274"/>
    </row>
    <row r="289" spans="2:49" x14ac:dyDescent="0.25">
      <c r="B289" s="274">
        <v>12.1</v>
      </c>
      <c r="C289" s="274">
        <v>93</v>
      </c>
      <c r="D289" s="274">
        <v>12.1</v>
      </c>
      <c r="E289" s="274">
        <v>0</v>
      </c>
      <c r="F289" s="274">
        <v>0</v>
      </c>
      <c r="G289" s="274">
        <v>9</v>
      </c>
      <c r="H289" s="274">
        <v>1023</v>
      </c>
      <c r="I289" s="274">
        <v>0</v>
      </c>
      <c r="J289" s="274">
        <v>0</v>
      </c>
      <c r="K289" s="274">
        <v>0</v>
      </c>
      <c r="L289" s="274">
        <v>0</v>
      </c>
      <c r="M289" s="274">
        <v>65.3</v>
      </c>
      <c r="N289" s="396">
        <v>599.79999999999995</v>
      </c>
      <c r="O289" s="396">
        <v>10.6</v>
      </c>
      <c r="P289" s="396">
        <v>10.5</v>
      </c>
      <c r="Q289" s="397">
        <v>0.194444444444444</v>
      </c>
      <c r="R289" s="396"/>
      <c r="S289" s="400"/>
      <c r="T289" s="409"/>
      <c r="U289" s="398" t="str">
        <f t="shared" si="13"/>
        <v/>
      </c>
      <c r="V289" s="400"/>
      <c r="W289" s="410">
        <f t="shared" si="12"/>
        <v>10.6</v>
      </c>
      <c r="X289" s="472"/>
      <c r="AT289" s="232"/>
      <c r="AV289" s="198"/>
      <c r="AW289" s="274"/>
    </row>
    <row r="290" spans="2:49" x14ac:dyDescent="0.25">
      <c r="B290" s="274">
        <v>12.1</v>
      </c>
      <c r="C290" s="274">
        <v>93</v>
      </c>
      <c r="D290" s="274">
        <v>12.1</v>
      </c>
      <c r="E290" s="274">
        <v>0</v>
      </c>
      <c r="F290" s="274">
        <v>0</v>
      </c>
      <c r="G290" s="274">
        <v>9</v>
      </c>
      <c r="H290" s="274">
        <v>1023.4</v>
      </c>
      <c r="I290" s="274">
        <v>0</v>
      </c>
      <c r="J290" s="274">
        <v>0</v>
      </c>
      <c r="K290" s="274">
        <v>0</v>
      </c>
      <c r="L290" s="274">
        <v>0</v>
      </c>
      <c r="M290" s="274">
        <v>65.3</v>
      </c>
      <c r="N290" s="396">
        <v>599.79999999999995</v>
      </c>
      <c r="O290" s="396">
        <v>10.5</v>
      </c>
      <c r="P290" s="396">
        <v>10.5</v>
      </c>
      <c r="Q290" s="397">
        <v>0.195138888888889</v>
      </c>
      <c r="R290" s="396"/>
      <c r="S290" s="400"/>
      <c r="T290" s="409"/>
      <c r="U290" s="398" t="str">
        <f t="shared" si="13"/>
        <v/>
      </c>
      <c r="V290" s="400"/>
      <c r="W290" s="410">
        <f t="shared" si="12"/>
        <v>10.5</v>
      </c>
      <c r="X290" s="472"/>
      <c r="AT290" s="232"/>
      <c r="AV290" s="198"/>
      <c r="AW290" s="274"/>
    </row>
    <row r="291" spans="2:49" x14ac:dyDescent="0.25">
      <c r="B291" s="274">
        <v>12.1</v>
      </c>
      <c r="C291" s="274">
        <v>93</v>
      </c>
      <c r="D291" s="274">
        <v>12.1</v>
      </c>
      <c r="E291" s="274">
        <v>0.4</v>
      </c>
      <c r="F291" s="274">
        <v>1.8</v>
      </c>
      <c r="G291" s="274">
        <v>9</v>
      </c>
      <c r="H291" s="274">
        <v>1023.3</v>
      </c>
      <c r="I291" s="274">
        <v>0</v>
      </c>
      <c r="J291" s="274">
        <v>0</v>
      </c>
      <c r="K291" s="274">
        <v>0</v>
      </c>
      <c r="L291" s="274">
        <v>0</v>
      </c>
      <c r="M291" s="274">
        <v>65.3</v>
      </c>
      <c r="N291" s="396">
        <v>599.79999999999995</v>
      </c>
      <c r="O291" s="396">
        <v>10.6</v>
      </c>
      <c r="P291" s="396">
        <v>10.5</v>
      </c>
      <c r="Q291" s="397">
        <v>0.195833333333333</v>
      </c>
      <c r="R291" s="396"/>
      <c r="S291" s="400"/>
      <c r="T291" s="409"/>
      <c r="U291" s="398" t="str">
        <f t="shared" si="13"/>
        <v/>
      </c>
      <c r="V291" s="400"/>
      <c r="W291" s="410">
        <f t="shared" si="12"/>
        <v>10.6</v>
      </c>
      <c r="X291" s="472"/>
      <c r="AT291" s="232"/>
      <c r="AV291" s="198"/>
      <c r="AW291" s="274"/>
    </row>
    <row r="292" spans="2:49" x14ac:dyDescent="0.25">
      <c r="B292" s="274">
        <v>12.1</v>
      </c>
      <c r="C292" s="274">
        <v>93</v>
      </c>
      <c r="D292" s="274">
        <v>12.1</v>
      </c>
      <c r="E292" s="274">
        <v>0.4</v>
      </c>
      <c r="F292" s="274">
        <v>1.8</v>
      </c>
      <c r="G292" s="274">
        <v>9</v>
      </c>
      <c r="H292" s="274">
        <v>1023.2</v>
      </c>
      <c r="I292" s="274">
        <v>0</v>
      </c>
      <c r="J292" s="274">
        <v>0</v>
      </c>
      <c r="K292" s="274">
        <v>0</v>
      </c>
      <c r="L292" s="274">
        <v>0</v>
      </c>
      <c r="M292" s="274">
        <v>65.3</v>
      </c>
      <c r="N292" s="396">
        <v>599.79999999999995</v>
      </c>
      <c r="O292" s="396">
        <v>10.5</v>
      </c>
      <c r="P292" s="396">
        <v>10.5</v>
      </c>
      <c r="Q292" s="397">
        <v>0.196527777777778</v>
      </c>
      <c r="R292" s="396"/>
      <c r="S292" s="400"/>
      <c r="T292" s="409"/>
      <c r="U292" s="398" t="str">
        <f t="shared" si="13"/>
        <v/>
      </c>
      <c r="V292" s="400"/>
      <c r="W292" s="410">
        <f t="shared" si="12"/>
        <v>10.5</v>
      </c>
      <c r="X292" s="472"/>
      <c r="AT292" s="232"/>
      <c r="AV292" s="198"/>
      <c r="AW292" s="274"/>
    </row>
    <row r="293" spans="2:49" x14ac:dyDescent="0.25">
      <c r="B293" s="274">
        <v>12.1</v>
      </c>
      <c r="C293" s="274">
        <v>93</v>
      </c>
      <c r="D293" s="274">
        <v>12.1</v>
      </c>
      <c r="E293" s="274">
        <v>0</v>
      </c>
      <c r="F293" s="274">
        <v>0</v>
      </c>
      <c r="G293" s="274">
        <v>9</v>
      </c>
      <c r="H293" s="274">
        <v>1023.1</v>
      </c>
      <c r="I293" s="274">
        <v>0</v>
      </c>
      <c r="J293" s="274">
        <v>0</v>
      </c>
      <c r="K293" s="274">
        <v>0</v>
      </c>
      <c r="L293" s="274">
        <v>0</v>
      </c>
      <c r="M293" s="274">
        <v>65.3</v>
      </c>
      <c r="N293" s="396">
        <v>599.79999999999995</v>
      </c>
      <c r="O293" s="396">
        <v>10.5</v>
      </c>
      <c r="P293" s="396">
        <v>10.5</v>
      </c>
      <c r="Q293" s="397">
        <v>0.19722222222222199</v>
      </c>
      <c r="R293" s="396"/>
      <c r="S293" s="400"/>
      <c r="T293" s="409"/>
      <c r="U293" s="398" t="str">
        <f t="shared" si="13"/>
        <v/>
      </c>
      <c r="V293" s="400"/>
      <c r="W293" s="410">
        <f t="shared" si="12"/>
        <v>10.5</v>
      </c>
      <c r="X293" s="472"/>
      <c r="AT293" s="232"/>
      <c r="AV293" s="198"/>
      <c r="AW293" s="274"/>
    </row>
    <row r="294" spans="2:49" x14ac:dyDescent="0.25">
      <c r="B294" s="274">
        <v>12.1</v>
      </c>
      <c r="C294" s="274">
        <v>93</v>
      </c>
      <c r="D294" s="274">
        <v>12.1</v>
      </c>
      <c r="E294" s="274">
        <v>0</v>
      </c>
      <c r="F294" s="274">
        <v>0</v>
      </c>
      <c r="G294" s="274">
        <v>9</v>
      </c>
      <c r="H294" s="274">
        <v>1023.3</v>
      </c>
      <c r="I294" s="274">
        <v>0</v>
      </c>
      <c r="J294" s="274">
        <v>0</v>
      </c>
      <c r="K294" s="274">
        <v>0</v>
      </c>
      <c r="L294" s="274">
        <v>0</v>
      </c>
      <c r="M294" s="274">
        <v>65.3</v>
      </c>
      <c r="N294" s="396">
        <v>599.79999999999995</v>
      </c>
      <c r="O294" s="396">
        <v>10.6</v>
      </c>
      <c r="P294" s="396">
        <v>10.5</v>
      </c>
      <c r="Q294" s="397">
        <v>0.19791666666666699</v>
      </c>
      <c r="R294" s="396"/>
      <c r="S294" s="400"/>
      <c r="T294" s="409"/>
      <c r="U294" s="398" t="str">
        <f t="shared" si="13"/>
        <v/>
      </c>
      <c r="V294" s="400"/>
      <c r="W294" s="410">
        <f t="shared" si="12"/>
        <v>10.6</v>
      </c>
      <c r="X294" s="472"/>
      <c r="AT294" s="232"/>
      <c r="AV294" s="198"/>
      <c r="AW294" s="274"/>
    </row>
    <row r="295" spans="2:49" x14ac:dyDescent="0.25">
      <c r="B295" s="274">
        <v>12.1</v>
      </c>
      <c r="C295" s="274">
        <v>93</v>
      </c>
      <c r="D295" s="274">
        <v>12.1</v>
      </c>
      <c r="E295" s="274">
        <v>0</v>
      </c>
      <c r="F295" s="274">
        <v>0</v>
      </c>
      <c r="G295" s="274">
        <v>9</v>
      </c>
      <c r="H295" s="274">
        <v>1023.3</v>
      </c>
      <c r="I295" s="274">
        <v>0</v>
      </c>
      <c r="J295" s="274">
        <v>0</v>
      </c>
      <c r="K295" s="274">
        <v>0</v>
      </c>
      <c r="L295" s="274">
        <v>0</v>
      </c>
      <c r="M295" s="274">
        <v>65.3</v>
      </c>
      <c r="N295" s="396">
        <v>599.79999999999995</v>
      </c>
      <c r="O295" s="396">
        <v>10.5</v>
      </c>
      <c r="P295" s="396">
        <v>10.5</v>
      </c>
      <c r="Q295" s="397">
        <v>0.19861111111111099</v>
      </c>
      <c r="R295" s="396"/>
      <c r="S295" s="400"/>
      <c r="T295" s="409"/>
      <c r="U295" s="398" t="str">
        <f t="shared" si="13"/>
        <v/>
      </c>
      <c r="V295" s="400"/>
      <c r="W295" s="410">
        <f t="shared" si="12"/>
        <v>10.5</v>
      </c>
      <c r="X295" s="472"/>
      <c r="AT295" s="232"/>
      <c r="AV295" s="198"/>
      <c r="AW295" s="274"/>
    </row>
    <row r="296" spans="2:49" x14ac:dyDescent="0.25">
      <c r="B296" s="274">
        <v>12.1</v>
      </c>
      <c r="C296" s="274">
        <v>93</v>
      </c>
      <c r="D296" s="274">
        <v>12.1</v>
      </c>
      <c r="E296" s="274">
        <v>0</v>
      </c>
      <c r="F296" s="274">
        <v>0</v>
      </c>
      <c r="G296" s="274">
        <v>9</v>
      </c>
      <c r="H296" s="274">
        <v>1023.3</v>
      </c>
      <c r="I296" s="274">
        <v>0</v>
      </c>
      <c r="J296" s="274">
        <v>0</v>
      </c>
      <c r="K296" s="274">
        <v>0</v>
      </c>
      <c r="L296" s="274">
        <v>0</v>
      </c>
      <c r="M296" s="274">
        <v>65.3</v>
      </c>
      <c r="N296" s="396">
        <v>599.79999999999995</v>
      </c>
      <c r="O296" s="396">
        <v>10.5</v>
      </c>
      <c r="P296" s="396">
        <v>10.5</v>
      </c>
      <c r="Q296" s="397">
        <v>0.19930555555555601</v>
      </c>
      <c r="R296" s="396"/>
      <c r="S296" s="400"/>
      <c r="T296" s="409"/>
      <c r="U296" s="398" t="str">
        <f t="shared" si="13"/>
        <v/>
      </c>
      <c r="V296" s="400"/>
      <c r="W296" s="410">
        <f t="shared" si="12"/>
        <v>10.5</v>
      </c>
      <c r="X296" s="472"/>
      <c r="AT296" s="232"/>
      <c r="AV296" s="198"/>
      <c r="AW296" s="274"/>
    </row>
    <row r="297" spans="2:49" x14ac:dyDescent="0.25">
      <c r="B297" s="274">
        <v>12.1</v>
      </c>
      <c r="C297" s="274">
        <v>93</v>
      </c>
      <c r="D297" s="274">
        <v>12.1</v>
      </c>
      <c r="E297" s="274">
        <v>0</v>
      </c>
      <c r="F297" s="274">
        <v>0</v>
      </c>
      <c r="G297" s="274">
        <v>9</v>
      </c>
      <c r="H297" s="274">
        <v>1023.4</v>
      </c>
      <c r="I297" s="274">
        <v>0</v>
      </c>
      <c r="J297" s="274">
        <v>0</v>
      </c>
      <c r="K297" s="274">
        <v>0</v>
      </c>
      <c r="L297" s="274">
        <v>0</v>
      </c>
      <c r="M297" s="274">
        <v>65.3</v>
      </c>
      <c r="N297" s="396">
        <v>599.79999999999995</v>
      </c>
      <c r="O297" s="396">
        <v>10.5</v>
      </c>
      <c r="P297" s="396">
        <v>10.5</v>
      </c>
      <c r="Q297" s="397">
        <v>0.2</v>
      </c>
      <c r="R297" s="396"/>
      <c r="S297" s="400"/>
      <c r="T297" s="409"/>
      <c r="U297" s="398" t="str">
        <f t="shared" si="13"/>
        <v/>
      </c>
      <c r="V297" s="400"/>
      <c r="W297" s="410">
        <f t="shared" si="12"/>
        <v>10.5</v>
      </c>
      <c r="X297" s="472"/>
      <c r="AC297" s="156"/>
      <c r="AD297" s="156"/>
      <c r="AF297" s="156"/>
      <c r="AK297" s="156"/>
      <c r="AT297" s="232"/>
      <c r="AV297" s="198"/>
      <c r="AW297" s="274"/>
    </row>
    <row r="298" spans="2:49" x14ac:dyDescent="0.25">
      <c r="B298" s="274">
        <v>12</v>
      </c>
      <c r="C298" s="274">
        <v>93</v>
      </c>
      <c r="D298" s="274">
        <v>12</v>
      </c>
      <c r="E298" s="274">
        <v>0</v>
      </c>
      <c r="F298" s="274">
        <v>0</v>
      </c>
      <c r="G298" s="274">
        <v>9</v>
      </c>
      <c r="H298" s="274">
        <v>1023.1</v>
      </c>
      <c r="I298" s="274">
        <v>0</v>
      </c>
      <c r="J298" s="274">
        <v>0</v>
      </c>
      <c r="K298" s="274">
        <v>0</v>
      </c>
      <c r="L298" s="274">
        <v>0</v>
      </c>
      <c r="M298" s="274">
        <v>65.3</v>
      </c>
      <c r="N298" s="396">
        <v>599.79999999999995</v>
      </c>
      <c r="O298" s="396">
        <v>10.5</v>
      </c>
      <c r="P298" s="396">
        <v>10.5</v>
      </c>
      <c r="Q298" s="397">
        <v>0.20069444444444401</v>
      </c>
      <c r="R298" s="396"/>
      <c r="S298" s="400"/>
      <c r="T298" s="409"/>
      <c r="U298" s="398" t="str">
        <f t="shared" si="13"/>
        <v/>
      </c>
      <c r="V298" s="400"/>
      <c r="W298" s="410">
        <f t="shared" si="12"/>
        <v>10.5</v>
      </c>
      <c r="X298" s="472"/>
      <c r="AT298" s="232"/>
      <c r="AV298" s="198"/>
      <c r="AW298" s="274"/>
    </row>
    <row r="299" spans="2:49" x14ac:dyDescent="0.25">
      <c r="B299" s="274">
        <v>12</v>
      </c>
      <c r="C299" s="274">
        <v>93</v>
      </c>
      <c r="D299" s="274">
        <v>12</v>
      </c>
      <c r="E299" s="274">
        <v>0</v>
      </c>
      <c r="F299" s="274">
        <v>0</v>
      </c>
      <c r="G299" s="274">
        <v>9</v>
      </c>
      <c r="H299" s="274">
        <v>1023</v>
      </c>
      <c r="I299" s="274">
        <v>0</v>
      </c>
      <c r="J299" s="274">
        <v>0</v>
      </c>
      <c r="K299" s="274">
        <v>0</v>
      </c>
      <c r="L299" s="274">
        <v>0</v>
      </c>
      <c r="M299" s="274">
        <v>65.3</v>
      </c>
      <c r="N299" s="396">
        <v>599.79999999999995</v>
      </c>
      <c r="O299" s="396">
        <v>10.5</v>
      </c>
      <c r="P299" s="396">
        <v>10.5</v>
      </c>
      <c r="Q299" s="397">
        <v>0.20138888888888901</v>
      </c>
      <c r="R299" s="396"/>
      <c r="S299" s="400"/>
      <c r="T299" s="409"/>
      <c r="U299" s="398" t="str">
        <f t="shared" si="13"/>
        <v/>
      </c>
      <c r="V299" s="400"/>
      <c r="W299" s="410">
        <f t="shared" si="12"/>
        <v>10.5</v>
      </c>
      <c r="X299" s="472"/>
      <c r="AT299" s="232"/>
      <c r="AV299" s="198"/>
      <c r="AW299" s="274"/>
    </row>
    <row r="300" spans="2:49" x14ac:dyDescent="0.25">
      <c r="B300" s="274">
        <v>12</v>
      </c>
      <c r="C300" s="274">
        <v>93</v>
      </c>
      <c r="D300" s="274">
        <v>12</v>
      </c>
      <c r="E300" s="274">
        <v>0</v>
      </c>
      <c r="F300" s="274">
        <v>0</v>
      </c>
      <c r="G300" s="274">
        <v>9</v>
      </c>
      <c r="H300" s="274">
        <v>1023.1</v>
      </c>
      <c r="I300" s="274">
        <v>0</v>
      </c>
      <c r="J300" s="274">
        <v>0</v>
      </c>
      <c r="K300" s="274">
        <v>0</v>
      </c>
      <c r="L300" s="274">
        <v>0</v>
      </c>
      <c r="M300" s="274">
        <v>65.3</v>
      </c>
      <c r="N300" s="396">
        <v>599.79999999999995</v>
      </c>
      <c r="O300" s="396">
        <v>10.5</v>
      </c>
      <c r="P300" s="396">
        <v>10.5</v>
      </c>
      <c r="Q300" s="397">
        <v>0.202083333333333</v>
      </c>
      <c r="R300" s="396"/>
      <c r="S300" s="400"/>
      <c r="T300" s="409"/>
      <c r="U300" s="398" t="str">
        <f t="shared" si="13"/>
        <v/>
      </c>
      <c r="V300" s="400"/>
      <c r="W300" s="410">
        <f t="shared" si="12"/>
        <v>10.5</v>
      </c>
      <c r="X300" s="472"/>
      <c r="AT300" s="232"/>
      <c r="AV300" s="198"/>
      <c r="AW300" s="274"/>
    </row>
    <row r="301" spans="2:49" x14ac:dyDescent="0.25">
      <c r="B301" s="274">
        <v>12</v>
      </c>
      <c r="C301" s="274">
        <v>93</v>
      </c>
      <c r="D301" s="274">
        <v>12</v>
      </c>
      <c r="E301" s="274">
        <v>0</v>
      </c>
      <c r="F301" s="274">
        <v>0</v>
      </c>
      <c r="G301" s="274">
        <v>9</v>
      </c>
      <c r="H301" s="274">
        <v>1023.2</v>
      </c>
      <c r="I301" s="274">
        <v>0</v>
      </c>
      <c r="J301" s="274">
        <v>0</v>
      </c>
      <c r="K301" s="274">
        <v>0</v>
      </c>
      <c r="L301" s="274">
        <v>0</v>
      </c>
      <c r="M301" s="274">
        <v>65.3</v>
      </c>
      <c r="N301" s="396">
        <v>599.79999999999995</v>
      </c>
      <c r="O301" s="396">
        <v>10.5</v>
      </c>
      <c r="P301" s="396">
        <v>10.5</v>
      </c>
      <c r="Q301" s="397">
        <v>0.202777777777778</v>
      </c>
      <c r="R301" s="396"/>
      <c r="S301" s="400"/>
      <c r="T301" s="409"/>
      <c r="U301" s="398" t="str">
        <f t="shared" si="13"/>
        <v/>
      </c>
      <c r="V301" s="400"/>
      <c r="W301" s="410">
        <f t="shared" si="12"/>
        <v>10.5</v>
      </c>
      <c r="X301" s="472"/>
      <c r="AT301" s="232"/>
      <c r="AV301" s="198"/>
      <c r="AW301" s="274"/>
    </row>
    <row r="302" spans="2:49" x14ac:dyDescent="0.25">
      <c r="B302" s="274">
        <v>12</v>
      </c>
      <c r="C302" s="274">
        <v>93</v>
      </c>
      <c r="D302" s="274">
        <v>12</v>
      </c>
      <c r="E302" s="274">
        <v>0</v>
      </c>
      <c r="F302" s="274">
        <v>0</v>
      </c>
      <c r="G302" s="274">
        <v>9</v>
      </c>
      <c r="H302" s="274">
        <v>1023.4</v>
      </c>
      <c r="I302" s="274">
        <v>0</v>
      </c>
      <c r="J302" s="274">
        <v>0</v>
      </c>
      <c r="K302" s="274">
        <v>0</v>
      </c>
      <c r="L302" s="274">
        <v>0</v>
      </c>
      <c r="M302" s="274">
        <v>65.3</v>
      </c>
      <c r="N302" s="396">
        <v>599.79999999999995</v>
      </c>
      <c r="O302" s="396">
        <v>10.5</v>
      </c>
      <c r="P302" s="396">
        <v>10.5</v>
      </c>
      <c r="Q302" s="397">
        <v>0.203472222222222</v>
      </c>
      <c r="R302" s="396"/>
      <c r="S302" s="400"/>
      <c r="T302" s="409"/>
      <c r="U302" s="398" t="str">
        <f t="shared" si="13"/>
        <v/>
      </c>
      <c r="V302" s="400"/>
      <c r="W302" s="410">
        <f t="shared" si="12"/>
        <v>10.5</v>
      </c>
      <c r="X302" s="472"/>
      <c r="AT302" s="232"/>
      <c r="AV302" s="198"/>
      <c r="AW302" s="274"/>
    </row>
    <row r="303" spans="2:49" x14ac:dyDescent="0.25">
      <c r="B303" s="274">
        <v>12</v>
      </c>
      <c r="C303" s="274">
        <v>93</v>
      </c>
      <c r="D303" s="274">
        <v>12</v>
      </c>
      <c r="E303" s="274">
        <v>0</v>
      </c>
      <c r="F303" s="274">
        <v>0</v>
      </c>
      <c r="G303" s="274">
        <v>9</v>
      </c>
      <c r="H303" s="274">
        <v>1023.1</v>
      </c>
      <c r="I303" s="274">
        <v>0</v>
      </c>
      <c r="J303" s="274">
        <v>0</v>
      </c>
      <c r="K303" s="274">
        <v>0</v>
      </c>
      <c r="L303" s="274">
        <v>0</v>
      </c>
      <c r="M303" s="274">
        <v>65.3</v>
      </c>
      <c r="N303" s="396">
        <v>599.79999999999995</v>
      </c>
      <c r="O303" s="396">
        <v>10.5</v>
      </c>
      <c r="P303" s="396">
        <v>10.5</v>
      </c>
      <c r="Q303" s="397">
        <v>0.204166666666667</v>
      </c>
      <c r="R303" s="396"/>
      <c r="S303" s="400"/>
      <c r="T303" s="409"/>
      <c r="U303" s="398" t="str">
        <f t="shared" si="13"/>
        <v/>
      </c>
      <c r="V303" s="400"/>
      <c r="W303" s="410">
        <f t="shared" si="12"/>
        <v>10.5</v>
      </c>
      <c r="X303" s="472"/>
      <c r="AT303" s="232"/>
      <c r="AV303" s="198"/>
      <c r="AW303" s="274"/>
    </row>
    <row r="304" spans="2:49" ht="12.75" customHeight="1" x14ac:dyDescent="0.25">
      <c r="B304" s="274">
        <v>12</v>
      </c>
      <c r="C304" s="274">
        <v>94</v>
      </c>
      <c r="D304" s="274">
        <v>12</v>
      </c>
      <c r="E304" s="274">
        <v>0</v>
      </c>
      <c r="F304" s="274">
        <v>0</v>
      </c>
      <c r="G304" s="274">
        <v>9</v>
      </c>
      <c r="H304" s="274">
        <v>1023.1</v>
      </c>
      <c r="I304" s="274">
        <v>0</v>
      </c>
      <c r="J304" s="274">
        <v>0</v>
      </c>
      <c r="K304" s="274">
        <v>0</v>
      </c>
      <c r="L304" s="274">
        <v>0</v>
      </c>
      <c r="M304" s="274">
        <v>65.3</v>
      </c>
      <c r="N304" s="396">
        <v>599.79999999999995</v>
      </c>
      <c r="O304" s="396">
        <v>10.5</v>
      </c>
      <c r="P304" s="396">
        <v>10.5</v>
      </c>
      <c r="Q304" s="397">
        <v>0.20486111111111099</v>
      </c>
      <c r="R304" s="396"/>
      <c r="S304" s="400"/>
      <c r="T304" s="409"/>
      <c r="U304" s="398" t="str">
        <f t="shared" si="13"/>
        <v/>
      </c>
      <c r="V304" s="400"/>
      <c r="W304" s="410">
        <f t="shared" si="12"/>
        <v>10.5</v>
      </c>
      <c r="X304" s="472"/>
      <c r="AT304" s="232"/>
      <c r="AV304" s="198"/>
      <c r="AW304" s="274"/>
    </row>
    <row r="305" spans="2:49" x14ac:dyDescent="0.25">
      <c r="B305" s="274">
        <v>12</v>
      </c>
      <c r="C305" s="274">
        <v>94</v>
      </c>
      <c r="D305" s="274">
        <v>12</v>
      </c>
      <c r="E305" s="274">
        <v>0</v>
      </c>
      <c r="F305" s="274">
        <v>0</v>
      </c>
      <c r="G305" s="274">
        <v>9</v>
      </c>
      <c r="H305" s="274">
        <v>1023.2</v>
      </c>
      <c r="I305" s="274">
        <v>0</v>
      </c>
      <c r="J305" s="274">
        <v>0</v>
      </c>
      <c r="K305" s="274">
        <v>0</v>
      </c>
      <c r="L305" s="274">
        <v>0</v>
      </c>
      <c r="M305" s="274">
        <v>65.3</v>
      </c>
      <c r="N305" s="396">
        <v>599.79999999999995</v>
      </c>
      <c r="O305" s="396">
        <v>10.4</v>
      </c>
      <c r="P305" s="396">
        <v>10.4</v>
      </c>
      <c r="Q305" s="397">
        <v>0.20555555555555599</v>
      </c>
      <c r="R305" s="396"/>
      <c r="S305" s="400"/>
      <c r="T305" s="409"/>
      <c r="U305" s="398" t="str">
        <f t="shared" si="13"/>
        <v/>
      </c>
      <c r="V305" s="400"/>
      <c r="W305" s="410">
        <f t="shared" si="12"/>
        <v>10.4</v>
      </c>
      <c r="X305" s="472"/>
      <c r="AT305" s="232"/>
      <c r="AV305" s="198"/>
      <c r="AW305" s="274"/>
    </row>
    <row r="306" spans="2:49" x14ac:dyDescent="0.25">
      <c r="B306" s="274">
        <v>12</v>
      </c>
      <c r="C306" s="274">
        <v>94</v>
      </c>
      <c r="D306" s="274">
        <v>12</v>
      </c>
      <c r="E306" s="274">
        <v>0</v>
      </c>
      <c r="F306" s="274">
        <v>0</v>
      </c>
      <c r="G306" s="274">
        <v>9</v>
      </c>
      <c r="H306" s="274">
        <v>1023.2</v>
      </c>
      <c r="I306" s="274">
        <v>0</v>
      </c>
      <c r="J306" s="274">
        <v>0</v>
      </c>
      <c r="K306" s="274">
        <v>0</v>
      </c>
      <c r="L306" s="274">
        <v>0</v>
      </c>
      <c r="M306" s="274">
        <v>65.3</v>
      </c>
      <c r="N306" s="396">
        <v>599.79999999999995</v>
      </c>
      <c r="O306" s="396">
        <v>10.4</v>
      </c>
      <c r="P306" s="396">
        <v>10.4</v>
      </c>
      <c r="Q306" s="397">
        <v>0.20624999999999999</v>
      </c>
      <c r="R306" s="396"/>
      <c r="S306" s="400"/>
      <c r="T306" s="409"/>
      <c r="U306" s="398" t="str">
        <f t="shared" si="13"/>
        <v/>
      </c>
      <c r="V306" s="400"/>
      <c r="W306" s="410">
        <f t="shared" si="12"/>
        <v>10.4</v>
      </c>
      <c r="X306" s="472"/>
      <c r="AT306" s="232"/>
      <c r="AV306" s="198"/>
      <c r="AW306" s="274"/>
    </row>
    <row r="307" spans="2:49" x14ac:dyDescent="0.25">
      <c r="B307" s="274">
        <v>12</v>
      </c>
      <c r="C307" s="274">
        <v>94</v>
      </c>
      <c r="D307" s="274">
        <v>12</v>
      </c>
      <c r="E307" s="274">
        <v>0</v>
      </c>
      <c r="F307" s="274">
        <v>0</v>
      </c>
      <c r="G307" s="274">
        <v>9</v>
      </c>
      <c r="H307" s="274">
        <v>1023.1</v>
      </c>
      <c r="I307" s="274">
        <v>0</v>
      </c>
      <c r="J307" s="274">
        <v>0</v>
      </c>
      <c r="K307" s="274">
        <v>0</v>
      </c>
      <c r="L307" s="274">
        <v>0</v>
      </c>
      <c r="M307" s="274">
        <v>65.3</v>
      </c>
      <c r="N307" s="396">
        <v>599.79999999999995</v>
      </c>
      <c r="O307" s="396">
        <v>10.4</v>
      </c>
      <c r="P307" s="396">
        <v>10.4</v>
      </c>
      <c r="Q307" s="397">
        <v>0.20694444444444399</v>
      </c>
      <c r="R307" s="396"/>
      <c r="S307" s="400"/>
      <c r="T307" s="409"/>
      <c r="U307" s="398" t="str">
        <f t="shared" si="13"/>
        <v/>
      </c>
      <c r="V307" s="400"/>
      <c r="W307" s="410">
        <f t="shared" si="12"/>
        <v>10.4</v>
      </c>
      <c r="X307" s="472"/>
      <c r="AT307" s="232"/>
      <c r="AV307" s="198"/>
      <c r="AW307" s="274"/>
    </row>
    <row r="308" spans="2:49" x14ac:dyDescent="0.25">
      <c r="B308" s="274">
        <v>12</v>
      </c>
      <c r="C308" s="274">
        <v>94</v>
      </c>
      <c r="D308" s="274">
        <v>12</v>
      </c>
      <c r="E308" s="274">
        <v>0.4</v>
      </c>
      <c r="F308" s="274">
        <v>1.8</v>
      </c>
      <c r="G308" s="274">
        <v>9</v>
      </c>
      <c r="H308" s="274">
        <v>1023.3</v>
      </c>
      <c r="I308" s="274">
        <v>0</v>
      </c>
      <c r="J308" s="274">
        <v>0</v>
      </c>
      <c r="K308" s="274">
        <v>0</v>
      </c>
      <c r="L308" s="274">
        <v>0</v>
      </c>
      <c r="M308" s="274">
        <v>65.3</v>
      </c>
      <c r="N308" s="396">
        <v>599.79999999999995</v>
      </c>
      <c r="O308" s="396">
        <v>10.4</v>
      </c>
      <c r="P308" s="396">
        <v>10.4</v>
      </c>
      <c r="Q308" s="397">
        <v>0.20763888888888901</v>
      </c>
      <c r="R308" s="396"/>
      <c r="S308" s="400"/>
      <c r="T308" s="409"/>
      <c r="U308" s="398" t="str">
        <f t="shared" si="13"/>
        <v/>
      </c>
      <c r="V308" s="400"/>
      <c r="W308" s="410">
        <f t="shared" si="12"/>
        <v>10.4</v>
      </c>
      <c r="X308" s="472"/>
      <c r="AT308" s="232"/>
      <c r="AV308" s="198"/>
      <c r="AW308" s="274"/>
    </row>
    <row r="309" spans="2:49" x14ac:dyDescent="0.25">
      <c r="B309" s="274">
        <v>12.1</v>
      </c>
      <c r="C309" s="274">
        <v>94</v>
      </c>
      <c r="D309" s="274">
        <v>12.1</v>
      </c>
      <c r="E309" s="274">
        <v>0</v>
      </c>
      <c r="F309" s="274">
        <v>0</v>
      </c>
      <c r="G309" s="274">
        <v>9</v>
      </c>
      <c r="H309" s="274">
        <v>1023</v>
      </c>
      <c r="I309" s="274">
        <v>0</v>
      </c>
      <c r="J309" s="274">
        <v>0</v>
      </c>
      <c r="K309" s="274">
        <v>0</v>
      </c>
      <c r="L309" s="274">
        <v>0</v>
      </c>
      <c r="M309" s="274">
        <v>65.3</v>
      </c>
      <c r="N309" s="396">
        <v>599.79999999999995</v>
      </c>
      <c r="O309" s="396">
        <v>10.4</v>
      </c>
      <c r="P309" s="396">
        <v>10.4</v>
      </c>
      <c r="Q309" s="397">
        <v>0.20833333333333301</v>
      </c>
      <c r="R309" s="396"/>
      <c r="S309" s="400"/>
      <c r="T309" s="409"/>
      <c r="U309" s="398" t="str">
        <f t="shared" si="13"/>
        <v/>
      </c>
      <c r="V309" s="400"/>
      <c r="W309" s="410">
        <f t="shared" si="12"/>
        <v>10.4</v>
      </c>
      <c r="X309" s="472"/>
      <c r="AT309" s="232"/>
      <c r="AV309" s="198"/>
      <c r="AW309" s="274"/>
    </row>
    <row r="310" spans="2:49" x14ac:dyDescent="0.25">
      <c r="B310" s="274">
        <v>12.1</v>
      </c>
      <c r="C310" s="274">
        <v>94</v>
      </c>
      <c r="D310" s="274">
        <v>12.1</v>
      </c>
      <c r="E310" s="274">
        <v>0</v>
      </c>
      <c r="F310" s="274">
        <v>0</v>
      </c>
      <c r="G310" s="274">
        <v>9</v>
      </c>
      <c r="H310" s="274">
        <v>1023.2</v>
      </c>
      <c r="I310" s="274">
        <v>0</v>
      </c>
      <c r="J310" s="274">
        <v>0</v>
      </c>
      <c r="K310" s="274">
        <v>0</v>
      </c>
      <c r="L310" s="274">
        <v>0</v>
      </c>
      <c r="M310" s="274">
        <v>65.3</v>
      </c>
      <c r="N310" s="396">
        <v>599.79999999999995</v>
      </c>
      <c r="O310" s="396">
        <v>10.5</v>
      </c>
      <c r="P310" s="396">
        <v>10.5</v>
      </c>
      <c r="Q310" s="397">
        <v>0.20902777777777801</v>
      </c>
      <c r="R310" s="396"/>
      <c r="S310" s="400"/>
      <c r="T310" s="409"/>
      <c r="U310" s="398" t="str">
        <f t="shared" si="13"/>
        <v/>
      </c>
      <c r="V310" s="400"/>
      <c r="W310" s="410">
        <f t="shared" si="12"/>
        <v>10.5</v>
      </c>
      <c r="X310" s="472"/>
      <c r="AT310" s="232"/>
      <c r="AV310" s="198"/>
      <c r="AW310" s="274"/>
    </row>
    <row r="311" spans="2:49" x14ac:dyDescent="0.25">
      <c r="B311" s="274">
        <v>12.1</v>
      </c>
      <c r="C311" s="274">
        <v>94</v>
      </c>
      <c r="D311" s="274">
        <v>12.1</v>
      </c>
      <c r="E311" s="274">
        <v>0</v>
      </c>
      <c r="F311" s="274">
        <v>0</v>
      </c>
      <c r="G311" s="274">
        <v>9</v>
      </c>
      <c r="H311" s="274">
        <v>1023.1</v>
      </c>
      <c r="I311" s="274">
        <v>0</v>
      </c>
      <c r="J311" s="274">
        <v>0</v>
      </c>
      <c r="K311" s="274">
        <v>0</v>
      </c>
      <c r="L311" s="274">
        <v>0</v>
      </c>
      <c r="M311" s="274">
        <v>65.3</v>
      </c>
      <c r="N311" s="396">
        <v>599.79999999999995</v>
      </c>
      <c r="O311" s="396">
        <v>10.5</v>
      </c>
      <c r="P311" s="396">
        <v>10.5</v>
      </c>
      <c r="Q311" s="397">
        <v>0.209722222222222</v>
      </c>
      <c r="R311" s="396"/>
      <c r="S311" s="400"/>
      <c r="T311" s="409"/>
      <c r="U311" s="398" t="str">
        <f t="shared" si="13"/>
        <v/>
      </c>
      <c r="V311" s="400"/>
      <c r="W311" s="410">
        <f t="shared" si="12"/>
        <v>10.5</v>
      </c>
      <c r="X311" s="472"/>
      <c r="AT311" s="232"/>
      <c r="AV311" s="198"/>
      <c r="AW311" s="274"/>
    </row>
    <row r="312" spans="2:49" x14ac:dyDescent="0.25">
      <c r="B312" s="274">
        <v>12</v>
      </c>
      <c r="C312" s="274">
        <v>94</v>
      </c>
      <c r="D312" s="274">
        <v>12</v>
      </c>
      <c r="E312" s="274">
        <v>0.4</v>
      </c>
      <c r="F312" s="274">
        <v>1.8</v>
      </c>
      <c r="G312" s="274">
        <v>9</v>
      </c>
      <c r="H312" s="274">
        <v>1023</v>
      </c>
      <c r="I312" s="274">
        <v>0</v>
      </c>
      <c r="J312" s="274">
        <v>0</v>
      </c>
      <c r="K312" s="274">
        <v>0</v>
      </c>
      <c r="L312" s="274">
        <v>0</v>
      </c>
      <c r="M312" s="274">
        <v>65.3</v>
      </c>
      <c r="N312" s="396">
        <v>599.79999999999995</v>
      </c>
      <c r="O312" s="396">
        <v>10.5</v>
      </c>
      <c r="P312" s="396">
        <v>10.5</v>
      </c>
      <c r="Q312" s="397">
        <v>0.210416666666667</v>
      </c>
      <c r="R312" s="396"/>
      <c r="S312" s="400"/>
      <c r="T312" s="409"/>
      <c r="U312" s="398" t="str">
        <f t="shared" si="13"/>
        <v/>
      </c>
      <c r="V312" s="400"/>
      <c r="W312" s="410">
        <f t="shared" si="12"/>
        <v>10.5</v>
      </c>
      <c r="X312" s="472"/>
      <c r="AT312" s="232"/>
      <c r="AV312" s="198"/>
      <c r="AW312" s="274"/>
    </row>
    <row r="313" spans="2:49" x14ac:dyDescent="0.25">
      <c r="B313" s="274">
        <v>12.1</v>
      </c>
      <c r="C313" s="274">
        <v>94</v>
      </c>
      <c r="D313" s="274">
        <v>12.1</v>
      </c>
      <c r="E313" s="274">
        <v>0</v>
      </c>
      <c r="F313" s="274">
        <v>0</v>
      </c>
      <c r="G313" s="274">
        <v>9</v>
      </c>
      <c r="H313" s="274">
        <v>1023.1</v>
      </c>
      <c r="I313" s="274">
        <v>0</v>
      </c>
      <c r="J313" s="274">
        <v>0</v>
      </c>
      <c r="K313" s="274">
        <v>0</v>
      </c>
      <c r="L313" s="274">
        <v>0</v>
      </c>
      <c r="M313" s="274">
        <v>65.3</v>
      </c>
      <c r="N313" s="396">
        <v>599.79999999999995</v>
      </c>
      <c r="O313" s="396">
        <v>10.5</v>
      </c>
      <c r="P313" s="396">
        <v>10.5</v>
      </c>
      <c r="Q313" s="397">
        <v>0.211111111111111</v>
      </c>
      <c r="R313" s="396"/>
      <c r="S313" s="400"/>
      <c r="T313" s="409"/>
      <c r="U313" s="398" t="str">
        <f t="shared" si="13"/>
        <v/>
      </c>
      <c r="V313" s="400"/>
      <c r="W313" s="410">
        <f t="shared" si="12"/>
        <v>10.5</v>
      </c>
      <c r="X313" s="472"/>
      <c r="AT313" s="232"/>
      <c r="AV313" s="198"/>
      <c r="AW313" s="274"/>
    </row>
    <row r="314" spans="2:49" x14ac:dyDescent="0.25">
      <c r="B314" s="274">
        <v>12.1</v>
      </c>
      <c r="C314" s="274">
        <v>94</v>
      </c>
      <c r="D314" s="274">
        <v>12.1</v>
      </c>
      <c r="E314" s="274">
        <v>0</v>
      </c>
      <c r="F314" s="274">
        <v>0</v>
      </c>
      <c r="G314" s="274">
        <v>9</v>
      </c>
      <c r="H314" s="274">
        <v>1023.3</v>
      </c>
      <c r="I314" s="274">
        <v>0</v>
      </c>
      <c r="J314" s="274">
        <v>0</v>
      </c>
      <c r="K314" s="274">
        <v>0</v>
      </c>
      <c r="L314" s="274">
        <v>0</v>
      </c>
      <c r="M314" s="274">
        <v>65.3</v>
      </c>
      <c r="N314" s="396">
        <v>599.79999999999995</v>
      </c>
      <c r="O314" s="396">
        <v>10.5</v>
      </c>
      <c r="P314" s="396">
        <v>10.5</v>
      </c>
      <c r="Q314" s="397">
        <v>0.211805555555556</v>
      </c>
      <c r="R314" s="396"/>
      <c r="S314" s="400"/>
      <c r="T314" s="409"/>
      <c r="U314" s="398" t="str">
        <f t="shared" si="13"/>
        <v/>
      </c>
      <c r="V314" s="400"/>
      <c r="W314" s="410">
        <f t="shared" si="12"/>
        <v>10.5</v>
      </c>
      <c r="X314" s="472"/>
      <c r="AT314" s="232"/>
      <c r="AV314" s="198"/>
      <c r="AW314" s="274"/>
    </row>
    <row r="315" spans="2:49" x14ac:dyDescent="0.25">
      <c r="B315" s="274">
        <v>12.1</v>
      </c>
      <c r="C315" s="274">
        <v>94</v>
      </c>
      <c r="D315" s="274">
        <v>12.1</v>
      </c>
      <c r="E315" s="274">
        <v>0</v>
      </c>
      <c r="F315" s="274">
        <v>0</v>
      </c>
      <c r="G315" s="274">
        <v>9</v>
      </c>
      <c r="H315" s="274">
        <v>1023</v>
      </c>
      <c r="I315" s="274">
        <v>0</v>
      </c>
      <c r="J315" s="274">
        <v>0</v>
      </c>
      <c r="K315" s="274">
        <v>0</v>
      </c>
      <c r="L315" s="274">
        <v>0</v>
      </c>
      <c r="M315" s="274">
        <v>65.3</v>
      </c>
      <c r="N315" s="396">
        <v>599.79999999999995</v>
      </c>
      <c r="O315" s="396">
        <v>10.5</v>
      </c>
      <c r="P315" s="396">
        <v>10.5</v>
      </c>
      <c r="Q315" s="397">
        <v>0.21249999999999999</v>
      </c>
      <c r="R315" s="396"/>
      <c r="S315" s="400"/>
      <c r="T315" s="409"/>
      <c r="U315" s="398" t="str">
        <f t="shared" si="13"/>
        <v/>
      </c>
      <c r="V315" s="400"/>
      <c r="W315" s="410">
        <f t="shared" si="12"/>
        <v>10.5</v>
      </c>
      <c r="X315" s="472"/>
      <c r="AT315" s="232"/>
      <c r="AV315" s="198"/>
      <c r="AW315" s="274"/>
    </row>
    <row r="316" spans="2:49" x14ac:dyDescent="0.25">
      <c r="B316" s="274">
        <v>12</v>
      </c>
      <c r="C316" s="274">
        <v>94</v>
      </c>
      <c r="D316" s="274">
        <v>12</v>
      </c>
      <c r="E316" s="274">
        <v>0</v>
      </c>
      <c r="F316" s="274">
        <v>0</v>
      </c>
      <c r="G316" s="274">
        <v>9</v>
      </c>
      <c r="H316" s="274">
        <v>1023.1</v>
      </c>
      <c r="I316" s="274">
        <v>0</v>
      </c>
      <c r="J316" s="274">
        <v>0</v>
      </c>
      <c r="K316" s="274">
        <v>0</v>
      </c>
      <c r="L316" s="274">
        <v>0</v>
      </c>
      <c r="M316" s="274">
        <v>65.3</v>
      </c>
      <c r="N316" s="396">
        <v>599.79999999999995</v>
      </c>
      <c r="O316" s="396">
        <v>10.5</v>
      </c>
      <c r="P316" s="396">
        <v>10.5</v>
      </c>
      <c r="Q316" s="397">
        <v>0.21319444444444399</v>
      </c>
      <c r="R316" s="396"/>
      <c r="S316" s="400"/>
      <c r="T316" s="409"/>
      <c r="U316" s="398" t="str">
        <f t="shared" si="13"/>
        <v/>
      </c>
      <c r="V316" s="400"/>
      <c r="W316" s="410">
        <f t="shared" si="12"/>
        <v>10.5</v>
      </c>
      <c r="X316" s="472"/>
      <c r="AT316" s="232"/>
      <c r="AV316" s="198"/>
      <c r="AW316" s="274"/>
    </row>
    <row r="317" spans="2:49" x14ac:dyDescent="0.25">
      <c r="B317" s="274">
        <v>12</v>
      </c>
      <c r="C317" s="274">
        <v>94</v>
      </c>
      <c r="D317" s="274">
        <v>12</v>
      </c>
      <c r="E317" s="274">
        <v>0</v>
      </c>
      <c r="F317" s="274">
        <v>0</v>
      </c>
      <c r="G317" s="274">
        <v>9</v>
      </c>
      <c r="H317" s="274">
        <v>1023.1</v>
      </c>
      <c r="I317" s="274">
        <v>0</v>
      </c>
      <c r="J317" s="274">
        <v>0</v>
      </c>
      <c r="K317" s="274">
        <v>0</v>
      </c>
      <c r="L317" s="274">
        <v>0</v>
      </c>
      <c r="M317" s="274">
        <v>65.3</v>
      </c>
      <c r="N317" s="396">
        <v>599.79999999999995</v>
      </c>
      <c r="O317" s="396">
        <v>10.5</v>
      </c>
      <c r="P317" s="396">
        <v>10.5</v>
      </c>
      <c r="Q317" s="397">
        <v>0.21388888888888899</v>
      </c>
      <c r="R317" s="396"/>
      <c r="S317" s="400"/>
      <c r="T317" s="409"/>
      <c r="U317" s="398" t="str">
        <f t="shared" si="13"/>
        <v/>
      </c>
      <c r="V317" s="400"/>
      <c r="W317" s="410">
        <f t="shared" si="12"/>
        <v>10.5</v>
      </c>
      <c r="X317" s="472"/>
      <c r="AT317" s="232"/>
      <c r="AV317" s="198"/>
      <c r="AW317" s="274"/>
    </row>
    <row r="318" spans="2:49" x14ac:dyDescent="0.25">
      <c r="B318" s="274">
        <v>12</v>
      </c>
      <c r="C318" s="274">
        <v>94</v>
      </c>
      <c r="D318" s="274">
        <v>12</v>
      </c>
      <c r="E318" s="274">
        <v>0</v>
      </c>
      <c r="F318" s="274">
        <v>0</v>
      </c>
      <c r="G318" s="274">
        <v>9</v>
      </c>
      <c r="H318" s="274">
        <v>1023.1</v>
      </c>
      <c r="I318" s="274">
        <v>0</v>
      </c>
      <c r="J318" s="274">
        <v>0</v>
      </c>
      <c r="K318" s="274">
        <v>0</v>
      </c>
      <c r="L318" s="274">
        <v>0</v>
      </c>
      <c r="M318" s="274">
        <v>65.3</v>
      </c>
      <c r="N318" s="396">
        <v>599.79999999999995</v>
      </c>
      <c r="O318" s="396">
        <v>10.5</v>
      </c>
      <c r="P318" s="396">
        <v>10.5</v>
      </c>
      <c r="Q318" s="397">
        <v>0.21458333333333299</v>
      </c>
      <c r="R318" s="396"/>
      <c r="S318" s="400"/>
      <c r="T318" s="409"/>
      <c r="U318" s="398" t="str">
        <f t="shared" si="13"/>
        <v/>
      </c>
      <c r="V318" s="400"/>
      <c r="W318" s="410">
        <f t="shared" si="12"/>
        <v>10.5</v>
      </c>
      <c r="X318" s="472"/>
      <c r="AT318" s="232"/>
      <c r="AV318" s="198"/>
      <c r="AW318" s="274"/>
    </row>
    <row r="319" spans="2:49" x14ac:dyDescent="0.25">
      <c r="B319" s="274">
        <v>12</v>
      </c>
      <c r="C319" s="274">
        <v>94</v>
      </c>
      <c r="D319" s="274">
        <v>12</v>
      </c>
      <c r="E319" s="274">
        <v>0</v>
      </c>
      <c r="F319" s="274">
        <v>0</v>
      </c>
      <c r="G319" s="274">
        <v>9</v>
      </c>
      <c r="H319" s="274">
        <v>1022.9</v>
      </c>
      <c r="I319" s="274">
        <v>0</v>
      </c>
      <c r="J319" s="274">
        <v>0</v>
      </c>
      <c r="K319" s="274">
        <v>0</v>
      </c>
      <c r="L319" s="274">
        <v>0</v>
      </c>
      <c r="M319" s="274">
        <v>65.3</v>
      </c>
      <c r="N319" s="396">
        <v>599.79999999999995</v>
      </c>
      <c r="O319" s="396">
        <v>10.5</v>
      </c>
      <c r="P319" s="396">
        <v>10.5</v>
      </c>
      <c r="Q319" s="397">
        <v>0.21527777777777801</v>
      </c>
      <c r="R319" s="396"/>
      <c r="S319" s="400"/>
      <c r="T319" s="409"/>
      <c r="U319" s="398" t="str">
        <f t="shared" si="13"/>
        <v/>
      </c>
      <c r="V319" s="400"/>
      <c r="W319" s="410">
        <f t="shared" si="12"/>
        <v>10.5</v>
      </c>
      <c r="X319" s="472"/>
      <c r="AT319" s="232"/>
      <c r="AV319" s="198"/>
      <c r="AW319" s="274"/>
    </row>
    <row r="320" spans="2:49" x14ac:dyDescent="0.25">
      <c r="B320" s="274">
        <v>12</v>
      </c>
      <c r="C320" s="274">
        <v>94</v>
      </c>
      <c r="D320" s="274">
        <v>12</v>
      </c>
      <c r="E320" s="274">
        <v>0</v>
      </c>
      <c r="F320" s="274">
        <v>0</v>
      </c>
      <c r="G320" s="274">
        <v>9</v>
      </c>
      <c r="H320" s="274">
        <v>1023</v>
      </c>
      <c r="I320" s="274">
        <v>0</v>
      </c>
      <c r="J320" s="274">
        <v>0</v>
      </c>
      <c r="K320" s="274">
        <v>0</v>
      </c>
      <c r="L320" s="274">
        <v>0</v>
      </c>
      <c r="M320" s="274">
        <v>65.3</v>
      </c>
      <c r="N320" s="396">
        <v>599.79999999999995</v>
      </c>
      <c r="O320" s="396">
        <v>10.5</v>
      </c>
      <c r="P320" s="396">
        <v>10.5</v>
      </c>
      <c r="Q320" s="397">
        <v>0.21597222222222201</v>
      </c>
      <c r="R320" s="396"/>
      <c r="S320" s="400"/>
      <c r="T320" s="409"/>
      <c r="U320" s="398" t="str">
        <f t="shared" si="13"/>
        <v/>
      </c>
      <c r="V320" s="400"/>
      <c r="W320" s="410">
        <f t="shared" si="12"/>
        <v>10.5</v>
      </c>
      <c r="X320" s="472"/>
      <c r="AT320" s="232"/>
      <c r="AV320" s="198"/>
      <c r="AW320" s="274"/>
    </row>
    <row r="321" spans="2:49" x14ac:dyDescent="0.25">
      <c r="B321" s="274">
        <v>12</v>
      </c>
      <c r="C321" s="274">
        <v>94</v>
      </c>
      <c r="D321" s="274">
        <v>12</v>
      </c>
      <c r="E321" s="274">
        <v>0</v>
      </c>
      <c r="F321" s="274">
        <v>0</v>
      </c>
      <c r="G321" s="274">
        <v>9</v>
      </c>
      <c r="H321" s="274">
        <v>1023</v>
      </c>
      <c r="I321" s="274">
        <v>0</v>
      </c>
      <c r="J321" s="274">
        <v>0</v>
      </c>
      <c r="K321" s="274">
        <v>0</v>
      </c>
      <c r="L321" s="274">
        <v>0</v>
      </c>
      <c r="M321" s="274">
        <v>65.3</v>
      </c>
      <c r="N321" s="396">
        <v>599.79999999999995</v>
      </c>
      <c r="O321" s="396">
        <v>10.5</v>
      </c>
      <c r="P321" s="396">
        <v>10.5</v>
      </c>
      <c r="Q321" s="397">
        <v>0.21666666666666701</v>
      </c>
      <c r="R321" s="396"/>
      <c r="S321" s="400"/>
      <c r="T321" s="409"/>
      <c r="U321" s="398" t="str">
        <f t="shared" si="13"/>
        <v/>
      </c>
      <c r="V321" s="400"/>
      <c r="W321" s="410">
        <f t="shared" si="12"/>
        <v>10.5</v>
      </c>
      <c r="X321" s="472"/>
      <c r="AT321" s="232"/>
      <c r="AV321" s="198"/>
      <c r="AW321" s="274"/>
    </row>
    <row r="322" spans="2:49" x14ac:dyDescent="0.25">
      <c r="B322" s="274">
        <v>12</v>
      </c>
      <c r="C322" s="274">
        <v>94</v>
      </c>
      <c r="D322" s="274">
        <v>12</v>
      </c>
      <c r="E322" s="274">
        <v>0</v>
      </c>
      <c r="F322" s="274">
        <v>0</v>
      </c>
      <c r="G322" s="274">
        <v>9</v>
      </c>
      <c r="H322" s="274">
        <v>1022.8</v>
      </c>
      <c r="I322" s="274">
        <v>0</v>
      </c>
      <c r="J322" s="274">
        <v>0</v>
      </c>
      <c r="K322" s="274">
        <v>0</v>
      </c>
      <c r="L322" s="274">
        <v>0</v>
      </c>
      <c r="M322" s="274">
        <v>65.3</v>
      </c>
      <c r="N322" s="396">
        <v>599.79999999999995</v>
      </c>
      <c r="O322" s="396">
        <v>10.5</v>
      </c>
      <c r="P322" s="396">
        <v>10.5</v>
      </c>
      <c r="Q322" s="397">
        <v>0.21736111111111101</v>
      </c>
      <c r="R322" s="396"/>
      <c r="S322" s="400"/>
      <c r="T322" s="409"/>
      <c r="U322" s="398" t="str">
        <f t="shared" si="13"/>
        <v/>
      </c>
      <c r="V322" s="400"/>
      <c r="W322" s="410">
        <f t="shared" si="12"/>
        <v>10.5</v>
      </c>
      <c r="X322" s="472"/>
      <c r="AT322" s="232"/>
      <c r="AV322" s="198"/>
      <c r="AW322" s="274"/>
    </row>
    <row r="323" spans="2:49" x14ac:dyDescent="0.25">
      <c r="B323" s="274">
        <v>12</v>
      </c>
      <c r="C323" s="274">
        <v>94</v>
      </c>
      <c r="D323" s="274">
        <v>12</v>
      </c>
      <c r="E323" s="274">
        <v>0.4</v>
      </c>
      <c r="F323" s="274">
        <v>1.8</v>
      </c>
      <c r="G323" s="274">
        <v>9</v>
      </c>
      <c r="H323" s="274">
        <v>1023.2</v>
      </c>
      <c r="I323" s="274">
        <v>0</v>
      </c>
      <c r="J323" s="274">
        <v>0</v>
      </c>
      <c r="K323" s="274">
        <v>0</v>
      </c>
      <c r="L323" s="274">
        <v>0</v>
      </c>
      <c r="M323" s="274">
        <v>65.3</v>
      </c>
      <c r="N323" s="396">
        <v>599.79999999999995</v>
      </c>
      <c r="O323" s="396">
        <v>10.5</v>
      </c>
      <c r="P323" s="396">
        <v>10.5</v>
      </c>
      <c r="Q323" s="397">
        <v>0.218055555555556</v>
      </c>
      <c r="R323" s="396"/>
      <c r="S323" s="400"/>
      <c r="T323" s="409"/>
      <c r="U323" s="398" t="str">
        <f t="shared" si="13"/>
        <v/>
      </c>
      <c r="V323" s="400"/>
      <c r="W323" s="410">
        <f t="shared" si="12"/>
        <v>10.5</v>
      </c>
      <c r="X323" s="472"/>
      <c r="AT323" s="232"/>
      <c r="AV323" s="198"/>
      <c r="AW323" s="274"/>
    </row>
    <row r="324" spans="2:49" x14ac:dyDescent="0.25">
      <c r="B324" s="274">
        <v>12</v>
      </c>
      <c r="C324" s="274">
        <v>94</v>
      </c>
      <c r="D324" s="274">
        <v>12</v>
      </c>
      <c r="E324" s="274">
        <v>0</v>
      </c>
      <c r="F324" s="274">
        <v>0</v>
      </c>
      <c r="G324" s="274">
        <v>9</v>
      </c>
      <c r="H324" s="274">
        <v>1023.2</v>
      </c>
      <c r="I324" s="274">
        <v>0</v>
      </c>
      <c r="J324" s="274">
        <v>0</v>
      </c>
      <c r="K324" s="274">
        <v>0</v>
      </c>
      <c r="L324" s="274">
        <v>0</v>
      </c>
      <c r="M324" s="274">
        <v>65.3</v>
      </c>
      <c r="N324" s="396">
        <v>599.79999999999995</v>
      </c>
      <c r="O324" s="396">
        <v>10.5</v>
      </c>
      <c r="P324" s="396">
        <v>10.5</v>
      </c>
      <c r="Q324" s="397">
        <v>0.21875</v>
      </c>
      <c r="R324" s="396"/>
      <c r="S324" s="400"/>
      <c r="T324" s="409"/>
      <c r="U324" s="398" t="str">
        <f t="shared" si="13"/>
        <v/>
      </c>
      <c r="V324" s="400"/>
      <c r="W324" s="410">
        <f t="shared" si="12"/>
        <v>10.5</v>
      </c>
      <c r="X324" s="472"/>
      <c r="AT324" s="232"/>
      <c r="AV324" s="198"/>
      <c r="AW324" s="274"/>
    </row>
    <row r="325" spans="2:49" x14ac:dyDescent="0.25">
      <c r="B325" s="274">
        <v>12</v>
      </c>
      <c r="C325" s="274">
        <v>94</v>
      </c>
      <c r="D325" s="274">
        <v>12</v>
      </c>
      <c r="E325" s="274">
        <v>0</v>
      </c>
      <c r="F325" s="274">
        <v>0</v>
      </c>
      <c r="G325" s="274">
        <v>9</v>
      </c>
      <c r="H325" s="274">
        <v>1023</v>
      </c>
      <c r="I325" s="274">
        <v>0</v>
      </c>
      <c r="J325" s="274">
        <v>0</v>
      </c>
      <c r="K325" s="274">
        <v>0</v>
      </c>
      <c r="L325" s="274">
        <v>0</v>
      </c>
      <c r="M325" s="274">
        <v>65.3</v>
      </c>
      <c r="N325" s="396">
        <v>599.79999999999995</v>
      </c>
      <c r="O325" s="396">
        <v>10.5</v>
      </c>
      <c r="P325" s="396">
        <v>10.5</v>
      </c>
      <c r="Q325" s="397">
        <v>0.219444444444444</v>
      </c>
      <c r="R325" s="396"/>
      <c r="S325" s="400"/>
      <c r="T325" s="409"/>
      <c r="U325" s="398" t="str">
        <f t="shared" si="13"/>
        <v/>
      </c>
      <c r="V325" s="400"/>
      <c r="W325" s="410">
        <f t="shared" si="12"/>
        <v>10.5</v>
      </c>
      <c r="X325" s="472"/>
      <c r="AT325" s="232"/>
      <c r="AV325" s="198"/>
      <c r="AW325" s="274"/>
    </row>
    <row r="326" spans="2:49" x14ac:dyDescent="0.25">
      <c r="B326" s="274">
        <v>12</v>
      </c>
      <c r="C326" s="274">
        <v>94</v>
      </c>
      <c r="D326" s="274">
        <v>12</v>
      </c>
      <c r="E326" s="274">
        <v>0</v>
      </c>
      <c r="F326" s="274">
        <v>0</v>
      </c>
      <c r="G326" s="274">
        <v>9</v>
      </c>
      <c r="H326" s="274">
        <v>1023</v>
      </c>
      <c r="I326" s="274">
        <v>0</v>
      </c>
      <c r="J326" s="274">
        <v>0</v>
      </c>
      <c r="K326" s="274">
        <v>0</v>
      </c>
      <c r="L326" s="274">
        <v>0</v>
      </c>
      <c r="M326" s="274">
        <v>65.3</v>
      </c>
      <c r="N326" s="396">
        <v>599.79999999999995</v>
      </c>
      <c r="O326" s="396">
        <v>10.5</v>
      </c>
      <c r="P326" s="396">
        <v>10.4</v>
      </c>
      <c r="Q326" s="397">
        <v>0.22013888888888899</v>
      </c>
      <c r="R326" s="396"/>
      <c r="S326" s="400"/>
      <c r="T326" s="409"/>
      <c r="U326" s="398" t="str">
        <f t="shared" si="13"/>
        <v/>
      </c>
      <c r="V326" s="400"/>
      <c r="W326" s="410">
        <f t="shared" si="12"/>
        <v>10.5</v>
      </c>
      <c r="X326" s="472"/>
      <c r="AT326" s="232"/>
      <c r="AV326" s="198"/>
      <c r="AW326" s="274"/>
    </row>
    <row r="327" spans="2:49" x14ac:dyDescent="0.25">
      <c r="B327" s="274">
        <v>12</v>
      </c>
      <c r="C327" s="274">
        <v>94</v>
      </c>
      <c r="D327" s="274">
        <v>12</v>
      </c>
      <c r="E327" s="274">
        <v>0</v>
      </c>
      <c r="F327" s="274">
        <v>0</v>
      </c>
      <c r="G327" s="274">
        <v>9</v>
      </c>
      <c r="H327" s="274">
        <v>1022.9</v>
      </c>
      <c r="I327" s="274">
        <v>0</v>
      </c>
      <c r="J327" s="274">
        <v>0</v>
      </c>
      <c r="K327" s="274">
        <v>0</v>
      </c>
      <c r="L327" s="274">
        <v>0</v>
      </c>
      <c r="M327" s="274">
        <v>65.3</v>
      </c>
      <c r="N327" s="396">
        <v>599.79999999999995</v>
      </c>
      <c r="O327" s="396">
        <v>10.5</v>
      </c>
      <c r="P327" s="396">
        <v>10.5</v>
      </c>
      <c r="Q327" s="397">
        <v>0.22083333333333299</v>
      </c>
      <c r="R327" s="396"/>
      <c r="S327" s="400"/>
      <c r="T327" s="409"/>
      <c r="U327" s="398" t="str">
        <f t="shared" si="13"/>
        <v/>
      </c>
      <c r="V327" s="400"/>
      <c r="W327" s="410">
        <f t="shared" si="12"/>
        <v>10.5</v>
      </c>
      <c r="X327" s="472"/>
      <c r="AT327" s="232"/>
      <c r="AV327" s="198"/>
      <c r="AW327" s="274"/>
    </row>
    <row r="328" spans="2:49" x14ac:dyDescent="0.25">
      <c r="B328" s="274">
        <v>11.9</v>
      </c>
      <c r="C328" s="274">
        <v>94</v>
      </c>
      <c r="D328" s="274">
        <v>11.9</v>
      </c>
      <c r="E328" s="274">
        <v>0</v>
      </c>
      <c r="F328" s="274">
        <v>0</v>
      </c>
      <c r="G328" s="274">
        <v>9</v>
      </c>
      <c r="H328" s="274">
        <v>1022.8</v>
      </c>
      <c r="I328" s="274">
        <v>0</v>
      </c>
      <c r="J328" s="274">
        <v>0</v>
      </c>
      <c r="K328" s="274">
        <v>0</v>
      </c>
      <c r="L328" s="274">
        <v>0</v>
      </c>
      <c r="M328" s="274">
        <v>65.3</v>
      </c>
      <c r="N328" s="396">
        <v>599.79999999999995</v>
      </c>
      <c r="O328" s="396">
        <v>10.5</v>
      </c>
      <c r="P328" s="396">
        <v>10.5</v>
      </c>
      <c r="Q328" s="397">
        <v>0.22152777777777799</v>
      </c>
      <c r="R328" s="396"/>
      <c r="S328" s="400"/>
      <c r="T328" s="409"/>
      <c r="U328" s="398" t="str">
        <f t="shared" si="13"/>
        <v/>
      </c>
      <c r="V328" s="400"/>
      <c r="W328" s="410">
        <f t="shared" si="12"/>
        <v>10.5</v>
      </c>
      <c r="X328" s="472"/>
      <c r="AT328" s="232"/>
      <c r="AV328" s="198"/>
      <c r="AW328" s="274"/>
    </row>
    <row r="329" spans="2:49" x14ac:dyDescent="0.25">
      <c r="B329" s="274">
        <v>11.9</v>
      </c>
      <c r="C329" s="274">
        <v>93</v>
      </c>
      <c r="D329" s="274">
        <v>11.9</v>
      </c>
      <c r="E329" s="274">
        <v>0</v>
      </c>
      <c r="F329" s="274">
        <v>0</v>
      </c>
      <c r="G329" s="274">
        <v>9</v>
      </c>
      <c r="H329" s="274">
        <v>1022.9</v>
      </c>
      <c r="I329" s="274">
        <v>0</v>
      </c>
      <c r="J329" s="274">
        <v>0</v>
      </c>
      <c r="K329" s="274">
        <v>0</v>
      </c>
      <c r="L329" s="274">
        <v>0</v>
      </c>
      <c r="M329" s="274">
        <v>65.3</v>
      </c>
      <c r="N329" s="396">
        <v>599.79999999999995</v>
      </c>
      <c r="O329" s="396">
        <v>10.5</v>
      </c>
      <c r="P329" s="396">
        <v>10.4</v>
      </c>
      <c r="Q329" s="397">
        <v>0.22222222222222199</v>
      </c>
      <c r="R329" s="396"/>
      <c r="S329" s="400"/>
      <c r="T329" s="409"/>
      <c r="U329" s="398" t="str">
        <f t="shared" si="13"/>
        <v/>
      </c>
      <c r="V329" s="400"/>
      <c r="W329" s="410">
        <f t="shared" ref="W329:W368" si="14">MAX(O329:P329)</f>
        <v>10.5</v>
      </c>
      <c r="X329" s="472"/>
      <c r="AT329" s="232"/>
      <c r="AV329" s="198"/>
      <c r="AW329" s="274"/>
    </row>
    <row r="330" spans="2:49" x14ac:dyDescent="0.25">
      <c r="B330" s="274">
        <v>11.9</v>
      </c>
      <c r="C330" s="274">
        <v>94</v>
      </c>
      <c r="D330" s="274">
        <v>11.9</v>
      </c>
      <c r="E330" s="274">
        <v>0</v>
      </c>
      <c r="F330" s="274">
        <v>0</v>
      </c>
      <c r="G330" s="274">
        <v>9</v>
      </c>
      <c r="H330" s="274">
        <v>1022.9</v>
      </c>
      <c r="I330" s="274">
        <v>0</v>
      </c>
      <c r="J330" s="274">
        <v>0</v>
      </c>
      <c r="K330" s="274">
        <v>0</v>
      </c>
      <c r="L330" s="274">
        <v>0</v>
      </c>
      <c r="M330" s="274">
        <v>65.3</v>
      </c>
      <c r="N330" s="396">
        <v>599.79999999999995</v>
      </c>
      <c r="O330" s="396">
        <v>10.4</v>
      </c>
      <c r="P330" s="396">
        <v>10.5</v>
      </c>
      <c r="Q330" s="397">
        <v>0.22291666666666701</v>
      </c>
      <c r="R330" s="396"/>
      <c r="S330" s="400"/>
      <c r="T330" s="409"/>
      <c r="U330" s="398" t="str">
        <f t="shared" si="13"/>
        <v/>
      </c>
      <c r="V330" s="400"/>
      <c r="W330" s="410">
        <f t="shared" si="14"/>
        <v>10.5</v>
      </c>
      <c r="X330" s="472"/>
      <c r="AT330" s="232"/>
      <c r="AV330" s="198"/>
      <c r="AW330" s="274"/>
    </row>
    <row r="331" spans="2:49" x14ac:dyDescent="0.25">
      <c r="B331" s="274">
        <v>11.8</v>
      </c>
      <c r="C331" s="274">
        <v>94</v>
      </c>
      <c r="D331" s="274">
        <v>11.8</v>
      </c>
      <c r="E331" s="274">
        <v>0</v>
      </c>
      <c r="F331" s="274">
        <v>0</v>
      </c>
      <c r="G331" s="274">
        <v>9</v>
      </c>
      <c r="H331" s="274">
        <v>1023.1</v>
      </c>
      <c r="I331" s="274">
        <v>0</v>
      </c>
      <c r="J331" s="274">
        <v>0</v>
      </c>
      <c r="K331" s="274">
        <v>0</v>
      </c>
      <c r="L331" s="274">
        <v>0</v>
      </c>
      <c r="M331" s="274">
        <v>65.3</v>
      </c>
      <c r="N331" s="396">
        <v>599.79999999999995</v>
      </c>
      <c r="O331" s="396">
        <v>10.4</v>
      </c>
      <c r="P331" s="396">
        <v>10.5</v>
      </c>
      <c r="Q331" s="397">
        <v>0.22361111111111101</v>
      </c>
      <c r="R331" s="396"/>
      <c r="S331" s="400"/>
      <c r="T331" s="409"/>
      <c r="U331" s="398" t="str">
        <f t="shared" ref="U331:U394" si="15">IF(J331&gt;0,60,"")</f>
        <v/>
      </c>
      <c r="V331" s="400"/>
      <c r="W331" s="410">
        <f t="shared" si="14"/>
        <v>10.5</v>
      </c>
      <c r="X331" s="472"/>
      <c r="AT331" s="232"/>
      <c r="AV331" s="198"/>
      <c r="AW331" s="274"/>
    </row>
    <row r="332" spans="2:49" x14ac:dyDescent="0.25">
      <c r="B332" s="274">
        <v>11.8</v>
      </c>
      <c r="C332" s="274">
        <v>94</v>
      </c>
      <c r="D332" s="274">
        <v>11.8</v>
      </c>
      <c r="E332" s="274">
        <v>0</v>
      </c>
      <c r="F332" s="274">
        <v>0</v>
      </c>
      <c r="G332" s="274">
        <v>9</v>
      </c>
      <c r="H332" s="274">
        <v>1023.2</v>
      </c>
      <c r="I332" s="274">
        <v>0</v>
      </c>
      <c r="J332" s="274">
        <v>0</v>
      </c>
      <c r="K332" s="274">
        <v>0</v>
      </c>
      <c r="L332" s="274">
        <v>0</v>
      </c>
      <c r="M332" s="274">
        <v>65.3</v>
      </c>
      <c r="N332" s="396">
        <v>599.79999999999995</v>
      </c>
      <c r="O332" s="396">
        <v>10.4</v>
      </c>
      <c r="P332" s="396">
        <v>10.4</v>
      </c>
      <c r="Q332" s="397">
        <v>0.22430555555555601</v>
      </c>
      <c r="R332" s="396"/>
      <c r="S332" s="400"/>
      <c r="T332" s="409"/>
      <c r="U332" s="398" t="str">
        <f t="shared" si="15"/>
        <v/>
      </c>
      <c r="V332" s="400"/>
      <c r="W332" s="410">
        <f t="shared" si="14"/>
        <v>10.4</v>
      </c>
      <c r="X332" s="472"/>
      <c r="AT332" s="232"/>
      <c r="AV332" s="198"/>
      <c r="AW332" s="274"/>
    </row>
    <row r="333" spans="2:49" x14ac:dyDescent="0.25">
      <c r="B333" s="274">
        <v>11.8</v>
      </c>
      <c r="C333" s="274">
        <v>94</v>
      </c>
      <c r="D333" s="274">
        <v>11.8</v>
      </c>
      <c r="E333" s="274">
        <v>0</v>
      </c>
      <c r="F333" s="274">
        <v>0</v>
      </c>
      <c r="G333" s="274">
        <v>9</v>
      </c>
      <c r="H333" s="274">
        <v>1023.1</v>
      </c>
      <c r="I333" s="274">
        <v>0</v>
      </c>
      <c r="J333" s="274">
        <v>0</v>
      </c>
      <c r="K333" s="274">
        <v>0</v>
      </c>
      <c r="L333" s="274">
        <v>0</v>
      </c>
      <c r="M333" s="274">
        <v>65.3</v>
      </c>
      <c r="N333" s="396">
        <v>599.79999999999995</v>
      </c>
      <c r="O333" s="396">
        <v>10.4</v>
      </c>
      <c r="P333" s="396">
        <v>10.5</v>
      </c>
      <c r="Q333" s="397">
        <v>0.22500000000000001</v>
      </c>
      <c r="R333" s="396"/>
      <c r="S333" s="400"/>
      <c r="T333" s="409"/>
      <c r="U333" s="398" t="str">
        <f t="shared" si="15"/>
        <v/>
      </c>
      <c r="V333" s="400"/>
      <c r="W333" s="410">
        <f t="shared" si="14"/>
        <v>10.5</v>
      </c>
      <c r="X333" s="472"/>
      <c r="AT333" s="232"/>
      <c r="AV333" s="198"/>
      <c r="AW333" s="274"/>
    </row>
    <row r="334" spans="2:49" x14ac:dyDescent="0.25">
      <c r="B334" s="274">
        <v>11.8</v>
      </c>
      <c r="C334" s="274">
        <v>94</v>
      </c>
      <c r="D334" s="274">
        <v>11.8</v>
      </c>
      <c r="E334" s="274">
        <v>0</v>
      </c>
      <c r="F334" s="274">
        <v>0</v>
      </c>
      <c r="G334" s="274">
        <v>9</v>
      </c>
      <c r="H334" s="274">
        <v>1022.9</v>
      </c>
      <c r="I334" s="274">
        <v>0</v>
      </c>
      <c r="J334" s="274">
        <v>0</v>
      </c>
      <c r="K334" s="274">
        <v>0</v>
      </c>
      <c r="L334" s="274">
        <v>0</v>
      </c>
      <c r="M334" s="274">
        <v>65.3</v>
      </c>
      <c r="N334" s="396">
        <v>599.79999999999995</v>
      </c>
      <c r="O334" s="396">
        <v>10.4</v>
      </c>
      <c r="P334" s="396">
        <v>10.4</v>
      </c>
      <c r="Q334" s="397">
        <v>0.225694444444444</v>
      </c>
      <c r="R334" s="396"/>
      <c r="S334" s="400"/>
      <c r="T334" s="409"/>
      <c r="U334" s="398" t="str">
        <f t="shared" si="15"/>
        <v/>
      </c>
      <c r="V334" s="400"/>
      <c r="W334" s="410">
        <f t="shared" si="14"/>
        <v>10.4</v>
      </c>
      <c r="X334" s="472"/>
      <c r="AT334" s="232"/>
      <c r="AV334" s="198"/>
      <c r="AW334" s="274"/>
    </row>
    <row r="335" spans="2:49" x14ac:dyDescent="0.25">
      <c r="B335" s="274">
        <v>11.8</v>
      </c>
      <c r="C335" s="274">
        <v>94</v>
      </c>
      <c r="D335" s="274">
        <v>11.8</v>
      </c>
      <c r="E335" s="274">
        <v>0.4</v>
      </c>
      <c r="F335" s="274">
        <v>1.8</v>
      </c>
      <c r="G335" s="274">
        <v>9</v>
      </c>
      <c r="H335" s="274">
        <v>1022.9</v>
      </c>
      <c r="I335" s="274">
        <v>0</v>
      </c>
      <c r="J335" s="274">
        <v>0</v>
      </c>
      <c r="K335" s="274">
        <v>0</v>
      </c>
      <c r="L335" s="274">
        <v>0</v>
      </c>
      <c r="M335" s="274">
        <v>65.3</v>
      </c>
      <c r="N335" s="396">
        <v>599.79999999999995</v>
      </c>
      <c r="O335" s="396">
        <v>10.4</v>
      </c>
      <c r="P335" s="396">
        <v>10.4</v>
      </c>
      <c r="Q335" s="397">
        <v>0.226388888888889</v>
      </c>
      <c r="R335" s="396"/>
      <c r="S335" s="400"/>
      <c r="T335" s="409"/>
      <c r="U335" s="398" t="str">
        <f t="shared" si="15"/>
        <v/>
      </c>
      <c r="V335" s="400"/>
      <c r="W335" s="410">
        <f t="shared" si="14"/>
        <v>10.4</v>
      </c>
      <c r="X335" s="472"/>
      <c r="AT335" s="232"/>
      <c r="AV335" s="198"/>
      <c r="AW335" s="274"/>
    </row>
    <row r="336" spans="2:49" x14ac:dyDescent="0.25">
      <c r="B336" s="274">
        <v>11.9</v>
      </c>
      <c r="C336" s="274">
        <v>94</v>
      </c>
      <c r="D336" s="274">
        <v>11.9</v>
      </c>
      <c r="E336" s="274">
        <v>0</v>
      </c>
      <c r="F336" s="274">
        <v>0</v>
      </c>
      <c r="G336" s="274">
        <v>9</v>
      </c>
      <c r="H336" s="274">
        <v>1022.9</v>
      </c>
      <c r="I336" s="274">
        <v>0</v>
      </c>
      <c r="J336" s="274">
        <v>0</v>
      </c>
      <c r="K336" s="274">
        <v>0</v>
      </c>
      <c r="L336" s="274">
        <v>0</v>
      </c>
      <c r="M336" s="274">
        <v>65.3</v>
      </c>
      <c r="N336" s="396">
        <v>599.79999999999995</v>
      </c>
      <c r="O336" s="396">
        <v>10.4</v>
      </c>
      <c r="P336" s="396">
        <v>10.4</v>
      </c>
      <c r="Q336" s="397">
        <v>0.227083333333333</v>
      </c>
      <c r="R336" s="396"/>
      <c r="S336" s="400"/>
      <c r="T336" s="409"/>
      <c r="U336" s="398" t="str">
        <f t="shared" si="15"/>
        <v/>
      </c>
      <c r="V336" s="400"/>
      <c r="W336" s="410">
        <f t="shared" si="14"/>
        <v>10.4</v>
      </c>
      <c r="X336" s="472"/>
      <c r="AT336" s="232"/>
      <c r="AV336" s="198"/>
      <c r="AW336" s="274"/>
    </row>
    <row r="337" spans="2:49" x14ac:dyDescent="0.25">
      <c r="B337" s="274">
        <v>11.9</v>
      </c>
      <c r="C337" s="274">
        <v>94</v>
      </c>
      <c r="D337" s="274">
        <v>11.9</v>
      </c>
      <c r="E337" s="274">
        <v>0</v>
      </c>
      <c r="F337" s="274">
        <v>0</v>
      </c>
      <c r="G337" s="274">
        <v>9</v>
      </c>
      <c r="H337" s="274">
        <v>1023</v>
      </c>
      <c r="I337" s="274">
        <v>0</v>
      </c>
      <c r="J337" s="274">
        <v>0</v>
      </c>
      <c r="K337" s="274">
        <v>0</v>
      </c>
      <c r="L337" s="274">
        <v>0</v>
      </c>
      <c r="M337" s="274">
        <v>65.3</v>
      </c>
      <c r="N337" s="396">
        <v>599.79999999999995</v>
      </c>
      <c r="O337" s="396">
        <v>10.4</v>
      </c>
      <c r="P337" s="396">
        <v>10.4</v>
      </c>
      <c r="Q337" s="397">
        <v>0.227777777777778</v>
      </c>
      <c r="R337" s="396"/>
      <c r="S337" s="400"/>
      <c r="T337" s="409"/>
      <c r="U337" s="398" t="str">
        <f t="shared" si="15"/>
        <v/>
      </c>
      <c r="V337" s="400"/>
      <c r="W337" s="410">
        <f t="shared" si="14"/>
        <v>10.4</v>
      </c>
      <c r="X337" s="472"/>
      <c r="AT337" s="232"/>
      <c r="AV337" s="198"/>
      <c r="AW337" s="274"/>
    </row>
    <row r="338" spans="2:49" x14ac:dyDescent="0.25">
      <c r="B338" s="274">
        <v>11.9</v>
      </c>
      <c r="C338" s="274">
        <v>94</v>
      </c>
      <c r="D338" s="274">
        <v>11.9</v>
      </c>
      <c r="E338" s="274">
        <v>0</v>
      </c>
      <c r="F338" s="274">
        <v>0</v>
      </c>
      <c r="G338" s="274">
        <v>9</v>
      </c>
      <c r="H338" s="274">
        <v>1023.2</v>
      </c>
      <c r="I338" s="274">
        <v>0</v>
      </c>
      <c r="J338" s="274">
        <v>0</v>
      </c>
      <c r="K338" s="274">
        <v>0</v>
      </c>
      <c r="L338" s="274">
        <v>0</v>
      </c>
      <c r="M338" s="274">
        <v>65.3</v>
      </c>
      <c r="N338" s="396">
        <v>599.79999999999995</v>
      </c>
      <c r="O338" s="396">
        <v>10.4</v>
      </c>
      <c r="P338" s="396">
        <v>10.4</v>
      </c>
      <c r="Q338" s="397">
        <v>0.22847222222222199</v>
      </c>
      <c r="R338" s="396"/>
      <c r="S338" s="400"/>
      <c r="T338" s="409"/>
      <c r="U338" s="398" t="str">
        <f t="shared" si="15"/>
        <v/>
      </c>
      <c r="V338" s="400"/>
      <c r="W338" s="410">
        <f t="shared" si="14"/>
        <v>10.4</v>
      </c>
      <c r="X338" s="472"/>
      <c r="AT338" s="232"/>
      <c r="AV338" s="198"/>
      <c r="AW338" s="274"/>
    </row>
    <row r="339" spans="2:49" x14ac:dyDescent="0.25">
      <c r="B339" s="274">
        <v>11.9</v>
      </c>
      <c r="C339" s="274">
        <v>94</v>
      </c>
      <c r="D339" s="274">
        <v>11.9</v>
      </c>
      <c r="E339" s="274">
        <v>0</v>
      </c>
      <c r="F339" s="274">
        <v>0</v>
      </c>
      <c r="G339" s="274">
        <v>9</v>
      </c>
      <c r="H339" s="274">
        <v>1023.1</v>
      </c>
      <c r="I339" s="274">
        <v>0</v>
      </c>
      <c r="J339" s="274">
        <v>0</v>
      </c>
      <c r="K339" s="274">
        <v>0</v>
      </c>
      <c r="L339" s="274">
        <v>0</v>
      </c>
      <c r="M339" s="274">
        <v>65.3</v>
      </c>
      <c r="N339" s="396">
        <v>599.79999999999995</v>
      </c>
      <c r="O339" s="396">
        <v>10.4</v>
      </c>
      <c r="P339" s="396">
        <v>10.4</v>
      </c>
      <c r="Q339" s="397">
        <v>0.22916666666666699</v>
      </c>
      <c r="R339" s="396"/>
      <c r="S339" s="400"/>
      <c r="T339" s="409"/>
      <c r="U339" s="398" t="str">
        <f t="shared" si="15"/>
        <v/>
      </c>
      <c r="V339" s="400"/>
      <c r="W339" s="410">
        <f t="shared" si="14"/>
        <v>10.4</v>
      </c>
      <c r="X339" s="472"/>
      <c r="AT339" s="232"/>
      <c r="AV339" s="198"/>
      <c r="AW339" s="274"/>
    </row>
    <row r="340" spans="2:49" x14ac:dyDescent="0.25">
      <c r="B340" s="274">
        <v>11.9</v>
      </c>
      <c r="C340" s="274">
        <v>94</v>
      </c>
      <c r="D340" s="274">
        <v>11.9</v>
      </c>
      <c r="E340" s="274">
        <v>0</v>
      </c>
      <c r="F340" s="274">
        <v>0</v>
      </c>
      <c r="G340" s="274">
        <v>9</v>
      </c>
      <c r="H340" s="274">
        <v>1023.1</v>
      </c>
      <c r="I340" s="274">
        <v>0</v>
      </c>
      <c r="J340" s="274">
        <v>0</v>
      </c>
      <c r="K340" s="274">
        <v>0</v>
      </c>
      <c r="L340" s="274">
        <v>0</v>
      </c>
      <c r="M340" s="274">
        <v>65.3</v>
      </c>
      <c r="N340" s="396">
        <v>599.79999999999995</v>
      </c>
      <c r="O340" s="396">
        <v>10.4</v>
      </c>
      <c r="P340" s="396">
        <v>10.4</v>
      </c>
      <c r="Q340" s="397">
        <v>0.22986111111111099</v>
      </c>
      <c r="R340" s="396"/>
      <c r="S340" s="400"/>
      <c r="T340" s="409"/>
      <c r="U340" s="398" t="str">
        <f t="shared" si="15"/>
        <v/>
      </c>
      <c r="V340" s="400"/>
      <c r="W340" s="410">
        <f t="shared" si="14"/>
        <v>10.4</v>
      </c>
      <c r="X340" s="472"/>
      <c r="AT340" s="232"/>
      <c r="AV340" s="198"/>
      <c r="AW340" s="274"/>
    </row>
    <row r="341" spans="2:49" x14ac:dyDescent="0.25">
      <c r="B341" s="274">
        <v>11.9</v>
      </c>
      <c r="C341" s="274">
        <v>94</v>
      </c>
      <c r="D341" s="274">
        <v>11.9</v>
      </c>
      <c r="E341" s="274">
        <v>0</v>
      </c>
      <c r="F341" s="274">
        <v>0</v>
      </c>
      <c r="G341" s="274">
        <v>9</v>
      </c>
      <c r="H341" s="274">
        <v>1023.1</v>
      </c>
      <c r="I341" s="274">
        <v>0</v>
      </c>
      <c r="J341" s="274">
        <v>0</v>
      </c>
      <c r="K341" s="274">
        <v>0</v>
      </c>
      <c r="L341" s="274">
        <v>0</v>
      </c>
      <c r="M341" s="274">
        <v>65.3</v>
      </c>
      <c r="N341" s="396">
        <v>599.79999999999995</v>
      </c>
      <c r="O341" s="396">
        <v>10.4</v>
      </c>
      <c r="P341" s="396">
        <v>10.4</v>
      </c>
      <c r="Q341" s="397">
        <v>0.23055555555555601</v>
      </c>
      <c r="R341" s="396"/>
      <c r="S341" s="400"/>
      <c r="T341" s="409"/>
      <c r="U341" s="398" t="str">
        <f t="shared" si="15"/>
        <v/>
      </c>
      <c r="V341" s="400"/>
      <c r="W341" s="410">
        <f t="shared" si="14"/>
        <v>10.4</v>
      </c>
      <c r="X341" s="472"/>
      <c r="AT341" s="232"/>
      <c r="AV341" s="198"/>
      <c r="AW341" s="274"/>
    </row>
    <row r="342" spans="2:49" x14ac:dyDescent="0.25">
      <c r="B342" s="274">
        <v>11.8</v>
      </c>
      <c r="C342" s="274">
        <v>94</v>
      </c>
      <c r="D342" s="274">
        <v>11.8</v>
      </c>
      <c r="E342" s="274">
        <v>0</v>
      </c>
      <c r="F342" s="274">
        <v>0</v>
      </c>
      <c r="G342" s="274">
        <v>9</v>
      </c>
      <c r="H342" s="274">
        <v>1022.9</v>
      </c>
      <c r="I342" s="274">
        <v>0</v>
      </c>
      <c r="J342" s="274">
        <v>0</v>
      </c>
      <c r="K342" s="274">
        <v>0</v>
      </c>
      <c r="L342" s="274">
        <v>0</v>
      </c>
      <c r="M342" s="274">
        <v>65.3</v>
      </c>
      <c r="N342" s="396">
        <v>599.79999999999995</v>
      </c>
      <c r="O342" s="396">
        <v>10.4</v>
      </c>
      <c r="P342" s="396">
        <v>10.4</v>
      </c>
      <c r="Q342" s="397">
        <v>0.23125000000000001</v>
      </c>
      <c r="R342" s="396"/>
      <c r="S342" s="400"/>
      <c r="T342" s="409"/>
      <c r="U342" s="398" t="str">
        <f t="shared" si="15"/>
        <v/>
      </c>
      <c r="V342" s="400"/>
      <c r="W342" s="410">
        <f t="shared" si="14"/>
        <v>10.4</v>
      </c>
      <c r="X342" s="472"/>
      <c r="AT342" s="232"/>
      <c r="AV342" s="198"/>
      <c r="AW342" s="274"/>
    </row>
    <row r="343" spans="2:49" x14ac:dyDescent="0.25">
      <c r="B343" s="274">
        <v>11.8</v>
      </c>
      <c r="C343" s="274">
        <v>94</v>
      </c>
      <c r="D343" s="274">
        <v>11.8</v>
      </c>
      <c r="E343" s="274">
        <v>0</v>
      </c>
      <c r="F343" s="274">
        <v>0</v>
      </c>
      <c r="G343" s="274">
        <v>9</v>
      </c>
      <c r="H343" s="274">
        <v>1022.9</v>
      </c>
      <c r="I343" s="274">
        <v>0</v>
      </c>
      <c r="J343" s="274">
        <v>0</v>
      </c>
      <c r="K343" s="274">
        <v>0</v>
      </c>
      <c r="L343" s="274">
        <v>0</v>
      </c>
      <c r="M343" s="274">
        <v>65.3</v>
      </c>
      <c r="N343" s="396">
        <v>599.79999999999995</v>
      </c>
      <c r="O343" s="396">
        <v>10.4</v>
      </c>
      <c r="P343" s="396">
        <v>10.3</v>
      </c>
      <c r="Q343" s="397">
        <v>0.23194444444444401</v>
      </c>
      <c r="R343" s="396"/>
      <c r="S343" s="400"/>
      <c r="T343" s="409"/>
      <c r="U343" s="398" t="str">
        <f t="shared" si="15"/>
        <v/>
      </c>
      <c r="V343" s="400"/>
      <c r="W343" s="410">
        <f t="shared" si="14"/>
        <v>10.4</v>
      </c>
      <c r="X343" s="472"/>
      <c r="AT343" s="232"/>
      <c r="AV343" s="198"/>
      <c r="AW343" s="274"/>
    </row>
    <row r="344" spans="2:49" x14ac:dyDescent="0.25">
      <c r="B344" s="274">
        <v>11.8</v>
      </c>
      <c r="C344" s="274">
        <v>94</v>
      </c>
      <c r="D344" s="274">
        <v>11.8</v>
      </c>
      <c r="E344" s="274">
        <v>0</v>
      </c>
      <c r="F344" s="274">
        <v>0</v>
      </c>
      <c r="G344" s="274">
        <v>9</v>
      </c>
      <c r="H344" s="274">
        <v>1022.9</v>
      </c>
      <c r="I344" s="274">
        <v>0</v>
      </c>
      <c r="J344" s="274">
        <v>0</v>
      </c>
      <c r="K344" s="274">
        <v>0</v>
      </c>
      <c r="L344" s="274">
        <v>0</v>
      </c>
      <c r="M344" s="274">
        <v>65.3</v>
      </c>
      <c r="N344" s="396">
        <v>599.79999999999995</v>
      </c>
      <c r="O344" s="396">
        <v>10.4</v>
      </c>
      <c r="P344" s="396">
        <v>10.3</v>
      </c>
      <c r="Q344" s="397">
        <v>0.23263888888888901</v>
      </c>
      <c r="R344" s="396"/>
      <c r="S344" s="400"/>
      <c r="T344" s="409"/>
      <c r="U344" s="398" t="str">
        <f t="shared" si="15"/>
        <v/>
      </c>
      <c r="V344" s="400"/>
      <c r="W344" s="410">
        <f t="shared" si="14"/>
        <v>10.4</v>
      </c>
      <c r="X344" s="472"/>
      <c r="AT344" s="232"/>
      <c r="AV344" s="198"/>
      <c r="AW344" s="274"/>
    </row>
    <row r="345" spans="2:49" x14ac:dyDescent="0.25">
      <c r="B345" s="274">
        <v>11.8</v>
      </c>
      <c r="C345" s="274">
        <v>94</v>
      </c>
      <c r="D345" s="274">
        <v>11.8</v>
      </c>
      <c r="E345" s="274">
        <v>0</v>
      </c>
      <c r="F345" s="274">
        <v>0</v>
      </c>
      <c r="G345" s="274">
        <v>9</v>
      </c>
      <c r="H345" s="274">
        <v>1023.2</v>
      </c>
      <c r="I345" s="274">
        <v>0</v>
      </c>
      <c r="J345" s="274">
        <v>0</v>
      </c>
      <c r="K345" s="274">
        <v>0</v>
      </c>
      <c r="L345" s="274">
        <v>0</v>
      </c>
      <c r="M345" s="274">
        <v>65.3</v>
      </c>
      <c r="N345" s="396">
        <v>599.79999999999995</v>
      </c>
      <c r="O345" s="396">
        <v>10.4</v>
      </c>
      <c r="P345" s="396">
        <v>10.3</v>
      </c>
      <c r="Q345" s="397">
        <v>0.233333333333333</v>
      </c>
      <c r="R345" s="396"/>
      <c r="S345" s="400"/>
      <c r="T345" s="409"/>
      <c r="U345" s="398" t="str">
        <f t="shared" si="15"/>
        <v/>
      </c>
      <c r="V345" s="400"/>
      <c r="W345" s="410">
        <f t="shared" si="14"/>
        <v>10.4</v>
      </c>
      <c r="X345" s="472"/>
      <c r="AT345" s="232"/>
      <c r="AV345" s="198"/>
      <c r="AW345" s="274"/>
    </row>
    <row r="346" spans="2:49" x14ac:dyDescent="0.25">
      <c r="B346" s="274">
        <v>11.9</v>
      </c>
      <c r="C346" s="274">
        <v>94</v>
      </c>
      <c r="D346" s="274">
        <v>11.9</v>
      </c>
      <c r="E346" s="274">
        <v>0</v>
      </c>
      <c r="F346" s="274">
        <v>0</v>
      </c>
      <c r="G346" s="274">
        <v>9</v>
      </c>
      <c r="H346" s="274">
        <v>1023.1</v>
      </c>
      <c r="I346" s="274">
        <v>0</v>
      </c>
      <c r="J346" s="274">
        <v>0</v>
      </c>
      <c r="K346" s="274">
        <v>0</v>
      </c>
      <c r="L346" s="274">
        <v>0</v>
      </c>
      <c r="M346" s="274">
        <v>65.3</v>
      </c>
      <c r="N346" s="396">
        <v>599.79999999999995</v>
      </c>
      <c r="O346" s="396">
        <v>10.4</v>
      </c>
      <c r="P346" s="396">
        <v>10.3</v>
      </c>
      <c r="Q346" s="397">
        <v>0.234027777777778</v>
      </c>
      <c r="R346" s="396"/>
      <c r="S346" s="400"/>
      <c r="T346" s="409"/>
      <c r="U346" s="398" t="str">
        <f t="shared" si="15"/>
        <v/>
      </c>
      <c r="V346" s="400"/>
      <c r="W346" s="410">
        <f t="shared" si="14"/>
        <v>10.4</v>
      </c>
      <c r="X346" s="472"/>
      <c r="AT346" s="232"/>
      <c r="AV346" s="198"/>
      <c r="AW346" s="274"/>
    </row>
    <row r="347" spans="2:49" x14ac:dyDescent="0.25">
      <c r="B347" s="274">
        <v>11.9</v>
      </c>
      <c r="C347" s="274">
        <v>94</v>
      </c>
      <c r="D347" s="274">
        <v>11.9</v>
      </c>
      <c r="E347" s="274">
        <v>0</v>
      </c>
      <c r="F347" s="274">
        <v>0</v>
      </c>
      <c r="G347" s="274">
        <v>9</v>
      </c>
      <c r="H347" s="274">
        <v>1022.8</v>
      </c>
      <c r="I347" s="274">
        <v>0</v>
      </c>
      <c r="J347" s="274">
        <v>0</v>
      </c>
      <c r="K347" s="274">
        <v>0</v>
      </c>
      <c r="L347" s="274">
        <v>0</v>
      </c>
      <c r="M347" s="274">
        <v>65.3</v>
      </c>
      <c r="N347" s="396">
        <v>599.79999999999995</v>
      </c>
      <c r="O347" s="396">
        <v>10.3</v>
      </c>
      <c r="P347" s="396">
        <v>10.3</v>
      </c>
      <c r="Q347" s="397">
        <v>0.234722222222222</v>
      </c>
      <c r="R347" s="396"/>
      <c r="S347" s="400"/>
      <c r="T347" s="409"/>
      <c r="U347" s="398" t="str">
        <f t="shared" si="15"/>
        <v/>
      </c>
      <c r="V347" s="400"/>
      <c r="W347" s="410">
        <f t="shared" si="14"/>
        <v>10.3</v>
      </c>
      <c r="X347" s="472"/>
      <c r="AT347" s="232"/>
      <c r="AV347" s="198"/>
      <c r="AW347" s="274"/>
    </row>
    <row r="348" spans="2:49" x14ac:dyDescent="0.25">
      <c r="B348" s="274">
        <v>11.9</v>
      </c>
      <c r="C348" s="274">
        <v>94</v>
      </c>
      <c r="D348" s="274">
        <v>11.9</v>
      </c>
      <c r="E348" s="274">
        <v>0</v>
      </c>
      <c r="F348" s="274">
        <v>0</v>
      </c>
      <c r="G348" s="274">
        <v>9</v>
      </c>
      <c r="H348" s="274">
        <v>1023</v>
      </c>
      <c r="I348" s="274">
        <v>0</v>
      </c>
      <c r="J348" s="274">
        <v>0</v>
      </c>
      <c r="K348" s="274">
        <v>0</v>
      </c>
      <c r="L348" s="274">
        <v>0</v>
      </c>
      <c r="M348" s="274">
        <v>65.3</v>
      </c>
      <c r="N348" s="396">
        <v>599.79999999999995</v>
      </c>
      <c r="O348" s="396">
        <v>10.3</v>
      </c>
      <c r="P348" s="396">
        <v>10.3</v>
      </c>
      <c r="Q348" s="397">
        <v>0.235416666666667</v>
      </c>
      <c r="R348" s="396"/>
      <c r="S348" s="400"/>
      <c r="T348" s="409"/>
      <c r="U348" s="398" t="str">
        <f t="shared" si="15"/>
        <v/>
      </c>
      <c r="V348" s="400"/>
      <c r="W348" s="410">
        <f t="shared" si="14"/>
        <v>10.3</v>
      </c>
      <c r="X348" s="472"/>
      <c r="AT348" s="232"/>
      <c r="AV348" s="198"/>
      <c r="AW348" s="274"/>
    </row>
    <row r="349" spans="2:49" x14ac:dyDescent="0.25">
      <c r="B349" s="274">
        <v>11.9</v>
      </c>
      <c r="C349" s="274">
        <v>95</v>
      </c>
      <c r="D349" s="274">
        <v>11.9</v>
      </c>
      <c r="E349" s="274">
        <v>1.1000000000000001</v>
      </c>
      <c r="F349" s="274">
        <v>1.8</v>
      </c>
      <c r="G349" s="274">
        <v>9</v>
      </c>
      <c r="H349" s="274">
        <v>1022.8</v>
      </c>
      <c r="I349" s="274">
        <v>0</v>
      </c>
      <c r="J349" s="274">
        <v>0</v>
      </c>
      <c r="K349" s="274">
        <v>0</v>
      </c>
      <c r="L349" s="274">
        <v>0</v>
      </c>
      <c r="M349" s="274">
        <v>65.3</v>
      </c>
      <c r="N349" s="396">
        <v>599.79999999999995</v>
      </c>
      <c r="O349" s="396">
        <v>10.3</v>
      </c>
      <c r="P349" s="396">
        <v>10.3</v>
      </c>
      <c r="Q349" s="397">
        <v>0.23611111111111099</v>
      </c>
      <c r="R349" s="396"/>
      <c r="S349" s="400"/>
      <c r="T349" s="409"/>
      <c r="U349" s="398" t="str">
        <f t="shared" si="15"/>
        <v/>
      </c>
      <c r="V349" s="400"/>
      <c r="W349" s="410">
        <f t="shared" si="14"/>
        <v>10.3</v>
      </c>
      <c r="X349" s="472"/>
      <c r="AT349" s="232"/>
      <c r="AV349" s="198"/>
      <c r="AW349" s="274"/>
    </row>
    <row r="350" spans="2:49" x14ac:dyDescent="0.25">
      <c r="B350" s="274">
        <v>11.9</v>
      </c>
      <c r="C350" s="274">
        <v>94</v>
      </c>
      <c r="D350" s="274">
        <v>11.9</v>
      </c>
      <c r="E350" s="274">
        <v>0.4</v>
      </c>
      <c r="F350" s="274">
        <v>1.8</v>
      </c>
      <c r="G350" s="274">
        <v>9</v>
      </c>
      <c r="H350" s="274">
        <v>1023</v>
      </c>
      <c r="I350" s="274">
        <v>0</v>
      </c>
      <c r="J350" s="274">
        <v>0</v>
      </c>
      <c r="K350" s="274">
        <v>0</v>
      </c>
      <c r="L350" s="274">
        <v>0</v>
      </c>
      <c r="M350" s="274">
        <v>65.3</v>
      </c>
      <c r="N350" s="396">
        <v>599.79999999999995</v>
      </c>
      <c r="O350" s="396">
        <v>10.3</v>
      </c>
      <c r="P350" s="396">
        <v>10.3</v>
      </c>
      <c r="Q350" s="397">
        <v>0.23680555555555599</v>
      </c>
      <c r="R350" s="396"/>
      <c r="S350" s="400"/>
      <c r="T350" s="409"/>
      <c r="U350" s="398" t="str">
        <f t="shared" si="15"/>
        <v/>
      </c>
      <c r="V350" s="400"/>
      <c r="W350" s="410">
        <f t="shared" si="14"/>
        <v>10.3</v>
      </c>
      <c r="X350" s="472"/>
      <c r="AT350" s="232"/>
      <c r="AV350" s="198"/>
      <c r="AW350" s="274"/>
    </row>
    <row r="351" spans="2:49" x14ac:dyDescent="0.25">
      <c r="B351" s="274">
        <v>11.9</v>
      </c>
      <c r="C351" s="274">
        <v>94</v>
      </c>
      <c r="D351" s="274">
        <v>11.9</v>
      </c>
      <c r="E351" s="274">
        <v>0</v>
      </c>
      <c r="F351" s="274">
        <v>0</v>
      </c>
      <c r="G351" s="274">
        <v>9</v>
      </c>
      <c r="H351" s="274">
        <v>1023</v>
      </c>
      <c r="I351" s="274">
        <v>0</v>
      </c>
      <c r="J351" s="274">
        <v>0</v>
      </c>
      <c r="K351" s="274">
        <v>0</v>
      </c>
      <c r="L351" s="274">
        <v>0</v>
      </c>
      <c r="M351" s="274">
        <v>65.3</v>
      </c>
      <c r="N351" s="396">
        <v>599.79999999999995</v>
      </c>
      <c r="O351" s="396">
        <v>10.3</v>
      </c>
      <c r="P351" s="396">
        <v>10.3</v>
      </c>
      <c r="Q351" s="397">
        <v>0.23749999999999999</v>
      </c>
      <c r="R351" s="396"/>
      <c r="S351" s="400"/>
      <c r="T351" s="409"/>
      <c r="U351" s="398" t="str">
        <f t="shared" si="15"/>
        <v/>
      </c>
      <c r="V351" s="400"/>
      <c r="W351" s="410">
        <f t="shared" si="14"/>
        <v>10.3</v>
      </c>
      <c r="X351" s="472"/>
      <c r="AT351" s="232"/>
      <c r="AV351" s="198"/>
      <c r="AW351" s="274"/>
    </row>
    <row r="352" spans="2:49" x14ac:dyDescent="0.25">
      <c r="B352" s="274">
        <v>11.9</v>
      </c>
      <c r="C352" s="274">
        <v>94</v>
      </c>
      <c r="D352" s="274">
        <v>11.9</v>
      </c>
      <c r="E352" s="274">
        <v>0</v>
      </c>
      <c r="F352" s="274">
        <v>0</v>
      </c>
      <c r="G352" s="274">
        <v>9</v>
      </c>
      <c r="H352" s="274">
        <v>1023</v>
      </c>
      <c r="I352" s="274">
        <v>0</v>
      </c>
      <c r="J352" s="274">
        <v>0</v>
      </c>
      <c r="K352" s="274">
        <v>0</v>
      </c>
      <c r="L352" s="274">
        <v>0</v>
      </c>
      <c r="M352" s="274">
        <v>65.3</v>
      </c>
      <c r="N352" s="396">
        <v>599.79999999999995</v>
      </c>
      <c r="O352" s="396">
        <v>10.4</v>
      </c>
      <c r="P352" s="396">
        <v>10.3</v>
      </c>
      <c r="Q352" s="397">
        <v>0.23819444444444399</v>
      </c>
      <c r="R352" s="396"/>
      <c r="S352" s="400"/>
      <c r="T352" s="409"/>
      <c r="U352" s="398" t="str">
        <f t="shared" si="15"/>
        <v/>
      </c>
      <c r="V352" s="400"/>
      <c r="W352" s="410">
        <f t="shared" si="14"/>
        <v>10.4</v>
      </c>
      <c r="X352" s="472"/>
      <c r="AT352" s="232"/>
      <c r="AV352" s="198"/>
      <c r="AW352" s="274"/>
    </row>
    <row r="353" spans="2:49" x14ac:dyDescent="0.25">
      <c r="B353" s="274">
        <v>11.9</v>
      </c>
      <c r="C353" s="274">
        <v>94</v>
      </c>
      <c r="D353" s="274">
        <v>11.9</v>
      </c>
      <c r="E353" s="274">
        <v>0</v>
      </c>
      <c r="F353" s="274">
        <v>0</v>
      </c>
      <c r="G353" s="274">
        <v>9</v>
      </c>
      <c r="H353" s="274">
        <v>1023</v>
      </c>
      <c r="I353" s="274">
        <v>0</v>
      </c>
      <c r="J353" s="274">
        <v>0</v>
      </c>
      <c r="K353" s="274">
        <v>0</v>
      </c>
      <c r="L353" s="274">
        <v>0</v>
      </c>
      <c r="M353" s="274">
        <v>65.3</v>
      </c>
      <c r="N353" s="396">
        <v>599.79999999999995</v>
      </c>
      <c r="O353" s="396">
        <v>10.3</v>
      </c>
      <c r="P353" s="396">
        <v>10.3</v>
      </c>
      <c r="Q353" s="397">
        <v>0.23888888888888901</v>
      </c>
      <c r="R353" s="396"/>
      <c r="S353" s="400"/>
      <c r="T353" s="409"/>
      <c r="U353" s="398" t="str">
        <f t="shared" si="15"/>
        <v/>
      </c>
      <c r="V353" s="400"/>
      <c r="W353" s="410">
        <f t="shared" si="14"/>
        <v>10.3</v>
      </c>
      <c r="X353" s="472"/>
      <c r="AT353" s="232"/>
      <c r="AV353" s="198"/>
      <c r="AW353" s="274"/>
    </row>
    <row r="354" spans="2:49" x14ac:dyDescent="0.25">
      <c r="B354" s="274">
        <v>11.9</v>
      </c>
      <c r="C354" s="274">
        <v>94</v>
      </c>
      <c r="D354" s="274">
        <v>11.9</v>
      </c>
      <c r="E354" s="274">
        <v>0</v>
      </c>
      <c r="F354" s="274">
        <v>0</v>
      </c>
      <c r="G354" s="274">
        <v>9</v>
      </c>
      <c r="H354" s="274">
        <v>1023</v>
      </c>
      <c r="I354" s="274">
        <v>0</v>
      </c>
      <c r="J354" s="274">
        <v>0</v>
      </c>
      <c r="K354" s="274">
        <v>0</v>
      </c>
      <c r="L354" s="274">
        <v>0</v>
      </c>
      <c r="M354" s="274">
        <v>65.3</v>
      </c>
      <c r="N354" s="396">
        <v>599.79999999999995</v>
      </c>
      <c r="O354" s="396">
        <v>10.3</v>
      </c>
      <c r="P354" s="396">
        <v>10.3</v>
      </c>
      <c r="Q354" s="397">
        <v>0.23958333333333301</v>
      </c>
      <c r="R354" s="396"/>
      <c r="S354" s="400"/>
      <c r="T354" s="409"/>
      <c r="U354" s="398" t="str">
        <f t="shared" si="15"/>
        <v/>
      </c>
      <c r="V354" s="400"/>
      <c r="W354" s="410">
        <f t="shared" si="14"/>
        <v>10.3</v>
      </c>
      <c r="X354" s="472"/>
      <c r="AT354" s="232"/>
      <c r="AV354" s="198"/>
      <c r="AW354" s="274"/>
    </row>
    <row r="355" spans="2:49" x14ac:dyDescent="0.25">
      <c r="B355" s="274">
        <v>11.9</v>
      </c>
      <c r="C355" s="274">
        <v>94</v>
      </c>
      <c r="D355" s="274">
        <v>11.9</v>
      </c>
      <c r="E355" s="274">
        <v>0</v>
      </c>
      <c r="F355" s="274">
        <v>0</v>
      </c>
      <c r="G355" s="274">
        <v>9</v>
      </c>
      <c r="H355" s="274">
        <v>1022.8</v>
      </c>
      <c r="I355" s="274">
        <v>0</v>
      </c>
      <c r="J355" s="274">
        <v>0</v>
      </c>
      <c r="K355" s="274">
        <v>0</v>
      </c>
      <c r="L355" s="274">
        <v>0</v>
      </c>
      <c r="M355" s="274">
        <v>65.3</v>
      </c>
      <c r="N355" s="396">
        <v>599.79999999999995</v>
      </c>
      <c r="O355" s="396">
        <v>10.3</v>
      </c>
      <c r="P355" s="396">
        <v>10.3</v>
      </c>
      <c r="Q355" s="397">
        <v>0.24027777777777801</v>
      </c>
      <c r="R355" s="396"/>
      <c r="S355" s="400"/>
      <c r="T355" s="409"/>
      <c r="U355" s="398" t="str">
        <f t="shared" si="15"/>
        <v/>
      </c>
      <c r="V355" s="400"/>
      <c r="W355" s="410">
        <f t="shared" si="14"/>
        <v>10.3</v>
      </c>
      <c r="X355" s="472"/>
      <c r="AT355" s="232"/>
      <c r="AV355" s="198"/>
      <c r="AW355" s="274"/>
    </row>
    <row r="356" spans="2:49" x14ac:dyDescent="0.25">
      <c r="B356" s="274">
        <v>11.9</v>
      </c>
      <c r="C356" s="274">
        <v>94</v>
      </c>
      <c r="D356" s="274">
        <v>11.9</v>
      </c>
      <c r="E356" s="274">
        <v>0.4</v>
      </c>
      <c r="F356" s="274">
        <v>1.8</v>
      </c>
      <c r="G356" s="274">
        <v>9</v>
      </c>
      <c r="H356" s="274">
        <v>1022.8</v>
      </c>
      <c r="I356" s="274">
        <v>0</v>
      </c>
      <c r="J356" s="274">
        <v>0</v>
      </c>
      <c r="K356" s="274">
        <v>0</v>
      </c>
      <c r="L356" s="274">
        <v>0</v>
      </c>
      <c r="M356" s="274">
        <v>65.3</v>
      </c>
      <c r="N356" s="396">
        <v>599.79999999999995</v>
      </c>
      <c r="O356" s="396">
        <v>10.3</v>
      </c>
      <c r="P356" s="396">
        <v>10.3</v>
      </c>
      <c r="Q356" s="397">
        <v>0.240972222222222</v>
      </c>
      <c r="R356" s="396"/>
      <c r="S356" s="400"/>
      <c r="T356" s="409"/>
      <c r="U356" s="398" t="str">
        <f t="shared" si="15"/>
        <v/>
      </c>
      <c r="V356" s="400"/>
      <c r="W356" s="410">
        <f t="shared" si="14"/>
        <v>10.3</v>
      </c>
      <c r="X356" s="472"/>
      <c r="AT356" s="232"/>
      <c r="AV356" s="198"/>
      <c r="AW356" s="274"/>
    </row>
    <row r="357" spans="2:49" x14ac:dyDescent="0.25">
      <c r="B357" s="274">
        <v>11.9</v>
      </c>
      <c r="C357" s="274">
        <v>95</v>
      </c>
      <c r="D357" s="274">
        <v>11.9</v>
      </c>
      <c r="E357" s="274">
        <v>0.7</v>
      </c>
      <c r="F357" s="274">
        <v>1.8</v>
      </c>
      <c r="G357" s="274">
        <v>9</v>
      </c>
      <c r="H357" s="274">
        <v>1022.9</v>
      </c>
      <c r="I357" s="274">
        <v>0</v>
      </c>
      <c r="J357" s="274">
        <v>0</v>
      </c>
      <c r="K357" s="274">
        <v>0</v>
      </c>
      <c r="L357" s="274">
        <v>0</v>
      </c>
      <c r="M357" s="274">
        <v>65.3</v>
      </c>
      <c r="N357" s="396">
        <v>599.79999999999995</v>
      </c>
      <c r="O357" s="396">
        <v>10.3</v>
      </c>
      <c r="P357" s="396">
        <v>10.3</v>
      </c>
      <c r="Q357" s="397">
        <v>0.241666666666667</v>
      </c>
      <c r="R357" s="396"/>
      <c r="S357" s="400"/>
      <c r="T357" s="409"/>
      <c r="U357" s="398" t="str">
        <f t="shared" si="15"/>
        <v/>
      </c>
      <c r="V357" s="400"/>
      <c r="W357" s="410">
        <f t="shared" si="14"/>
        <v>10.3</v>
      </c>
      <c r="X357" s="472"/>
      <c r="AT357" s="232"/>
      <c r="AV357" s="198"/>
      <c r="AW357" s="274"/>
    </row>
    <row r="358" spans="2:49" x14ac:dyDescent="0.25">
      <c r="B358" s="274">
        <v>11.9</v>
      </c>
      <c r="C358" s="274">
        <v>94</v>
      </c>
      <c r="D358" s="274">
        <v>11.9</v>
      </c>
      <c r="E358" s="274">
        <v>0</v>
      </c>
      <c r="F358" s="274">
        <v>0</v>
      </c>
      <c r="G358" s="274">
        <v>9</v>
      </c>
      <c r="H358" s="274">
        <v>1022.7</v>
      </c>
      <c r="I358" s="274">
        <v>0</v>
      </c>
      <c r="J358" s="274">
        <v>0</v>
      </c>
      <c r="K358" s="274">
        <v>0</v>
      </c>
      <c r="L358" s="274">
        <v>0</v>
      </c>
      <c r="M358" s="274">
        <v>65.3</v>
      </c>
      <c r="N358" s="396">
        <v>599.79999999999995</v>
      </c>
      <c r="O358" s="396">
        <v>10.3</v>
      </c>
      <c r="P358" s="396">
        <v>10.3</v>
      </c>
      <c r="Q358" s="397">
        <v>0.242361111111111</v>
      </c>
      <c r="R358" s="396"/>
      <c r="S358" s="400"/>
      <c r="T358" s="409"/>
      <c r="U358" s="398" t="str">
        <f t="shared" si="15"/>
        <v/>
      </c>
      <c r="V358" s="400"/>
      <c r="W358" s="410">
        <f t="shared" si="14"/>
        <v>10.3</v>
      </c>
      <c r="X358" s="472"/>
      <c r="AT358" s="232"/>
      <c r="AV358" s="198"/>
      <c r="AW358" s="274"/>
    </row>
    <row r="359" spans="2:49" x14ac:dyDescent="0.25">
      <c r="B359" s="274">
        <v>11.9</v>
      </c>
      <c r="C359" s="274">
        <v>94</v>
      </c>
      <c r="D359" s="274">
        <v>11.9</v>
      </c>
      <c r="E359" s="274">
        <v>0.7</v>
      </c>
      <c r="F359" s="274">
        <v>1.8</v>
      </c>
      <c r="G359" s="274">
        <v>9</v>
      </c>
      <c r="H359" s="274">
        <v>1023</v>
      </c>
      <c r="I359" s="274">
        <v>0</v>
      </c>
      <c r="J359" s="274">
        <v>0</v>
      </c>
      <c r="K359" s="274">
        <v>0</v>
      </c>
      <c r="L359" s="274">
        <v>0</v>
      </c>
      <c r="M359" s="274">
        <v>65.3</v>
      </c>
      <c r="N359" s="396">
        <v>599.79999999999995</v>
      </c>
      <c r="O359" s="396">
        <v>10.3</v>
      </c>
      <c r="P359" s="396">
        <v>10.4</v>
      </c>
      <c r="Q359" s="397">
        <v>0.243055555555556</v>
      </c>
      <c r="R359" s="396"/>
      <c r="S359" s="400"/>
      <c r="T359" s="409"/>
      <c r="U359" s="398" t="str">
        <f t="shared" si="15"/>
        <v/>
      </c>
      <c r="V359" s="400"/>
      <c r="W359" s="410">
        <f t="shared" si="14"/>
        <v>10.4</v>
      </c>
      <c r="X359" s="472"/>
      <c r="AT359" s="232"/>
      <c r="AV359" s="198"/>
      <c r="AW359" s="274"/>
    </row>
    <row r="360" spans="2:49" x14ac:dyDescent="0.25">
      <c r="B360" s="274">
        <v>11.9</v>
      </c>
      <c r="C360" s="274">
        <v>95</v>
      </c>
      <c r="D360" s="274">
        <v>11.9</v>
      </c>
      <c r="E360" s="274">
        <v>0</v>
      </c>
      <c r="F360" s="274">
        <v>0</v>
      </c>
      <c r="G360" s="274">
        <v>9</v>
      </c>
      <c r="H360" s="274">
        <v>1022.8</v>
      </c>
      <c r="I360" s="274">
        <v>0</v>
      </c>
      <c r="J360" s="274">
        <v>0</v>
      </c>
      <c r="K360" s="274">
        <v>0</v>
      </c>
      <c r="L360" s="274">
        <v>0</v>
      </c>
      <c r="M360" s="274">
        <v>65.3</v>
      </c>
      <c r="N360" s="396">
        <v>599.79999999999995</v>
      </c>
      <c r="O360" s="396">
        <v>10.4</v>
      </c>
      <c r="P360" s="396">
        <v>10.3</v>
      </c>
      <c r="Q360" s="397">
        <v>0.24374999999999999</v>
      </c>
      <c r="R360" s="396"/>
      <c r="S360" s="400"/>
      <c r="T360" s="409"/>
      <c r="U360" s="398" t="str">
        <f t="shared" si="15"/>
        <v/>
      </c>
      <c r="V360" s="400"/>
      <c r="W360" s="410">
        <f t="shared" si="14"/>
        <v>10.4</v>
      </c>
      <c r="X360" s="472"/>
      <c r="AT360" s="232"/>
      <c r="AV360" s="198"/>
      <c r="AW360" s="274"/>
    </row>
    <row r="361" spans="2:49" x14ac:dyDescent="0.25">
      <c r="B361" s="274">
        <v>11.9</v>
      </c>
      <c r="C361" s="274">
        <v>95</v>
      </c>
      <c r="D361" s="274">
        <v>11.9</v>
      </c>
      <c r="E361" s="274">
        <v>0</v>
      </c>
      <c r="F361" s="274">
        <v>0</v>
      </c>
      <c r="G361" s="274">
        <v>9</v>
      </c>
      <c r="H361" s="274">
        <v>1022.8</v>
      </c>
      <c r="I361" s="274">
        <v>0</v>
      </c>
      <c r="J361" s="274">
        <v>0</v>
      </c>
      <c r="K361" s="274">
        <v>0</v>
      </c>
      <c r="L361" s="274">
        <v>0</v>
      </c>
      <c r="M361" s="274">
        <v>65.3</v>
      </c>
      <c r="N361" s="396">
        <v>599.79999999999995</v>
      </c>
      <c r="O361" s="396">
        <v>10.4</v>
      </c>
      <c r="P361" s="396">
        <v>10.4</v>
      </c>
      <c r="Q361" s="397">
        <v>0.24444444444444399</v>
      </c>
      <c r="R361" s="396"/>
      <c r="S361" s="400"/>
      <c r="T361" s="409"/>
      <c r="U361" s="398" t="str">
        <f t="shared" si="15"/>
        <v/>
      </c>
      <c r="V361" s="400"/>
      <c r="W361" s="410">
        <f t="shared" si="14"/>
        <v>10.4</v>
      </c>
      <c r="X361" s="472"/>
      <c r="AT361" s="232"/>
      <c r="AV361" s="198"/>
      <c r="AW361" s="274"/>
    </row>
    <row r="362" spans="2:49" x14ac:dyDescent="0.25">
      <c r="B362" s="274">
        <v>11.9</v>
      </c>
      <c r="C362" s="274">
        <v>95</v>
      </c>
      <c r="D362" s="274">
        <v>11.9</v>
      </c>
      <c r="E362" s="274">
        <v>0</v>
      </c>
      <c r="F362" s="274">
        <v>0</v>
      </c>
      <c r="G362" s="274">
        <v>9</v>
      </c>
      <c r="H362" s="274">
        <v>1022.8</v>
      </c>
      <c r="I362" s="274">
        <v>0</v>
      </c>
      <c r="J362" s="274">
        <v>0</v>
      </c>
      <c r="K362" s="274">
        <v>0</v>
      </c>
      <c r="L362" s="274">
        <v>0</v>
      </c>
      <c r="M362" s="274">
        <v>65.3</v>
      </c>
      <c r="N362" s="396">
        <v>599.79999999999995</v>
      </c>
      <c r="O362" s="396">
        <v>10.4</v>
      </c>
      <c r="P362" s="396">
        <v>10.4</v>
      </c>
      <c r="Q362" s="397">
        <v>0.24513888888888899</v>
      </c>
      <c r="R362" s="396"/>
      <c r="S362" s="400"/>
      <c r="T362" s="409"/>
      <c r="U362" s="398" t="str">
        <f t="shared" si="15"/>
        <v/>
      </c>
      <c r="V362" s="400"/>
      <c r="W362" s="410">
        <f t="shared" si="14"/>
        <v>10.4</v>
      </c>
      <c r="X362" s="472"/>
      <c r="AT362" s="232"/>
      <c r="AV362" s="198"/>
      <c r="AW362" s="274"/>
    </row>
    <row r="363" spans="2:49" x14ac:dyDescent="0.25">
      <c r="B363" s="274">
        <v>11.9</v>
      </c>
      <c r="C363" s="274">
        <v>94</v>
      </c>
      <c r="D363" s="274">
        <v>11.9</v>
      </c>
      <c r="E363" s="274">
        <v>0</v>
      </c>
      <c r="F363" s="274">
        <v>0</v>
      </c>
      <c r="G363" s="274">
        <v>9</v>
      </c>
      <c r="H363" s="274">
        <v>1022.8</v>
      </c>
      <c r="I363" s="274">
        <v>0</v>
      </c>
      <c r="J363" s="274">
        <v>0</v>
      </c>
      <c r="K363" s="274">
        <v>0</v>
      </c>
      <c r="L363" s="274">
        <v>0</v>
      </c>
      <c r="M363" s="274">
        <v>65.3</v>
      </c>
      <c r="N363" s="396">
        <v>599.79999999999995</v>
      </c>
      <c r="O363" s="396">
        <v>10.4</v>
      </c>
      <c r="P363" s="396">
        <v>10.4</v>
      </c>
      <c r="Q363" s="397">
        <v>0.24583333333333299</v>
      </c>
      <c r="R363" s="396"/>
      <c r="S363" s="400"/>
      <c r="T363" s="409"/>
      <c r="U363" s="398" t="str">
        <f t="shared" si="15"/>
        <v/>
      </c>
      <c r="V363" s="400"/>
      <c r="W363" s="410">
        <f t="shared" si="14"/>
        <v>10.4</v>
      </c>
      <c r="X363" s="472"/>
      <c r="AT363" s="232"/>
      <c r="AV363" s="198"/>
      <c r="AW363" s="274"/>
    </row>
    <row r="364" spans="2:49" x14ac:dyDescent="0.25">
      <c r="B364" s="274">
        <v>11.9</v>
      </c>
      <c r="C364" s="274">
        <v>94</v>
      </c>
      <c r="D364" s="274">
        <v>11.9</v>
      </c>
      <c r="E364" s="274">
        <v>0</v>
      </c>
      <c r="F364" s="274">
        <v>0</v>
      </c>
      <c r="G364" s="274">
        <v>9</v>
      </c>
      <c r="H364" s="274">
        <v>1022.8</v>
      </c>
      <c r="I364" s="274">
        <v>0</v>
      </c>
      <c r="J364" s="274">
        <v>0</v>
      </c>
      <c r="K364" s="274">
        <v>0</v>
      </c>
      <c r="L364" s="274">
        <v>0</v>
      </c>
      <c r="M364" s="274">
        <v>65.3</v>
      </c>
      <c r="N364" s="396">
        <v>599.79999999999995</v>
      </c>
      <c r="O364" s="396">
        <v>10.4</v>
      </c>
      <c r="P364" s="396">
        <v>10.4</v>
      </c>
      <c r="Q364" s="397">
        <v>0.24652777777777801</v>
      </c>
      <c r="R364" s="396"/>
      <c r="S364" s="400"/>
      <c r="T364" s="409"/>
      <c r="U364" s="398" t="str">
        <f t="shared" si="15"/>
        <v/>
      </c>
      <c r="V364" s="400"/>
      <c r="W364" s="410">
        <f t="shared" si="14"/>
        <v>10.4</v>
      </c>
      <c r="X364" s="472"/>
      <c r="AT364" s="232"/>
      <c r="AV364" s="198"/>
      <c r="AW364" s="274"/>
    </row>
    <row r="365" spans="2:49" x14ac:dyDescent="0.25">
      <c r="B365" s="274">
        <v>11.8</v>
      </c>
      <c r="C365" s="274">
        <v>94</v>
      </c>
      <c r="D365" s="274">
        <v>11.8</v>
      </c>
      <c r="E365" s="274">
        <v>0</v>
      </c>
      <c r="F365" s="274">
        <v>0</v>
      </c>
      <c r="G365" s="274">
        <v>9</v>
      </c>
      <c r="H365" s="274">
        <v>1022.9</v>
      </c>
      <c r="I365" s="274">
        <v>0</v>
      </c>
      <c r="J365" s="274">
        <v>0</v>
      </c>
      <c r="K365" s="274">
        <v>0</v>
      </c>
      <c r="L365" s="274">
        <v>0</v>
      </c>
      <c r="M365" s="274">
        <v>65.3</v>
      </c>
      <c r="N365" s="396">
        <v>599.79999999999995</v>
      </c>
      <c r="O365" s="396">
        <v>10.4</v>
      </c>
      <c r="P365" s="396">
        <v>10.4</v>
      </c>
      <c r="Q365" s="397">
        <v>0.24722222222222201</v>
      </c>
      <c r="R365" s="396"/>
      <c r="S365" s="400"/>
      <c r="T365" s="409"/>
      <c r="U365" s="398" t="str">
        <f t="shared" si="15"/>
        <v/>
      </c>
      <c r="V365" s="400"/>
      <c r="W365" s="410">
        <f t="shared" si="14"/>
        <v>10.4</v>
      </c>
      <c r="X365" s="472"/>
      <c r="AT365" s="232"/>
      <c r="AV365" s="198"/>
      <c r="AW365" s="274"/>
    </row>
    <row r="366" spans="2:49" x14ac:dyDescent="0.25">
      <c r="B366" s="274">
        <v>11.8</v>
      </c>
      <c r="C366" s="274">
        <v>95</v>
      </c>
      <c r="D366" s="274">
        <v>11.8</v>
      </c>
      <c r="E366" s="274">
        <v>0.4</v>
      </c>
      <c r="F366" s="274">
        <v>1.8</v>
      </c>
      <c r="G366" s="274">
        <v>9</v>
      </c>
      <c r="H366" s="274">
        <v>1022.8</v>
      </c>
      <c r="I366" s="274">
        <v>0</v>
      </c>
      <c r="J366" s="274">
        <v>0</v>
      </c>
      <c r="K366" s="274">
        <v>0</v>
      </c>
      <c r="L366" s="274">
        <v>0</v>
      </c>
      <c r="M366" s="274">
        <v>65.3</v>
      </c>
      <c r="N366" s="396">
        <v>599.79999999999995</v>
      </c>
      <c r="O366" s="396">
        <v>10.4</v>
      </c>
      <c r="P366" s="396">
        <v>10.4</v>
      </c>
      <c r="Q366" s="397">
        <v>0.24791666666666701</v>
      </c>
      <c r="R366" s="396"/>
      <c r="S366" s="400"/>
      <c r="T366" s="409"/>
      <c r="U366" s="398" t="str">
        <f t="shared" si="15"/>
        <v/>
      </c>
      <c r="V366" s="400"/>
      <c r="W366" s="410">
        <f t="shared" si="14"/>
        <v>10.4</v>
      </c>
      <c r="X366" s="472"/>
      <c r="AT366" s="232"/>
      <c r="AV366" s="198"/>
      <c r="AW366" s="274"/>
    </row>
    <row r="367" spans="2:49" x14ac:dyDescent="0.25">
      <c r="B367" s="274">
        <v>11.8</v>
      </c>
      <c r="C367" s="274">
        <v>95</v>
      </c>
      <c r="D367" s="274">
        <v>11.8</v>
      </c>
      <c r="E367" s="274">
        <v>0</v>
      </c>
      <c r="F367" s="274">
        <v>0</v>
      </c>
      <c r="G367" s="274">
        <v>9</v>
      </c>
      <c r="H367" s="274">
        <v>1022.9</v>
      </c>
      <c r="I367" s="274">
        <v>0</v>
      </c>
      <c r="J367" s="274">
        <v>0</v>
      </c>
      <c r="K367" s="274">
        <v>0</v>
      </c>
      <c r="L367" s="274">
        <v>0</v>
      </c>
      <c r="M367" s="274">
        <v>65.3</v>
      </c>
      <c r="N367" s="396">
        <v>599.79999999999995</v>
      </c>
      <c r="O367" s="396">
        <v>10.4</v>
      </c>
      <c r="P367" s="396">
        <v>10.4</v>
      </c>
      <c r="Q367" s="397">
        <v>0.24861111111111101</v>
      </c>
      <c r="R367" s="396"/>
      <c r="S367" s="400"/>
      <c r="T367" s="409"/>
      <c r="U367" s="398" t="str">
        <f t="shared" si="15"/>
        <v/>
      </c>
      <c r="V367" s="400"/>
      <c r="W367" s="410">
        <f t="shared" si="14"/>
        <v>10.4</v>
      </c>
      <c r="X367" s="472"/>
      <c r="AT367" s="232"/>
      <c r="AV367" s="198"/>
      <c r="AW367" s="274"/>
    </row>
    <row r="368" spans="2:49" x14ac:dyDescent="0.25">
      <c r="B368" s="274">
        <v>11.8</v>
      </c>
      <c r="C368" s="274">
        <v>95</v>
      </c>
      <c r="D368" s="274">
        <v>11.8</v>
      </c>
      <c r="E368" s="274">
        <v>1.4</v>
      </c>
      <c r="F368" s="274">
        <v>1.8</v>
      </c>
      <c r="G368" s="274">
        <v>9</v>
      </c>
      <c r="H368" s="274">
        <v>1022.8</v>
      </c>
      <c r="I368" s="274">
        <v>0</v>
      </c>
      <c r="J368" s="274">
        <v>0</v>
      </c>
      <c r="K368" s="274">
        <v>0</v>
      </c>
      <c r="L368" s="274">
        <v>0</v>
      </c>
      <c r="M368" s="274">
        <v>65.3</v>
      </c>
      <c r="N368" s="396">
        <v>599.79999999999995</v>
      </c>
      <c r="O368" s="396">
        <v>10.3</v>
      </c>
      <c r="P368" s="396">
        <v>10.4</v>
      </c>
      <c r="Q368" s="397">
        <v>0.249305555555556</v>
      </c>
      <c r="R368" s="396"/>
      <c r="S368" s="400"/>
      <c r="T368" s="409"/>
      <c r="U368" s="398" t="str">
        <f t="shared" si="15"/>
        <v/>
      </c>
      <c r="V368" s="400"/>
      <c r="W368" s="410">
        <f t="shared" si="14"/>
        <v>10.4</v>
      </c>
      <c r="X368" s="472"/>
      <c r="AT368" s="232"/>
      <c r="AV368" s="198"/>
      <c r="AW368" s="274"/>
    </row>
    <row r="369" spans="2:49" x14ac:dyDescent="0.25">
      <c r="B369" s="274">
        <v>11.9</v>
      </c>
      <c r="C369" s="274">
        <v>95</v>
      </c>
      <c r="D369" s="274">
        <v>11.9</v>
      </c>
      <c r="E369" s="274">
        <v>1.4</v>
      </c>
      <c r="F369" s="274">
        <v>1.8</v>
      </c>
      <c r="G369" s="274">
        <v>9</v>
      </c>
      <c r="H369" s="274">
        <v>1022.7</v>
      </c>
      <c r="I369" s="274">
        <v>0</v>
      </c>
      <c r="J369" s="274">
        <v>0</v>
      </c>
      <c r="K369" s="274">
        <v>0</v>
      </c>
      <c r="L369" s="274">
        <v>0</v>
      </c>
      <c r="M369" s="274">
        <v>65.3</v>
      </c>
      <c r="N369" s="396">
        <v>599.79999999999995</v>
      </c>
      <c r="O369" s="396">
        <v>10.3</v>
      </c>
      <c r="P369" s="396">
        <v>10.4</v>
      </c>
      <c r="Q369" s="397">
        <v>0.25</v>
      </c>
      <c r="R369" s="396"/>
      <c r="S369" s="400"/>
      <c r="T369" s="409"/>
      <c r="U369" s="398" t="str">
        <f t="shared" si="15"/>
        <v/>
      </c>
      <c r="V369" s="400"/>
      <c r="W369" s="410">
        <f>MAX(O369:P369)</f>
        <v>10.4</v>
      </c>
      <c r="X369" s="472"/>
      <c r="AT369" s="232"/>
      <c r="AV369" s="198"/>
      <c r="AW369" s="274"/>
    </row>
    <row r="370" spans="2:49" x14ac:dyDescent="0.25">
      <c r="B370" s="274">
        <v>11.9</v>
      </c>
      <c r="C370" s="274">
        <v>95</v>
      </c>
      <c r="D370" s="274">
        <v>11.9</v>
      </c>
      <c r="E370" s="274">
        <v>2.2000000000000002</v>
      </c>
      <c r="F370" s="274">
        <v>3.6</v>
      </c>
      <c r="G370" s="274">
        <v>9</v>
      </c>
      <c r="H370" s="274">
        <v>1022.6</v>
      </c>
      <c r="I370" s="274">
        <v>0</v>
      </c>
      <c r="J370" s="274">
        <v>0</v>
      </c>
      <c r="K370" s="274">
        <v>0</v>
      </c>
      <c r="L370" s="274">
        <v>0</v>
      </c>
      <c r="M370" s="274">
        <v>65.3</v>
      </c>
      <c r="N370" s="396">
        <v>599.79999999999995</v>
      </c>
      <c r="O370" s="396">
        <v>10.4</v>
      </c>
      <c r="P370" s="396">
        <v>10.4</v>
      </c>
      <c r="Q370" s="397">
        <v>0.250694444444444</v>
      </c>
      <c r="R370" s="396"/>
      <c r="S370" s="400"/>
      <c r="T370" s="409"/>
      <c r="U370" s="398" t="str">
        <f t="shared" si="15"/>
        <v/>
      </c>
      <c r="V370" s="400"/>
      <c r="W370" s="410">
        <f t="shared" ref="W370:W433" si="16">MAX(O370:P370)</f>
        <v>10.4</v>
      </c>
      <c r="X370" s="472"/>
      <c r="AT370" s="232"/>
      <c r="AV370" s="198"/>
      <c r="AW370" s="274"/>
    </row>
    <row r="371" spans="2:49" x14ac:dyDescent="0.25">
      <c r="B371" s="274">
        <v>11.9</v>
      </c>
      <c r="C371" s="274">
        <v>95</v>
      </c>
      <c r="D371" s="274">
        <v>11.9</v>
      </c>
      <c r="E371" s="274">
        <v>0</v>
      </c>
      <c r="F371" s="274">
        <v>0</v>
      </c>
      <c r="G371" s="274">
        <v>9</v>
      </c>
      <c r="H371" s="274">
        <v>1022.7</v>
      </c>
      <c r="I371" s="274">
        <v>0</v>
      </c>
      <c r="J371" s="274">
        <v>0</v>
      </c>
      <c r="K371" s="274">
        <v>0</v>
      </c>
      <c r="L371" s="274">
        <v>0</v>
      </c>
      <c r="M371" s="274">
        <v>65.3</v>
      </c>
      <c r="N371" s="396">
        <v>599.79999999999995</v>
      </c>
      <c r="O371" s="396">
        <v>10.4</v>
      </c>
      <c r="P371" s="396">
        <v>10.4</v>
      </c>
      <c r="Q371" s="397">
        <v>0.25138888888888899</v>
      </c>
      <c r="R371" s="396"/>
      <c r="S371" s="400"/>
      <c r="T371" s="409"/>
      <c r="U371" s="398" t="str">
        <f t="shared" si="15"/>
        <v/>
      </c>
      <c r="V371" s="400"/>
      <c r="W371" s="410">
        <f t="shared" si="16"/>
        <v>10.4</v>
      </c>
      <c r="X371" s="472"/>
      <c r="AT371" s="232"/>
      <c r="AV371" s="198"/>
      <c r="AW371" s="274"/>
    </row>
    <row r="372" spans="2:49" x14ac:dyDescent="0.25">
      <c r="B372" s="274">
        <v>11.9</v>
      </c>
      <c r="C372" s="274">
        <v>94</v>
      </c>
      <c r="D372" s="274">
        <v>11.9</v>
      </c>
      <c r="E372" s="274">
        <v>0.4</v>
      </c>
      <c r="F372" s="274">
        <v>1.8</v>
      </c>
      <c r="G372" s="274">
        <v>9</v>
      </c>
      <c r="H372" s="274">
        <v>1022.9</v>
      </c>
      <c r="I372" s="274">
        <v>0</v>
      </c>
      <c r="J372" s="274">
        <v>0</v>
      </c>
      <c r="K372" s="274">
        <v>0</v>
      </c>
      <c r="L372" s="274">
        <v>0</v>
      </c>
      <c r="M372" s="274">
        <v>65.3</v>
      </c>
      <c r="N372" s="396">
        <v>599.79999999999995</v>
      </c>
      <c r="O372" s="396">
        <v>10.4</v>
      </c>
      <c r="P372" s="396">
        <v>10.4</v>
      </c>
      <c r="Q372" s="397">
        <v>0.25208333333333299</v>
      </c>
      <c r="R372" s="396"/>
      <c r="S372" s="400"/>
      <c r="T372" s="409"/>
      <c r="U372" s="398" t="str">
        <f t="shared" si="15"/>
        <v/>
      </c>
      <c r="V372" s="400"/>
      <c r="W372" s="410">
        <f t="shared" si="16"/>
        <v>10.4</v>
      </c>
      <c r="X372" s="472"/>
      <c r="AT372" s="232"/>
      <c r="AV372" s="198"/>
      <c r="AW372" s="274"/>
    </row>
    <row r="373" spans="2:49" x14ac:dyDescent="0.25">
      <c r="B373" s="274">
        <v>11.8</v>
      </c>
      <c r="C373" s="274">
        <v>95</v>
      </c>
      <c r="D373" s="274">
        <v>11.8</v>
      </c>
      <c r="E373" s="274">
        <v>1.4</v>
      </c>
      <c r="F373" s="274">
        <v>1.8</v>
      </c>
      <c r="G373" s="274">
        <v>9</v>
      </c>
      <c r="H373" s="274">
        <v>1022.8</v>
      </c>
      <c r="I373" s="274">
        <v>0</v>
      </c>
      <c r="J373" s="274">
        <v>0</v>
      </c>
      <c r="K373" s="274">
        <v>0</v>
      </c>
      <c r="L373" s="274">
        <v>0</v>
      </c>
      <c r="M373" s="274">
        <v>65.3</v>
      </c>
      <c r="N373" s="396">
        <v>599.79999999999995</v>
      </c>
      <c r="O373" s="396">
        <v>10.4</v>
      </c>
      <c r="P373" s="396">
        <v>10.4</v>
      </c>
      <c r="Q373" s="397">
        <v>0.25277777777777799</v>
      </c>
      <c r="R373" s="396"/>
      <c r="S373" s="400"/>
      <c r="T373" s="409"/>
      <c r="U373" s="398" t="str">
        <f t="shared" si="15"/>
        <v/>
      </c>
      <c r="V373" s="400"/>
      <c r="W373" s="410">
        <f t="shared" si="16"/>
        <v>10.4</v>
      </c>
      <c r="X373" s="472"/>
      <c r="AT373" s="232"/>
      <c r="AV373" s="198"/>
      <c r="AW373" s="274"/>
    </row>
    <row r="374" spans="2:49" x14ac:dyDescent="0.25">
      <c r="B374" s="274">
        <v>11.8</v>
      </c>
      <c r="C374" s="274">
        <v>95</v>
      </c>
      <c r="D374" s="274">
        <v>11.8</v>
      </c>
      <c r="E374" s="274">
        <v>1.1000000000000001</v>
      </c>
      <c r="F374" s="274">
        <v>1.8</v>
      </c>
      <c r="G374" s="274">
        <v>9</v>
      </c>
      <c r="H374" s="274">
        <v>1022.7</v>
      </c>
      <c r="I374" s="274">
        <v>0</v>
      </c>
      <c r="J374" s="274">
        <v>0</v>
      </c>
      <c r="K374" s="274">
        <v>0</v>
      </c>
      <c r="L374" s="274">
        <v>0</v>
      </c>
      <c r="M374" s="274">
        <v>65.3</v>
      </c>
      <c r="N374" s="396">
        <v>599.79999999999995</v>
      </c>
      <c r="O374" s="396">
        <v>10.4</v>
      </c>
      <c r="P374" s="396">
        <v>10.4</v>
      </c>
      <c r="Q374" s="397">
        <v>0.25347222222222199</v>
      </c>
      <c r="R374" s="396"/>
      <c r="S374" s="400"/>
      <c r="T374" s="409"/>
      <c r="U374" s="398" t="str">
        <f t="shared" si="15"/>
        <v/>
      </c>
      <c r="V374" s="400"/>
      <c r="W374" s="410">
        <f t="shared" si="16"/>
        <v>10.4</v>
      </c>
      <c r="X374" s="472"/>
      <c r="AT374" s="232"/>
      <c r="AV374" s="198"/>
      <c r="AW374" s="274"/>
    </row>
    <row r="375" spans="2:49" x14ac:dyDescent="0.25">
      <c r="B375" s="274">
        <v>11.8</v>
      </c>
      <c r="C375" s="274">
        <v>95</v>
      </c>
      <c r="D375" s="274">
        <v>11.8</v>
      </c>
      <c r="E375" s="274">
        <v>0</v>
      </c>
      <c r="F375" s="274">
        <v>0</v>
      </c>
      <c r="G375" s="274">
        <v>9</v>
      </c>
      <c r="H375" s="274">
        <v>1022.9</v>
      </c>
      <c r="I375" s="274">
        <v>0</v>
      </c>
      <c r="J375" s="274">
        <v>0</v>
      </c>
      <c r="K375" s="274">
        <v>0</v>
      </c>
      <c r="L375" s="274">
        <v>0</v>
      </c>
      <c r="M375" s="274">
        <v>65.3</v>
      </c>
      <c r="N375" s="396">
        <v>599.79999999999995</v>
      </c>
      <c r="O375" s="396">
        <v>10.4</v>
      </c>
      <c r="P375" s="396">
        <v>10.4</v>
      </c>
      <c r="Q375" s="397">
        <v>0.25416666666666698</v>
      </c>
      <c r="R375" s="396"/>
      <c r="S375" s="400"/>
      <c r="T375" s="409"/>
      <c r="U375" s="398" t="str">
        <f t="shared" si="15"/>
        <v/>
      </c>
      <c r="V375" s="400"/>
      <c r="W375" s="410">
        <f t="shared" si="16"/>
        <v>10.4</v>
      </c>
      <c r="X375" s="472"/>
      <c r="AT375" s="232"/>
      <c r="AV375" s="198"/>
      <c r="AW375" s="274"/>
    </row>
    <row r="376" spans="2:49" x14ac:dyDescent="0.25">
      <c r="B376" s="274">
        <v>11.8</v>
      </c>
      <c r="C376" s="274">
        <v>95</v>
      </c>
      <c r="D376" s="274">
        <v>11.8</v>
      </c>
      <c r="E376" s="274">
        <v>1.8</v>
      </c>
      <c r="F376" s="274">
        <v>1.8</v>
      </c>
      <c r="G376" s="274">
        <v>9</v>
      </c>
      <c r="H376" s="274">
        <v>1022.7</v>
      </c>
      <c r="I376" s="274">
        <v>0</v>
      </c>
      <c r="J376" s="274">
        <v>0</v>
      </c>
      <c r="K376" s="274">
        <v>0</v>
      </c>
      <c r="L376" s="274">
        <v>0</v>
      </c>
      <c r="M376" s="274">
        <v>65.3</v>
      </c>
      <c r="N376" s="396">
        <v>599.79999999999995</v>
      </c>
      <c r="O376" s="396">
        <v>10.4</v>
      </c>
      <c r="P376" s="396">
        <v>10.4</v>
      </c>
      <c r="Q376" s="397">
        <v>0.25486111111111098</v>
      </c>
      <c r="R376" s="396"/>
      <c r="S376" s="400"/>
      <c r="T376" s="409"/>
      <c r="U376" s="398" t="str">
        <f t="shared" si="15"/>
        <v/>
      </c>
      <c r="V376" s="400"/>
      <c r="W376" s="410">
        <f t="shared" si="16"/>
        <v>10.4</v>
      </c>
      <c r="X376" s="472"/>
      <c r="AT376" s="232"/>
      <c r="AV376" s="198"/>
      <c r="AW376" s="274"/>
    </row>
    <row r="377" spans="2:49" x14ac:dyDescent="0.25">
      <c r="B377" s="274">
        <v>11.8</v>
      </c>
      <c r="C377" s="274">
        <v>95</v>
      </c>
      <c r="D377" s="274">
        <v>11.8</v>
      </c>
      <c r="E377" s="274">
        <v>1.1000000000000001</v>
      </c>
      <c r="F377" s="274">
        <v>1.8</v>
      </c>
      <c r="G377" s="274">
        <v>9</v>
      </c>
      <c r="H377" s="274">
        <v>1022.8</v>
      </c>
      <c r="I377" s="274">
        <v>0</v>
      </c>
      <c r="J377" s="274">
        <v>0</v>
      </c>
      <c r="K377" s="274">
        <v>0</v>
      </c>
      <c r="L377" s="274">
        <v>0</v>
      </c>
      <c r="M377" s="274">
        <v>65.3</v>
      </c>
      <c r="N377" s="396">
        <v>599.79999999999995</v>
      </c>
      <c r="O377" s="396">
        <v>10.4</v>
      </c>
      <c r="P377" s="396">
        <v>10.4</v>
      </c>
      <c r="Q377" s="397">
        <v>0.25555555555555598</v>
      </c>
      <c r="R377" s="396"/>
      <c r="S377" s="400"/>
      <c r="T377" s="409"/>
      <c r="U377" s="398" t="str">
        <f>IF(J377&gt;0,60,"")</f>
        <v/>
      </c>
      <c r="V377" s="400"/>
      <c r="W377" s="410">
        <f t="shared" si="16"/>
        <v>10.4</v>
      </c>
      <c r="X377" s="472"/>
      <c r="AT377" s="232"/>
      <c r="AV377" s="198"/>
      <c r="AW377" s="274"/>
    </row>
    <row r="378" spans="2:49" x14ac:dyDescent="0.25">
      <c r="B378" s="274">
        <v>11.8</v>
      </c>
      <c r="C378" s="274">
        <v>95</v>
      </c>
      <c r="D378" s="274">
        <v>11.8</v>
      </c>
      <c r="E378" s="274">
        <v>0</v>
      </c>
      <c r="F378" s="274">
        <v>0</v>
      </c>
      <c r="G378" s="274">
        <v>9</v>
      </c>
      <c r="H378" s="274">
        <v>1022.6</v>
      </c>
      <c r="I378" s="274">
        <v>0</v>
      </c>
      <c r="J378" s="274">
        <v>0</v>
      </c>
      <c r="K378" s="274">
        <v>0</v>
      </c>
      <c r="L378" s="274">
        <v>0</v>
      </c>
      <c r="M378" s="274">
        <v>65.3</v>
      </c>
      <c r="N378" s="396">
        <v>599.79999999999995</v>
      </c>
      <c r="O378" s="396">
        <v>10.4</v>
      </c>
      <c r="P378" s="396">
        <v>10.4</v>
      </c>
      <c r="Q378" s="397">
        <v>0.25624999999999998</v>
      </c>
      <c r="R378" s="396"/>
      <c r="S378" s="400"/>
      <c r="T378" s="409"/>
      <c r="U378" s="398" t="str">
        <f t="shared" si="15"/>
        <v/>
      </c>
      <c r="V378" s="400"/>
      <c r="W378" s="410">
        <f t="shared" si="16"/>
        <v>10.4</v>
      </c>
      <c r="X378" s="472"/>
      <c r="AT378" s="232"/>
      <c r="AV378" s="198"/>
      <c r="AW378" s="274"/>
    </row>
    <row r="379" spans="2:49" x14ac:dyDescent="0.25">
      <c r="B379" s="274">
        <v>11.8</v>
      </c>
      <c r="C379" s="274">
        <v>95</v>
      </c>
      <c r="D379" s="274">
        <v>11.8</v>
      </c>
      <c r="E379" s="274">
        <v>0</v>
      </c>
      <c r="F379" s="274">
        <v>0</v>
      </c>
      <c r="G379" s="274">
        <v>9</v>
      </c>
      <c r="H379" s="274">
        <v>1022.5</v>
      </c>
      <c r="I379" s="274">
        <v>0</v>
      </c>
      <c r="J379" s="274">
        <v>0</v>
      </c>
      <c r="K379" s="274">
        <v>0</v>
      </c>
      <c r="L379" s="274">
        <v>0</v>
      </c>
      <c r="M379" s="274">
        <v>65.3</v>
      </c>
      <c r="N379" s="396">
        <v>599.79999999999995</v>
      </c>
      <c r="O379" s="396">
        <v>10.4</v>
      </c>
      <c r="P379" s="396">
        <v>10.4</v>
      </c>
      <c r="Q379" s="397">
        <v>0.25694444444444398</v>
      </c>
      <c r="R379" s="396"/>
      <c r="S379" s="400"/>
      <c r="T379" s="409"/>
      <c r="U379" s="398" t="str">
        <f t="shared" si="15"/>
        <v/>
      </c>
      <c r="V379" s="400"/>
      <c r="W379" s="410">
        <f t="shared" si="16"/>
        <v>10.4</v>
      </c>
      <c r="X379" s="472"/>
      <c r="AT379" s="232"/>
      <c r="AV379" s="198"/>
      <c r="AW379" s="274"/>
    </row>
    <row r="380" spans="2:49" x14ac:dyDescent="0.25">
      <c r="B380" s="274">
        <v>11.7</v>
      </c>
      <c r="C380" s="274">
        <v>95</v>
      </c>
      <c r="D380" s="274">
        <v>11.7</v>
      </c>
      <c r="E380" s="274">
        <v>0.4</v>
      </c>
      <c r="F380" s="274">
        <v>1.8</v>
      </c>
      <c r="G380" s="274">
        <v>9</v>
      </c>
      <c r="H380" s="274">
        <v>1022.5</v>
      </c>
      <c r="I380" s="274">
        <v>0</v>
      </c>
      <c r="J380" s="274">
        <v>0</v>
      </c>
      <c r="K380" s="274">
        <v>0</v>
      </c>
      <c r="L380" s="274">
        <v>0</v>
      </c>
      <c r="M380" s="274">
        <v>65.3</v>
      </c>
      <c r="N380" s="396">
        <v>599.79999999999995</v>
      </c>
      <c r="O380" s="396">
        <v>10.4</v>
      </c>
      <c r="P380" s="396">
        <v>10.4</v>
      </c>
      <c r="Q380" s="397">
        <v>0.25763888888888897</v>
      </c>
      <c r="R380" s="396"/>
      <c r="S380" s="400"/>
      <c r="T380" s="409"/>
      <c r="U380" s="398" t="str">
        <f t="shared" si="15"/>
        <v/>
      </c>
      <c r="V380" s="400"/>
      <c r="W380" s="410">
        <f t="shared" si="16"/>
        <v>10.4</v>
      </c>
      <c r="X380" s="472"/>
      <c r="AT380" s="232"/>
      <c r="AV380" s="198"/>
      <c r="AW380" s="274"/>
    </row>
    <row r="381" spans="2:49" x14ac:dyDescent="0.25">
      <c r="B381" s="274">
        <v>11.7</v>
      </c>
      <c r="C381" s="274">
        <v>95</v>
      </c>
      <c r="D381" s="274">
        <v>11.7</v>
      </c>
      <c r="E381" s="274">
        <v>2.2000000000000002</v>
      </c>
      <c r="F381" s="274">
        <v>3.6</v>
      </c>
      <c r="G381" s="274">
        <v>9</v>
      </c>
      <c r="H381" s="274">
        <v>1022.7</v>
      </c>
      <c r="I381" s="274">
        <v>0</v>
      </c>
      <c r="J381" s="274">
        <v>0</v>
      </c>
      <c r="K381" s="274">
        <v>0</v>
      </c>
      <c r="L381" s="274">
        <v>0</v>
      </c>
      <c r="M381" s="274">
        <v>65.3</v>
      </c>
      <c r="N381" s="396">
        <v>599.79999999999995</v>
      </c>
      <c r="O381" s="396">
        <v>10.4</v>
      </c>
      <c r="P381" s="396">
        <v>10.4</v>
      </c>
      <c r="Q381" s="397">
        <v>0.25833333333333303</v>
      </c>
      <c r="R381" s="396"/>
      <c r="S381" s="400"/>
      <c r="T381" s="409"/>
      <c r="U381" s="398" t="str">
        <f t="shared" si="15"/>
        <v/>
      </c>
      <c r="V381" s="400"/>
      <c r="W381" s="410">
        <f t="shared" si="16"/>
        <v>10.4</v>
      </c>
      <c r="X381" s="472"/>
      <c r="AT381" s="232"/>
      <c r="AV381" s="198"/>
      <c r="AW381" s="274"/>
    </row>
    <row r="382" spans="2:49" x14ac:dyDescent="0.25">
      <c r="B382" s="274">
        <v>11.7</v>
      </c>
      <c r="C382" s="274">
        <v>95</v>
      </c>
      <c r="D382" s="274">
        <v>11.7</v>
      </c>
      <c r="E382" s="274">
        <v>0</v>
      </c>
      <c r="F382" s="274">
        <v>0</v>
      </c>
      <c r="G382" s="274">
        <v>9</v>
      </c>
      <c r="H382" s="274">
        <v>1022.7</v>
      </c>
      <c r="I382" s="274">
        <v>0</v>
      </c>
      <c r="J382" s="274">
        <v>0</v>
      </c>
      <c r="K382" s="274">
        <v>0</v>
      </c>
      <c r="L382" s="274">
        <v>0</v>
      </c>
      <c r="M382" s="274">
        <v>65.3</v>
      </c>
      <c r="N382" s="396">
        <v>599.79999999999995</v>
      </c>
      <c r="O382" s="396">
        <v>10.4</v>
      </c>
      <c r="P382" s="396">
        <v>10.4</v>
      </c>
      <c r="Q382" s="397">
        <v>0.25902777777777802</v>
      </c>
      <c r="R382" s="396"/>
      <c r="S382" s="400"/>
      <c r="T382" s="409"/>
      <c r="U382" s="398" t="str">
        <f t="shared" si="15"/>
        <v/>
      </c>
      <c r="V382" s="400"/>
      <c r="W382" s="410">
        <f t="shared" si="16"/>
        <v>10.4</v>
      </c>
      <c r="X382" s="472"/>
      <c r="AT382" s="232"/>
      <c r="AV382" s="198"/>
      <c r="AW382" s="274"/>
    </row>
    <row r="383" spans="2:49" x14ac:dyDescent="0.25">
      <c r="B383" s="274">
        <v>11.7</v>
      </c>
      <c r="C383" s="274">
        <v>95</v>
      </c>
      <c r="D383" s="274">
        <v>11.7</v>
      </c>
      <c r="E383" s="274">
        <v>0.4</v>
      </c>
      <c r="F383" s="274">
        <v>1.8</v>
      </c>
      <c r="G383" s="274">
        <v>9</v>
      </c>
      <c r="H383" s="274">
        <v>1022.5</v>
      </c>
      <c r="I383" s="274">
        <v>0</v>
      </c>
      <c r="J383" s="274">
        <v>0</v>
      </c>
      <c r="K383" s="274">
        <v>0</v>
      </c>
      <c r="L383" s="274">
        <v>0</v>
      </c>
      <c r="M383" s="274">
        <v>65.3</v>
      </c>
      <c r="N383" s="396">
        <v>599.79999999999995</v>
      </c>
      <c r="O383" s="396">
        <v>10.4</v>
      </c>
      <c r="P383" s="396">
        <v>10.4</v>
      </c>
      <c r="Q383" s="397">
        <v>0.25972222222222202</v>
      </c>
      <c r="R383" s="396"/>
      <c r="S383" s="400"/>
      <c r="T383" s="409"/>
      <c r="U383" s="398" t="str">
        <f t="shared" si="15"/>
        <v/>
      </c>
      <c r="V383" s="400"/>
      <c r="W383" s="410">
        <f t="shared" si="16"/>
        <v>10.4</v>
      </c>
      <c r="X383" s="472"/>
      <c r="AT383" s="232"/>
      <c r="AV383" s="198"/>
      <c r="AW383" s="274"/>
    </row>
    <row r="384" spans="2:49" x14ac:dyDescent="0.25">
      <c r="B384" s="274">
        <v>11.7</v>
      </c>
      <c r="C384" s="274">
        <v>95</v>
      </c>
      <c r="D384" s="274">
        <v>11.7</v>
      </c>
      <c r="E384" s="274">
        <v>0</v>
      </c>
      <c r="F384" s="274">
        <v>0</v>
      </c>
      <c r="G384" s="274">
        <v>9</v>
      </c>
      <c r="H384" s="274">
        <v>1022.7</v>
      </c>
      <c r="I384" s="274">
        <v>0</v>
      </c>
      <c r="J384" s="274">
        <v>0</v>
      </c>
      <c r="K384" s="274">
        <v>0</v>
      </c>
      <c r="L384" s="274">
        <v>0</v>
      </c>
      <c r="M384" s="274">
        <v>65.3</v>
      </c>
      <c r="N384" s="396">
        <v>599.79999999999995</v>
      </c>
      <c r="O384" s="396">
        <v>10.4</v>
      </c>
      <c r="P384" s="396">
        <v>10.4</v>
      </c>
      <c r="Q384" s="397">
        <v>0.26041666666666702</v>
      </c>
      <c r="R384" s="396"/>
      <c r="S384" s="400"/>
      <c r="T384" s="409"/>
      <c r="U384" s="398" t="str">
        <f t="shared" si="15"/>
        <v/>
      </c>
      <c r="V384" s="400"/>
      <c r="W384" s="410">
        <f t="shared" si="16"/>
        <v>10.4</v>
      </c>
      <c r="X384" s="472"/>
      <c r="AT384" s="232"/>
      <c r="AV384" s="198"/>
      <c r="AW384" s="274"/>
    </row>
    <row r="385" spans="2:49" x14ac:dyDescent="0.25">
      <c r="B385" s="274">
        <v>11.7</v>
      </c>
      <c r="C385" s="274">
        <v>95</v>
      </c>
      <c r="D385" s="274">
        <v>11.7</v>
      </c>
      <c r="E385" s="274">
        <v>0</v>
      </c>
      <c r="F385" s="274">
        <v>0</v>
      </c>
      <c r="G385" s="274">
        <v>9</v>
      </c>
      <c r="H385" s="274">
        <v>1022.7</v>
      </c>
      <c r="I385" s="274">
        <v>0</v>
      </c>
      <c r="J385" s="274">
        <v>0</v>
      </c>
      <c r="K385" s="274">
        <v>0</v>
      </c>
      <c r="L385" s="274">
        <v>0</v>
      </c>
      <c r="M385" s="274">
        <v>65.3</v>
      </c>
      <c r="N385" s="396">
        <v>599.79999999999995</v>
      </c>
      <c r="O385" s="396">
        <v>10.4</v>
      </c>
      <c r="P385" s="396">
        <v>10.4</v>
      </c>
      <c r="Q385" s="397">
        <v>0.26111111111111102</v>
      </c>
      <c r="R385" s="396"/>
      <c r="S385" s="410"/>
      <c r="T385" s="409"/>
      <c r="U385" s="398" t="str">
        <f t="shared" si="15"/>
        <v/>
      </c>
      <c r="V385" s="400"/>
      <c r="W385" s="410">
        <f t="shared" si="16"/>
        <v>10.4</v>
      </c>
      <c r="X385" s="472"/>
      <c r="AT385" s="232"/>
      <c r="AV385" s="198"/>
      <c r="AW385" s="274"/>
    </row>
    <row r="386" spans="2:49" x14ac:dyDescent="0.25">
      <c r="B386" s="274">
        <v>11.6</v>
      </c>
      <c r="C386" s="274">
        <v>95</v>
      </c>
      <c r="D386" s="274">
        <v>11.6</v>
      </c>
      <c r="E386" s="274">
        <v>0.4</v>
      </c>
      <c r="F386" s="274">
        <v>1.8</v>
      </c>
      <c r="G386" s="274">
        <v>9</v>
      </c>
      <c r="H386" s="274">
        <v>1022.6</v>
      </c>
      <c r="I386" s="274">
        <v>0</v>
      </c>
      <c r="J386" s="274">
        <v>0</v>
      </c>
      <c r="K386" s="274">
        <v>0</v>
      </c>
      <c r="L386" s="274">
        <v>0</v>
      </c>
      <c r="M386" s="274">
        <v>65.3</v>
      </c>
      <c r="N386" s="396">
        <v>599.79999999999995</v>
      </c>
      <c r="O386" s="396">
        <v>10.4</v>
      </c>
      <c r="P386" s="396">
        <v>10.4</v>
      </c>
      <c r="Q386" s="397">
        <v>0.26180555555555601</v>
      </c>
      <c r="R386" s="396"/>
      <c r="S386" s="410"/>
      <c r="T386" s="409"/>
      <c r="U386" s="398" t="str">
        <f t="shared" si="15"/>
        <v/>
      </c>
      <c r="V386" s="400"/>
      <c r="W386" s="410">
        <f t="shared" si="16"/>
        <v>10.4</v>
      </c>
      <c r="X386" s="472"/>
      <c r="AT386" s="232"/>
      <c r="AV386" s="198"/>
      <c r="AW386" s="274"/>
    </row>
    <row r="387" spans="2:49" x14ac:dyDescent="0.25">
      <c r="B387" s="274">
        <v>11.6</v>
      </c>
      <c r="C387" s="274">
        <v>95</v>
      </c>
      <c r="D387" s="274">
        <v>11.6</v>
      </c>
      <c r="E387" s="274">
        <v>0.4</v>
      </c>
      <c r="F387" s="274">
        <v>1.8</v>
      </c>
      <c r="G387" s="274">
        <v>9</v>
      </c>
      <c r="H387" s="274">
        <v>1022.7</v>
      </c>
      <c r="I387" s="274">
        <v>0</v>
      </c>
      <c r="J387" s="274">
        <v>0</v>
      </c>
      <c r="K387" s="274">
        <v>0</v>
      </c>
      <c r="L387" s="274">
        <v>0</v>
      </c>
      <c r="M387" s="274">
        <v>65.3</v>
      </c>
      <c r="N387" s="396">
        <v>599.79999999999995</v>
      </c>
      <c r="O387" s="396">
        <v>10.4</v>
      </c>
      <c r="P387" s="396">
        <v>10.4</v>
      </c>
      <c r="Q387" s="397">
        <v>0.26250000000000001</v>
      </c>
      <c r="R387" s="396"/>
      <c r="S387" s="410"/>
      <c r="T387" s="409"/>
      <c r="U387" s="398" t="str">
        <f t="shared" si="15"/>
        <v/>
      </c>
      <c r="V387" s="400"/>
      <c r="W387" s="410">
        <f t="shared" si="16"/>
        <v>10.4</v>
      </c>
      <c r="X387" s="472"/>
      <c r="AT387" s="232"/>
      <c r="AV387" s="198"/>
      <c r="AW387" s="274"/>
    </row>
    <row r="388" spans="2:49" x14ac:dyDescent="0.25">
      <c r="B388" s="274">
        <v>11.6</v>
      </c>
      <c r="C388" s="274">
        <v>95</v>
      </c>
      <c r="D388" s="274">
        <v>11.6</v>
      </c>
      <c r="E388" s="274">
        <v>0.7</v>
      </c>
      <c r="F388" s="274">
        <v>1.8</v>
      </c>
      <c r="G388" s="274">
        <v>9</v>
      </c>
      <c r="H388" s="274">
        <v>1022.5</v>
      </c>
      <c r="I388" s="274">
        <v>0</v>
      </c>
      <c r="J388" s="274">
        <v>0</v>
      </c>
      <c r="K388" s="274">
        <v>0</v>
      </c>
      <c r="L388" s="274">
        <v>0</v>
      </c>
      <c r="M388" s="274">
        <v>65.3</v>
      </c>
      <c r="N388" s="396">
        <v>599.79999999999995</v>
      </c>
      <c r="O388" s="396">
        <v>10.3</v>
      </c>
      <c r="P388" s="396">
        <v>10.4</v>
      </c>
      <c r="Q388" s="397">
        <v>0.26319444444444401</v>
      </c>
      <c r="R388" s="396"/>
      <c r="S388" s="410"/>
      <c r="T388" s="409"/>
      <c r="U388" s="398" t="str">
        <f t="shared" si="15"/>
        <v/>
      </c>
      <c r="V388" s="400"/>
      <c r="W388" s="410">
        <f t="shared" si="16"/>
        <v>10.4</v>
      </c>
      <c r="X388" s="472"/>
      <c r="AT388" s="232"/>
      <c r="AV388" s="198"/>
      <c r="AW388" s="274"/>
    </row>
    <row r="389" spans="2:49" x14ac:dyDescent="0.25">
      <c r="B389" s="274">
        <v>11.5</v>
      </c>
      <c r="C389" s="274">
        <v>95</v>
      </c>
      <c r="D389" s="274">
        <v>11.5</v>
      </c>
      <c r="E389" s="274">
        <v>0</v>
      </c>
      <c r="F389" s="274">
        <v>0</v>
      </c>
      <c r="G389" s="274">
        <v>9</v>
      </c>
      <c r="H389" s="274">
        <v>1022.5</v>
      </c>
      <c r="I389" s="274">
        <v>0</v>
      </c>
      <c r="J389" s="274">
        <v>0</v>
      </c>
      <c r="K389" s="274">
        <v>0</v>
      </c>
      <c r="L389" s="274">
        <v>0</v>
      </c>
      <c r="M389" s="274">
        <v>65.3</v>
      </c>
      <c r="N389" s="396">
        <v>599.79999999999995</v>
      </c>
      <c r="O389" s="396">
        <v>10.3</v>
      </c>
      <c r="P389" s="396">
        <v>10.4</v>
      </c>
      <c r="Q389" s="397">
        <v>0.26388888888888901</v>
      </c>
      <c r="R389" s="396"/>
      <c r="S389" s="410"/>
      <c r="T389" s="409"/>
      <c r="U389" s="398" t="str">
        <f t="shared" si="15"/>
        <v/>
      </c>
      <c r="V389" s="400"/>
      <c r="W389" s="410">
        <f t="shared" si="16"/>
        <v>10.4</v>
      </c>
      <c r="X389" s="472"/>
      <c r="AT389" s="232"/>
      <c r="AV389" s="198"/>
      <c r="AW389" s="274"/>
    </row>
    <row r="390" spans="2:49" x14ac:dyDescent="0.25">
      <c r="B390" s="274">
        <v>11.5</v>
      </c>
      <c r="C390" s="274">
        <v>95</v>
      </c>
      <c r="D390" s="274">
        <v>11.5</v>
      </c>
      <c r="E390" s="274">
        <v>0</v>
      </c>
      <c r="F390" s="274">
        <v>0</v>
      </c>
      <c r="G390" s="274">
        <v>9</v>
      </c>
      <c r="H390" s="274">
        <v>1022.6</v>
      </c>
      <c r="I390" s="274">
        <v>0</v>
      </c>
      <c r="J390" s="274">
        <v>0</v>
      </c>
      <c r="K390" s="274">
        <v>0</v>
      </c>
      <c r="L390" s="274">
        <v>0</v>
      </c>
      <c r="M390" s="274">
        <v>65.3</v>
      </c>
      <c r="N390" s="396">
        <v>599.79999999999995</v>
      </c>
      <c r="O390" s="396">
        <v>10.3</v>
      </c>
      <c r="P390" s="396">
        <v>10.4</v>
      </c>
      <c r="Q390" s="397">
        <v>0.264583333333333</v>
      </c>
      <c r="R390" s="396"/>
      <c r="S390" s="410"/>
      <c r="T390" s="409"/>
      <c r="U390" s="398" t="str">
        <f t="shared" si="15"/>
        <v/>
      </c>
      <c r="V390" s="400"/>
      <c r="W390" s="410">
        <f t="shared" si="16"/>
        <v>10.4</v>
      </c>
      <c r="X390" s="472"/>
      <c r="AT390" s="232"/>
      <c r="AV390" s="198"/>
      <c r="AW390" s="274"/>
    </row>
    <row r="391" spans="2:49" x14ac:dyDescent="0.25">
      <c r="B391" s="274">
        <v>11.5</v>
      </c>
      <c r="C391" s="274">
        <v>95</v>
      </c>
      <c r="D391" s="274">
        <v>11.5</v>
      </c>
      <c r="E391" s="274">
        <v>0</v>
      </c>
      <c r="F391" s="274">
        <v>0</v>
      </c>
      <c r="G391" s="274">
        <v>9</v>
      </c>
      <c r="H391" s="274">
        <v>1022.6</v>
      </c>
      <c r="I391" s="274">
        <v>0</v>
      </c>
      <c r="J391" s="274">
        <v>0</v>
      </c>
      <c r="K391" s="274">
        <v>0</v>
      </c>
      <c r="L391" s="274">
        <v>0</v>
      </c>
      <c r="M391" s="274">
        <v>65.3</v>
      </c>
      <c r="N391" s="396">
        <v>599.79999999999995</v>
      </c>
      <c r="O391" s="396">
        <v>10.3</v>
      </c>
      <c r="P391" s="396">
        <v>10.4</v>
      </c>
      <c r="Q391" s="397">
        <v>0.265277777777778</v>
      </c>
      <c r="R391" s="396"/>
      <c r="S391" s="410"/>
      <c r="T391" s="409"/>
      <c r="U391" s="398" t="str">
        <f t="shared" si="15"/>
        <v/>
      </c>
      <c r="V391" s="400"/>
      <c r="W391" s="410">
        <f t="shared" si="16"/>
        <v>10.4</v>
      </c>
      <c r="X391" s="472"/>
      <c r="AT391" s="232"/>
      <c r="AV391" s="198"/>
      <c r="AW391" s="274"/>
    </row>
    <row r="392" spans="2:49" x14ac:dyDescent="0.25">
      <c r="B392" s="274">
        <v>11.4</v>
      </c>
      <c r="C392" s="274">
        <v>95</v>
      </c>
      <c r="D392" s="274">
        <v>11.4</v>
      </c>
      <c r="E392" s="274">
        <v>0</v>
      </c>
      <c r="F392" s="274">
        <v>0</v>
      </c>
      <c r="G392" s="274">
        <v>9</v>
      </c>
      <c r="H392" s="274">
        <v>1022.6</v>
      </c>
      <c r="I392" s="274">
        <v>0</v>
      </c>
      <c r="J392" s="274">
        <v>0</v>
      </c>
      <c r="K392" s="274">
        <v>0</v>
      </c>
      <c r="L392" s="274">
        <v>0</v>
      </c>
      <c r="M392" s="274">
        <v>65.3</v>
      </c>
      <c r="N392" s="396">
        <v>599.79999999999995</v>
      </c>
      <c r="O392" s="396">
        <v>10.199999999999999</v>
      </c>
      <c r="P392" s="396">
        <v>10.3</v>
      </c>
      <c r="Q392" s="397">
        <v>0.265972222222222</v>
      </c>
      <c r="R392" s="396"/>
      <c r="S392" s="410"/>
      <c r="T392" s="409"/>
      <c r="U392" s="398" t="str">
        <f t="shared" si="15"/>
        <v/>
      </c>
      <c r="V392" s="400"/>
      <c r="W392" s="410">
        <f t="shared" si="16"/>
        <v>10.3</v>
      </c>
      <c r="X392" s="472"/>
      <c r="AT392" s="232"/>
      <c r="AV392" s="198"/>
      <c r="AW392" s="274"/>
    </row>
    <row r="393" spans="2:49" x14ac:dyDescent="0.25">
      <c r="B393" s="274">
        <v>11.4</v>
      </c>
      <c r="C393" s="274">
        <v>95</v>
      </c>
      <c r="D393" s="274">
        <v>11.4</v>
      </c>
      <c r="E393" s="274">
        <v>0.4</v>
      </c>
      <c r="F393" s="274">
        <v>1.8</v>
      </c>
      <c r="G393" s="274">
        <v>9</v>
      </c>
      <c r="H393" s="274">
        <v>1022.4</v>
      </c>
      <c r="I393" s="274">
        <v>0</v>
      </c>
      <c r="J393" s="274">
        <v>0</v>
      </c>
      <c r="K393" s="274">
        <v>0</v>
      </c>
      <c r="L393" s="274">
        <v>0</v>
      </c>
      <c r="M393" s="274">
        <v>65.3</v>
      </c>
      <c r="N393" s="396">
        <v>599.79999999999995</v>
      </c>
      <c r="O393" s="396">
        <v>10.199999999999999</v>
      </c>
      <c r="P393" s="396">
        <v>10.3</v>
      </c>
      <c r="Q393" s="397">
        <v>0.266666666666667</v>
      </c>
      <c r="R393" s="396"/>
      <c r="S393" s="410"/>
      <c r="T393" s="409"/>
      <c r="U393" s="398" t="str">
        <f t="shared" si="15"/>
        <v/>
      </c>
      <c r="V393" s="400"/>
      <c r="W393" s="410">
        <f t="shared" si="16"/>
        <v>10.3</v>
      </c>
      <c r="X393" s="472"/>
      <c r="AT393" s="232"/>
      <c r="AV393" s="198"/>
      <c r="AW393" s="274"/>
    </row>
    <row r="394" spans="2:49" x14ac:dyDescent="0.25">
      <c r="B394" s="274">
        <v>11.4</v>
      </c>
      <c r="C394" s="274">
        <v>95</v>
      </c>
      <c r="D394" s="274">
        <v>11.4</v>
      </c>
      <c r="E394" s="274">
        <v>0</v>
      </c>
      <c r="F394" s="274">
        <v>0</v>
      </c>
      <c r="G394" s="274">
        <v>9</v>
      </c>
      <c r="H394" s="274">
        <v>1022.5</v>
      </c>
      <c r="I394" s="274">
        <v>0</v>
      </c>
      <c r="J394" s="274">
        <v>0</v>
      </c>
      <c r="K394" s="274">
        <v>0</v>
      </c>
      <c r="L394" s="274">
        <v>0</v>
      </c>
      <c r="M394" s="274">
        <v>65.3</v>
      </c>
      <c r="N394" s="396">
        <v>599.79999999999995</v>
      </c>
      <c r="O394" s="396">
        <v>10.199999999999999</v>
      </c>
      <c r="P394" s="396">
        <v>10.3</v>
      </c>
      <c r="Q394" s="397">
        <v>0.26736111111111099</v>
      </c>
      <c r="R394" s="396"/>
      <c r="S394" s="410"/>
      <c r="T394" s="409"/>
      <c r="U394" s="398" t="str">
        <f t="shared" si="15"/>
        <v/>
      </c>
      <c r="V394" s="400"/>
      <c r="W394" s="410">
        <f t="shared" si="16"/>
        <v>10.3</v>
      </c>
      <c r="X394" s="472"/>
      <c r="AT394" s="232"/>
      <c r="AV394" s="198"/>
      <c r="AW394" s="274"/>
    </row>
    <row r="395" spans="2:49" x14ac:dyDescent="0.25">
      <c r="B395" s="274">
        <v>11.4</v>
      </c>
      <c r="C395" s="274">
        <v>95</v>
      </c>
      <c r="D395" s="274">
        <v>11.4</v>
      </c>
      <c r="E395" s="274">
        <v>0</v>
      </c>
      <c r="F395" s="274">
        <v>0</v>
      </c>
      <c r="G395" s="274">
        <v>9</v>
      </c>
      <c r="H395" s="274">
        <v>1022.7</v>
      </c>
      <c r="I395" s="274">
        <v>0</v>
      </c>
      <c r="J395" s="274">
        <v>0</v>
      </c>
      <c r="K395" s="274">
        <v>0</v>
      </c>
      <c r="L395" s="274">
        <v>0</v>
      </c>
      <c r="M395" s="274">
        <v>65.3</v>
      </c>
      <c r="N395" s="396">
        <v>599.79999999999995</v>
      </c>
      <c r="O395" s="396">
        <v>10.199999999999999</v>
      </c>
      <c r="P395" s="396">
        <v>10.199999999999999</v>
      </c>
      <c r="Q395" s="397">
        <v>0.26805555555555599</v>
      </c>
      <c r="R395" s="396"/>
      <c r="S395" s="410"/>
      <c r="T395" s="409"/>
      <c r="U395" s="398" t="str">
        <f t="shared" ref="U395:U458" si="17">IF(J395&gt;0,60,"")</f>
        <v/>
      </c>
      <c r="V395" s="400"/>
      <c r="W395" s="410">
        <f t="shared" si="16"/>
        <v>10.199999999999999</v>
      </c>
      <c r="X395" s="472"/>
      <c r="AT395" s="232"/>
      <c r="AV395" s="198"/>
      <c r="AW395" s="274"/>
    </row>
    <row r="396" spans="2:49" x14ac:dyDescent="0.25">
      <c r="B396" s="274">
        <v>11.3</v>
      </c>
      <c r="C396" s="274">
        <v>95</v>
      </c>
      <c r="D396" s="274">
        <v>11.3</v>
      </c>
      <c r="E396" s="274">
        <v>0.4</v>
      </c>
      <c r="F396" s="274">
        <v>1.8</v>
      </c>
      <c r="G396" s="274">
        <v>9</v>
      </c>
      <c r="H396" s="274">
        <v>1022.4</v>
      </c>
      <c r="I396" s="274">
        <v>0</v>
      </c>
      <c r="J396" s="274">
        <v>0</v>
      </c>
      <c r="K396" s="274">
        <v>0</v>
      </c>
      <c r="L396" s="274">
        <v>0</v>
      </c>
      <c r="M396" s="274">
        <v>65.3</v>
      </c>
      <c r="N396" s="396">
        <v>599.79999999999995</v>
      </c>
      <c r="O396" s="396">
        <v>10.199999999999999</v>
      </c>
      <c r="P396" s="396">
        <v>10.3</v>
      </c>
      <c r="Q396" s="397">
        <v>0.26874999999999999</v>
      </c>
      <c r="R396" s="396"/>
      <c r="S396" s="410"/>
      <c r="T396" s="409"/>
      <c r="U396" s="398" t="str">
        <f t="shared" si="17"/>
        <v/>
      </c>
      <c r="V396" s="400"/>
      <c r="W396" s="410">
        <f t="shared" si="16"/>
        <v>10.3</v>
      </c>
      <c r="X396" s="472"/>
      <c r="AT396" s="232"/>
      <c r="AV396" s="198"/>
      <c r="AW396" s="274"/>
    </row>
    <row r="397" spans="2:49" x14ac:dyDescent="0.25">
      <c r="B397" s="274">
        <v>11.3</v>
      </c>
      <c r="C397" s="274">
        <v>95</v>
      </c>
      <c r="D397" s="274">
        <v>11.3</v>
      </c>
      <c r="E397" s="274">
        <v>0</v>
      </c>
      <c r="F397" s="274">
        <v>0</v>
      </c>
      <c r="G397" s="274">
        <v>9</v>
      </c>
      <c r="H397" s="274">
        <v>1022.4</v>
      </c>
      <c r="I397" s="274">
        <v>0</v>
      </c>
      <c r="J397" s="274">
        <v>0</v>
      </c>
      <c r="K397" s="274">
        <v>0</v>
      </c>
      <c r="L397" s="274">
        <v>0</v>
      </c>
      <c r="M397" s="274">
        <v>65.3</v>
      </c>
      <c r="N397" s="396">
        <v>599.79999999999995</v>
      </c>
      <c r="O397" s="396">
        <v>10.1</v>
      </c>
      <c r="P397" s="396">
        <v>10.199999999999999</v>
      </c>
      <c r="Q397" s="397">
        <v>0.26944444444444399</v>
      </c>
      <c r="R397" s="396"/>
      <c r="S397" s="410"/>
      <c r="T397" s="409"/>
      <c r="U397" s="398" t="str">
        <f t="shared" si="17"/>
        <v/>
      </c>
      <c r="V397" s="400"/>
      <c r="W397" s="410">
        <f t="shared" si="16"/>
        <v>10.199999999999999</v>
      </c>
      <c r="X397" s="472"/>
      <c r="AT397" s="232"/>
      <c r="AV397" s="198"/>
      <c r="AW397" s="274"/>
    </row>
    <row r="398" spans="2:49" x14ac:dyDescent="0.25">
      <c r="B398" s="274">
        <v>11.3</v>
      </c>
      <c r="C398" s="274">
        <v>95</v>
      </c>
      <c r="D398" s="274">
        <v>11.3</v>
      </c>
      <c r="E398" s="274">
        <v>0</v>
      </c>
      <c r="F398" s="274">
        <v>0</v>
      </c>
      <c r="G398" s="274">
        <v>9</v>
      </c>
      <c r="H398" s="274">
        <v>1022.6</v>
      </c>
      <c r="I398" s="274">
        <v>0</v>
      </c>
      <c r="J398" s="274">
        <v>0</v>
      </c>
      <c r="K398" s="274">
        <v>0</v>
      </c>
      <c r="L398" s="274">
        <v>0</v>
      </c>
      <c r="M398" s="274">
        <v>65.3</v>
      </c>
      <c r="N398" s="396">
        <v>599.79999999999995</v>
      </c>
      <c r="O398" s="396">
        <v>10.199999999999999</v>
      </c>
      <c r="P398" s="396">
        <v>10.199999999999999</v>
      </c>
      <c r="Q398" s="397">
        <v>0.27013888888888898</v>
      </c>
      <c r="R398" s="396"/>
      <c r="S398" s="410"/>
      <c r="T398" s="409"/>
      <c r="U398" s="398" t="str">
        <f t="shared" si="17"/>
        <v/>
      </c>
      <c r="V398" s="400"/>
      <c r="W398" s="410">
        <f t="shared" si="16"/>
        <v>10.199999999999999</v>
      </c>
      <c r="X398" s="472"/>
      <c r="AT398" s="232"/>
      <c r="AV398" s="198"/>
      <c r="AW398" s="274"/>
    </row>
    <row r="399" spans="2:49" x14ac:dyDescent="0.25">
      <c r="B399" s="274">
        <v>11.2</v>
      </c>
      <c r="C399" s="274">
        <v>95</v>
      </c>
      <c r="D399" s="274">
        <v>11.2</v>
      </c>
      <c r="E399" s="274">
        <v>0</v>
      </c>
      <c r="F399" s="274">
        <v>0</v>
      </c>
      <c r="G399" s="274">
        <v>9</v>
      </c>
      <c r="H399" s="274">
        <v>1022.4</v>
      </c>
      <c r="I399" s="274">
        <v>0</v>
      </c>
      <c r="J399" s="274">
        <v>0</v>
      </c>
      <c r="K399" s="274">
        <v>0</v>
      </c>
      <c r="L399" s="274">
        <v>0</v>
      </c>
      <c r="M399" s="274">
        <v>65.3</v>
      </c>
      <c r="N399" s="396">
        <v>599.79999999999995</v>
      </c>
      <c r="O399" s="396">
        <v>10.1</v>
      </c>
      <c r="P399" s="396">
        <v>10.199999999999999</v>
      </c>
      <c r="Q399" s="397">
        <v>0.27083333333333298</v>
      </c>
      <c r="R399" s="396"/>
      <c r="S399" s="410"/>
      <c r="T399" s="409"/>
      <c r="U399" s="398" t="str">
        <f t="shared" si="17"/>
        <v/>
      </c>
      <c r="V399" s="400"/>
      <c r="W399" s="410">
        <f t="shared" si="16"/>
        <v>10.199999999999999</v>
      </c>
      <c r="X399" s="472"/>
      <c r="AT399" s="232"/>
      <c r="AV399" s="198"/>
      <c r="AW399" s="274"/>
    </row>
    <row r="400" spans="2:49" x14ac:dyDescent="0.25">
      <c r="B400" s="274">
        <v>11.2</v>
      </c>
      <c r="C400" s="274">
        <v>95</v>
      </c>
      <c r="D400" s="274">
        <v>11.2</v>
      </c>
      <c r="E400" s="274">
        <v>0</v>
      </c>
      <c r="F400" s="274">
        <v>0</v>
      </c>
      <c r="G400" s="274">
        <v>9</v>
      </c>
      <c r="H400" s="274">
        <v>1022.5</v>
      </c>
      <c r="I400" s="274">
        <v>0</v>
      </c>
      <c r="J400" s="274">
        <v>0</v>
      </c>
      <c r="K400" s="274">
        <v>0</v>
      </c>
      <c r="L400" s="274">
        <v>0</v>
      </c>
      <c r="M400" s="274">
        <v>65.3</v>
      </c>
      <c r="N400" s="396">
        <v>599.79999999999995</v>
      </c>
      <c r="O400" s="396">
        <v>10.1</v>
      </c>
      <c r="P400" s="396">
        <v>10.1</v>
      </c>
      <c r="Q400" s="397">
        <v>0.27152777777777798</v>
      </c>
      <c r="R400" s="396"/>
      <c r="S400" s="410"/>
      <c r="T400" s="409"/>
      <c r="U400" s="398" t="str">
        <f t="shared" si="17"/>
        <v/>
      </c>
      <c r="V400" s="400"/>
      <c r="W400" s="410">
        <f t="shared" si="16"/>
        <v>10.1</v>
      </c>
      <c r="X400" s="472" t="str">
        <f>IF(W400&gt;B400+3,60,"")</f>
        <v/>
      </c>
      <c r="AT400" s="232"/>
      <c r="AV400" s="198"/>
      <c r="AW400" s="274"/>
    </row>
    <row r="401" spans="2:49" x14ac:dyDescent="0.25">
      <c r="B401" s="274">
        <v>11.2</v>
      </c>
      <c r="C401" s="274">
        <v>95</v>
      </c>
      <c r="D401" s="274">
        <v>11.2</v>
      </c>
      <c r="E401" s="274">
        <v>0</v>
      </c>
      <c r="F401" s="274">
        <v>0</v>
      </c>
      <c r="G401" s="274">
        <v>9</v>
      </c>
      <c r="H401" s="274">
        <v>1022.6</v>
      </c>
      <c r="I401" s="274">
        <v>0</v>
      </c>
      <c r="J401" s="274">
        <v>0</v>
      </c>
      <c r="K401" s="274">
        <v>0</v>
      </c>
      <c r="L401" s="274">
        <v>0</v>
      </c>
      <c r="M401" s="274">
        <v>65.3</v>
      </c>
      <c r="N401" s="396">
        <v>599.79999999999995</v>
      </c>
      <c r="O401" s="396">
        <v>10.1</v>
      </c>
      <c r="P401" s="396">
        <v>10.1</v>
      </c>
      <c r="Q401" s="397">
        <v>0.27222222222222198</v>
      </c>
      <c r="R401" s="396"/>
      <c r="S401" s="410"/>
      <c r="T401" s="409"/>
      <c r="U401" s="398" t="str">
        <f t="shared" si="17"/>
        <v/>
      </c>
      <c r="V401" s="400"/>
      <c r="W401" s="410">
        <f t="shared" si="16"/>
        <v>10.1</v>
      </c>
      <c r="X401" s="472" t="str">
        <f t="shared" ref="X401:X464" si="18">IF(W401&gt;B401+3,60,"")</f>
        <v/>
      </c>
      <c r="AT401" s="232"/>
      <c r="AV401" s="198"/>
      <c r="AW401" s="274"/>
    </row>
    <row r="402" spans="2:49" x14ac:dyDescent="0.25">
      <c r="B402" s="274">
        <v>11.2</v>
      </c>
      <c r="C402" s="274">
        <v>95</v>
      </c>
      <c r="D402" s="274">
        <v>11.2</v>
      </c>
      <c r="E402" s="274">
        <v>0.4</v>
      </c>
      <c r="F402" s="274">
        <v>1.8</v>
      </c>
      <c r="G402" s="274">
        <v>9</v>
      </c>
      <c r="H402" s="274">
        <v>1022.5</v>
      </c>
      <c r="I402" s="274">
        <v>0</v>
      </c>
      <c r="J402" s="274">
        <v>0</v>
      </c>
      <c r="K402" s="274">
        <v>0</v>
      </c>
      <c r="L402" s="274">
        <v>0</v>
      </c>
      <c r="M402" s="274">
        <v>65.3</v>
      </c>
      <c r="N402" s="396">
        <v>599.79999999999995</v>
      </c>
      <c r="O402" s="396">
        <v>10</v>
      </c>
      <c r="P402" s="396">
        <v>10.1</v>
      </c>
      <c r="Q402" s="397">
        <v>0.27291666666666697</v>
      </c>
      <c r="R402" s="396"/>
      <c r="S402" s="410"/>
      <c r="T402" s="409"/>
      <c r="U402" s="398" t="str">
        <f t="shared" si="17"/>
        <v/>
      </c>
      <c r="V402" s="400"/>
      <c r="W402" s="410">
        <f t="shared" si="16"/>
        <v>10.1</v>
      </c>
      <c r="X402" s="472" t="str">
        <f t="shared" si="18"/>
        <v/>
      </c>
      <c r="AT402" s="232"/>
      <c r="AV402" s="198"/>
      <c r="AW402" s="274"/>
    </row>
    <row r="403" spans="2:49" x14ac:dyDescent="0.25">
      <c r="B403" s="274">
        <v>11.2</v>
      </c>
      <c r="C403" s="274">
        <v>95</v>
      </c>
      <c r="D403" s="274">
        <v>11.2</v>
      </c>
      <c r="E403" s="274">
        <v>0</v>
      </c>
      <c r="F403" s="274">
        <v>0</v>
      </c>
      <c r="G403" s="274">
        <v>9</v>
      </c>
      <c r="H403" s="274">
        <v>1022.5</v>
      </c>
      <c r="I403" s="274">
        <v>0</v>
      </c>
      <c r="J403" s="274">
        <v>0</v>
      </c>
      <c r="K403" s="274">
        <v>0</v>
      </c>
      <c r="L403" s="274">
        <v>0</v>
      </c>
      <c r="M403" s="274">
        <v>65.3</v>
      </c>
      <c r="N403" s="396">
        <v>599.79999999999995</v>
      </c>
      <c r="O403" s="396">
        <v>10</v>
      </c>
      <c r="P403" s="396">
        <v>10.1</v>
      </c>
      <c r="Q403" s="397">
        <v>0.27361111111111103</v>
      </c>
      <c r="R403" s="396"/>
      <c r="S403" s="410"/>
      <c r="T403" s="409"/>
      <c r="U403" s="398" t="str">
        <f t="shared" si="17"/>
        <v/>
      </c>
      <c r="V403" s="400"/>
      <c r="W403" s="410">
        <f t="shared" si="16"/>
        <v>10.1</v>
      </c>
      <c r="X403" s="472" t="str">
        <f t="shared" si="18"/>
        <v/>
      </c>
      <c r="AT403" s="232"/>
      <c r="AV403" s="198"/>
      <c r="AW403" s="274"/>
    </row>
    <row r="404" spans="2:49" x14ac:dyDescent="0.25">
      <c r="B404" s="274">
        <v>11.2</v>
      </c>
      <c r="C404" s="274">
        <v>95</v>
      </c>
      <c r="D404" s="274">
        <v>11.2</v>
      </c>
      <c r="E404" s="274">
        <v>0</v>
      </c>
      <c r="F404" s="274">
        <v>0</v>
      </c>
      <c r="G404" s="274">
        <v>9</v>
      </c>
      <c r="H404" s="274">
        <v>1022.4</v>
      </c>
      <c r="I404" s="274">
        <v>0</v>
      </c>
      <c r="J404" s="274">
        <v>0</v>
      </c>
      <c r="K404" s="274">
        <v>0</v>
      </c>
      <c r="L404" s="274">
        <v>0</v>
      </c>
      <c r="M404" s="274">
        <v>65.3</v>
      </c>
      <c r="N404" s="396">
        <v>599.79999999999995</v>
      </c>
      <c r="O404" s="396">
        <v>10</v>
      </c>
      <c r="P404" s="396">
        <v>10</v>
      </c>
      <c r="Q404" s="397">
        <v>0.27430555555555602</v>
      </c>
      <c r="R404" s="396"/>
      <c r="S404" s="410"/>
      <c r="T404" s="409"/>
      <c r="U404" s="398" t="str">
        <f t="shared" si="17"/>
        <v/>
      </c>
      <c r="V404" s="400"/>
      <c r="W404" s="410">
        <f t="shared" si="16"/>
        <v>10</v>
      </c>
      <c r="X404" s="472" t="str">
        <f t="shared" si="18"/>
        <v/>
      </c>
      <c r="AT404" s="232"/>
      <c r="AV404" s="198"/>
      <c r="AW404" s="274"/>
    </row>
    <row r="405" spans="2:49" x14ac:dyDescent="0.25">
      <c r="B405" s="274">
        <v>11.2</v>
      </c>
      <c r="C405" s="274">
        <v>95</v>
      </c>
      <c r="D405" s="274">
        <v>11.2</v>
      </c>
      <c r="E405" s="274">
        <v>0</v>
      </c>
      <c r="F405" s="274">
        <v>0</v>
      </c>
      <c r="G405" s="274">
        <v>9</v>
      </c>
      <c r="H405" s="274">
        <v>1022.4</v>
      </c>
      <c r="I405" s="274">
        <v>0</v>
      </c>
      <c r="J405" s="274">
        <v>0</v>
      </c>
      <c r="K405" s="274">
        <v>0</v>
      </c>
      <c r="L405" s="274">
        <v>0</v>
      </c>
      <c r="M405" s="274">
        <v>65.3</v>
      </c>
      <c r="N405" s="396">
        <v>599.79999999999995</v>
      </c>
      <c r="O405" s="396">
        <v>10</v>
      </c>
      <c r="P405" s="396">
        <v>10</v>
      </c>
      <c r="Q405" s="397">
        <v>0.27500000000000002</v>
      </c>
      <c r="R405" s="396"/>
      <c r="S405" s="410"/>
      <c r="T405" s="409"/>
      <c r="U405" s="398" t="str">
        <f t="shared" si="17"/>
        <v/>
      </c>
      <c r="V405" s="400"/>
      <c r="W405" s="410">
        <f t="shared" si="16"/>
        <v>10</v>
      </c>
      <c r="X405" s="472" t="str">
        <f t="shared" si="18"/>
        <v/>
      </c>
      <c r="AT405" s="232"/>
      <c r="AV405" s="198"/>
      <c r="AW405" s="274"/>
    </row>
    <row r="406" spans="2:49" x14ac:dyDescent="0.25">
      <c r="B406" s="274">
        <v>11.2</v>
      </c>
      <c r="C406" s="274">
        <v>95</v>
      </c>
      <c r="D406" s="274">
        <v>11.2</v>
      </c>
      <c r="E406" s="274">
        <v>0</v>
      </c>
      <c r="F406" s="274">
        <v>0</v>
      </c>
      <c r="G406" s="274">
        <v>9</v>
      </c>
      <c r="H406" s="274">
        <v>1022.3</v>
      </c>
      <c r="I406" s="274">
        <v>0</v>
      </c>
      <c r="J406" s="274">
        <v>0</v>
      </c>
      <c r="K406" s="274">
        <v>0</v>
      </c>
      <c r="L406" s="274">
        <v>0</v>
      </c>
      <c r="M406" s="274">
        <v>65.3</v>
      </c>
      <c r="N406" s="396">
        <v>599.79999999999995</v>
      </c>
      <c r="O406" s="396">
        <v>10</v>
      </c>
      <c r="P406" s="396">
        <v>10</v>
      </c>
      <c r="Q406" s="397">
        <v>0.27569444444444402</v>
      </c>
      <c r="R406" s="396"/>
      <c r="S406" s="410"/>
      <c r="T406" s="409"/>
      <c r="U406" s="398" t="str">
        <f t="shared" si="17"/>
        <v/>
      </c>
      <c r="V406" s="400"/>
      <c r="W406" s="410">
        <f t="shared" si="16"/>
        <v>10</v>
      </c>
      <c r="X406" s="472" t="str">
        <f t="shared" si="18"/>
        <v/>
      </c>
      <c r="AT406" s="232"/>
      <c r="AV406" s="198"/>
      <c r="AW406" s="274"/>
    </row>
    <row r="407" spans="2:49" x14ac:dyDescent="0.25">
      <c r="B407" s="274">
        <v>11.2</v>
      </c>
      <c r="C407" s="274">
        <v>95</v>
      </c>
      <c r="D407" s="274">
        <v>11.2</v>
      </c>
      <c r="E407" s="274">
        <v>0</v>
      </c>
      <c r="F407" s="274">
        <v>0</v>
      </c>
      <c r="G407" s="274">
        <v>9</v>
      </c>
      <c r="H407" s="274">
        <v>1022.8</v>
      </c>
      <c r="I407" s="274">
        <v>0</v>
      </c>
      <c r="J407" s="274">
        <v>0</v>
      </c>
      <c r="K407" s="274">
        <v>0</v>
      </c>
      <c r="L407" s="274">
        <v>0</v>
      </c>
      <c r="M407" s="274">
        <v>65.3</v>
      </c>
      <c r="N407" s="396">
        <v>599.79999999999995</v>
      </c>
      <c r="O407" s="396">
        <v>10</v>
      </c>
      <c r="P407" s="396">
        <v>10</v>
      </c>
      <c r="Q407" s="397">
        <v>0.27638888888888902</v>
      </c>
      <c r="R407" s="396"/>
      <c r="S407" s="410"/>
      <c r="T407" s="409"/>
      <c r="U407" s="398" t="str">
        <f t="shared" si="17"/>
        <v/>
      </c>
      <c r="V407" s="400"/>
      <c r="W407" s="410">
        <f t="shared" si="16"/>
        <v>10</v>
      </c>
      <c r="X407" s="472" t="str">
        <f t="shared" si="18"/>
        <v/>
      </c>
      <c r="AT407" s="232"/>
      <c r="AV407" s="198"/>
      <c r="AW407" s="274"/>
    </row>
    <row r="408" spans="2:49" x14ac:dyDescent="0.25">
      <c r="B408" s="274">
        <v>11.2</v>
      </c>
      <c r="C408" s="274">
        <v>95</v>
      </c>
      <c r="D408" s="274">
        <v>11.2</v>
      </c>
      <c r="E408" s="274">
        <v>0</v>
      </c>
      <c r="F408" s="274">
        <v>0</v>
      </c>
      <c r="G408" s="274">
        <v>9</v>
      </c>
      <c r="H408" s="274">
        <v>1022.7</v>
      </c>
      <c r="I408" s="274">
        <v>0</v>
      </c>
      <c r="J408" s="274">
        <v>0</v>
      </c>
      <c r="K408" s="274">
        <v>0</v>
      </c>
      <c r="L408" s="274">
        <v>0</v>
      </c>
      <c r="M408" s="274">
        <v>65.3</v>
      </c>
      <c r="N408" s="396">
        <v>599.79999999999995</v>
      </c>
      <c r="O408" s="396">
        <v>9.9</v>
      </c>
      <c r="P408" s="396">
        <v>10</v>
      </c>
      <c r="Q408" s="397">
        <v>0.27708333333333302</v>
      </c>
      <c r="R408" s="396"/>
      <c r="S408" s="410"/>
      <c r="T408" s="409"/>
      <c r="U408" s="398" t="str">
        <f t="shared" si="17"/>
        <v/>
      </c>
      <c r="V408" s="400"/>
      <c r="W408" s="410">
        <f t="shared" si="16"/>
        <v>10</v>
      </c>
      <c r="X408" s="472" t="str">
        <f t="shared" si="18"/>
        <v/>
      </c>
      <c r="AT408" s="232"/>
      <c r="AV408" s="198"/>
      <c r="AW408" s="274"/>
    </row>
    <row r="409" spans="2:49" x14ac:dyDescent="0.25">
      <c r="B409" s="274">
        <v>11.2</v>
      </c>
      <c r="C409" s="274">
        <v>95</v>
      </c>
      <c r="D409" s="274">
        <v>11.2</v>
      </c>
      <c r="E409" s="274">
        <v>0</v>
      </c>
      <c r="F409" s="274">
        <v>0</v>
      </c>
      <c r="G409" s="274">
        <v>9</v>
      </c>
      <c r="H409" s="274">
        <v>1022.4</v>
      </c>
      <c r="I409" s="274">
        <v>0</v>
      </c>
      <c r="J409" s="274">
        <v>0</v>
      </c>
      <c r="K409" s="274">
        <v>0</v>
      </c>
      <c r="L409" s="274">
        <v>0</v>
      </c>
      <c r="M409" s="274">
        <v>65.3</v>
      </c>
      <c r="N409" s="396">
        <v>599.79999999999995</v>
      </c>
      <c r="O409" s="396">
        <v>9.9</v>
      </c>
      <c r="P409" s="396">
        <v>10</v>
      </c>
      <c r="Q409" s="397">
        <v>0.27777777777777801</v>
      </c>
      <c r="R409" s="396"/>
      <c r="S409" s="410"/>
      <c r="T409" s="409"/>
      <c r="U409" s="398" t="str">
        <f t="shared" si="17"/>
        <v/>
      </c>
      <c r="V409" s="400"/>
      <c r="W409" s="410">
        <f t="shared" si="16"/>
        <v>10</v>
      </c>
      <c r="X409" s="472" t="str">
        <f t="shared" si="18"/>
        <v/>
      </c>
      <c r="AT409" s="232"/>
      <c r="AV409" s="198"/>
      <c r="AW409" s="274"/>
    </row>
    <row r="410" spans="2:49" x14ac:dyDescent="0.25">
      <c r="B410" s="274">
        <v>11.2</v>
      </c>
      <c r="C410" s="274">
        <v>95</v>
      </c>
      <c r="D410" s="274">
        <v>11.2</v>
      </c>
      <c r="E410" s="274">
        <v>0</v>
      </c>
      <c r="F410" s="274">
        <v>0</v>
      </c>
      <c r="G410" s="274">
        <v>9</v>
      </c>
      <c r="H410" s="274">
        <v>1022.6</v>
      </c>
      <c r="I410" s="274">
        <v>0</v>
      </c>
      <c r="J410" s="274">
        <v>0</v>
      </c>
      <c r="K410" s="274">
        <v>0</v>
      </c>
      <c r="L410" s="274">
        <v>0</v>
      </c>
      <c r="M410" s="274">
        <v>65.3</v>
      </c>
      <c r="N410" s="396">
        <v>599.79999999999995</v>
      </c>
      <c r="O410" s="396">
        <v>9.9</v>
      </c>
      <c r="P410" s="396">
        <v>9.9</v>
      </c>
      <c r="Q410" s="397">
        <v>0.27847222222222201</v>
      </c>
      <c r="R410" s="396"/>
      <c r="S410" s="410"/>
      <c r="T410" s="409"/>
      <c r="U410" s="398" t="str">
        <f t="shared" si="17"/>
        <v/>
      </c>
      <c r="V410" s="400"/>
      <c r="W410" s="410">
        <f t="shared" si="16"/>
        <v>9.9</v>
      </c>
      <c r="X410" s="472" t="str">
        <f t="shared" si="18"/>
        <v/>
      </c>
      <c r="AT410" s="232"/>
      <c r="AV410" s="198"/>
      <c r="AW410" s="274"/>
    </row>
    <row r="411" spans="2:49" x14ac:dyDescent="0.25">
      <c r="B411" s="274">
        <v>11.2</v>
      </c>
      <c r="C411" s="274">
        <v>96</v>
      </c>
      <c r="D411" s="274">
        <v>11.2</v>
      </c>
      <c r="E411" s="274">
        <v>0</v>
      </c>
      <c r="F411" s="274">
        <v>0</v>
      </c>
      <c r="G411" s="274">
        <v>9</v>
      </c>
      <c r="H411" s="274">
        <v>1022.6</v>
      </c>
      <c r="I411" s="274">
        <v>0</v>
      </c>
      <c r="J411" s="274">
        <v>0</v>
      </c>
      <c r="K411" s="274">
        <v>0</v>
      </c>
      <c r="L411" s="274">
        <v>0</v>
      </c>
      <c r="M411" s="274">
        <v>65.3</v>
      </c>
      <c r="N411" s="396">
        <v>599.79999999999995</v>
      </c>
      <c r="O411" s="396">
        <v>9.9</v>
      </c>
      <c r="P411" s="396">
        <v>9.9</v>
      </c>
      <c r="Q411" s="397">
        <v>0.27916666666666701</v>
      </c>
      <c r="R411" s="396"/>
      <c r="S411" s="410"/>
      <c r="T411" s="409"/>
      <c r="U411" s="398" t="str">
        <f t="shared" si="17"/>
        <v/>
      </c>
      <c r="V411" s="400"/>
      <c r="W411" s="410">
        <f t="shared" si="16"/>
        <v>9.9</v>
      </c>
      <c r="X411" s="472" t="str">
        <f t="shared" si="18"/>
        <v/>
      </c>
      <c r="AT411" s="232"/>
      <c r="AV411" s="198"/>
      <c r="AW411" s="274"/>
    </row>
    <row r="412" spans="2:49" x14ac:dyDescent="0.25">
      <c r="B412" s="274">
        <v>11.2</v>
      </c>
      <c r="C412" s="274">
        <v>96</v>
      </c>
      <c r="D412" s="274">
        <v>11.2</v>
      </c>
      <c r="E412" s="274">
        <v>0</v>
      </c>
      <c r="F412" s="274">
        <v>0</v>
      </c>
      <c r="G412" s="274">
        <v>9</v>
      </c>
      <c r="H412" s="274">
        <v>1022.4</v>
      </c>
      <c r="I412" s="274">
        <v>0</v>
      </c>
      <c r="J412" s="274">
        <v>0</v>
      </c>
      <c r="K412" s="274">
        <v>0</v>
      </c>
      <c r="L412" s="274">
        <v>0</v>
      </c>
      <c r="M412" s="274">
        <v>65.3</v>
      </c>
      <c r="N412" s="396">
        <v>599.79999999999995</v>
      </c>
      <c r="O412" s="396">
        <v>9.8000000000000007</v>
      </c>
      <c r="P412" s="396">
        <v>9.9</v>
      </c>
      <c r="Q412" s="397">
        <v>0.27986111111111101</v>
      </c>
      <c r="R412" s="396"/>
      <c r="S412" s="410"/>
      <c r="T412" s="409"/>
      <c r="U412" s="398" t="str">
        <f t="shared" si="17"/>
        <v/>
      </c>
      <c r="V412" s="400"/>
      <c r="W412" s="410">
        <f t="shared" si="16"/>
        <v>9.9</v>
      </c>
      <c r="X412" s="472" t="str">
        <f t="shared" si="18"/>
        <v/>
      </c>
      <c r="AT412" s="232"/>
      <c r="AV412" s="198"/>
      <c r="AW412" s="274"/>
    </row>
    <row r="413" spans="2:49" x14ac:dyDescent="0.25">
      <c r="B413" s="274">
        <v>11.2</v>
      </c>
      <c r="C413" s="274">
        <v>95</v>
      </c>
      <c r="D413" s="274">
        <v>11.2</v>
      </c>
      <c r="E413" s="274">
        <v>0</v>
      </c>
      <c r="F413" s="274">
        <v>0</v>
      </c>
      <c r="G413" s="274">
        <v>9</v>
      </c>
      <c r="H413" s="274">
        <v>1022.4</v>
      </c>
      <c r="I413" s="274">
        <v>0</v>
      </c>
      <c r="J413" s="274">
        <v>0</v>
      </c>
      <c r="K413" s="274">
        <v>0</v>
      </c>
      <c r="L413" s="274">
        <v>0</v>
      </c>
      <c r="M413" s="274">
        <v>65.3</v>
      </c>
      <c r="N413" s="396">
        <v>599.79999999999995</v>
      </c>
      <c r="O413" s="396">
        <v>9.8000000000000007</v>
      </c>
      <c r="P413" s="396">
        <v>9.9</v>
      </c>
      <c r="Q413" s="397">
        <v>0.280555555555556</v>
      </c>
      <c r="R413" s="396"/>
      <c r="S413" s="410"/>
      <c r="T413" s="409"/>
      <c r="U413" s="398" t="str">
        <f t="shared" si="17"/>
        <v/>
      </c>
      <c r="V413" s="400"/>
      <c r="W413" s="410">
        <f t="shared" si="16"/>
        <v>9.9</v>
      </c>
      <c r="X413" s="472" t="str">
        <f t="shared" si="18"/>
        <v/>
      </c>
      <c r="AT413" s="232"/>
      <c r="AV413" s="198"/>
      <c r="AW413" s="274"/>
    </row>
    <row r="414" spans="2:49" x14ac:dyDescent="0.25">
      <c r="B414" s="274">
        <v>11.2</v>
      </c>
      <c r="C414" s="274">
        <v>96</v>
      </c>
      <c r="D414" s="274">
        <v>11.2</v>
      </c>
      <c r="E414" s="274">
        <v>0</v>
      </c>
      <c r="F414" s="274">
        <v>0</v>
      </c>
      <c r="G414" s="274">
        <v>9</v>
      </c>
      <c r="H414" s="274">
        <v>1022.4</v>
      </c>
      <c r="I414" s="274">
        <v>0</v>
      </c>
      <c r="J414" s="274">
        <v>0</v>
      </c>
      <c r="K414" s="274">
        <v>0</v>
      </c>
      <c r="L414" s="274">
        <v>0</v>
      </c>
      <c r="M414" s="274">
        <v>65.3</v>
      </c>
      <c r="N414" s="396">
        <v>599.79999999999995</v>
      </c>
      <c r="O414" s="396">
        <v>9.8000000000000007</v>
      </c>
      <c r="P414" s="396">
        <v>9.9</v>
      </c>
      <c r="Q414" s="397">
        <v>0.28125</v>
      </c>
      <c r="R414" s="396"/>
      <c r="S414" s="410"/>
      <c r="T414" s="409"/>
      <c r="U414" s="398" t="str">
        <f t="shared" si="17"/>
        <v/>
      </c>
      <c r="V414" s="400"/>
      <c r="W414" s="410">
        <f t="shared" si="16"/>
        <v>9.9</v>
      </c>
      <c r="X414" s="472" t="str">
        <f t="shared" si="18"/>
        <v/>
      </c>
      <c r="AT414" s="232"/>
      <c r="AV414" s="198"/>
      <c r="AW414" s="274"/>
    </row>
    <row r="415" spans="2:49" x14ac:dyDescent="0.25">
      <c r="B415" s="274">
        <v>11.2</v>
      </c>
      <c r="C415" s="274">
        <v>96</v>
      </c>
      <c r="D415" s="274">
        <v>11.2</v>
      </c>
      <c r="E415" s="274">
        <v>0</v>
      </c>
      <c r="F415" s="274">
        <v>0</v>
      </c>
      <c r="G415" s="274">
        <v>9</v>
      </c>
      <c r="H415" s="274">
        <v>1022.5</v>
      </c>
      <c r="I415" s="274">
        <v>0</v>
      </c>
      <c r="J415" s="274">
        <v>0</v>
      </c>
      <c r="K415" s="274">
        <v>0</v>
      </c>
      <c r="L415" s="274">
        <v>0</v>
      </c>
      <c r="M415" s="274">
        <v>65.3</v>
      </c>
      <c r="N415" s="396">
        <v>599.79999999999995</v>
      </c>
      <c r="O415" s="396">
        <v>9.8000000000000007</v>
      </c>
      <c r="P415" s="396">
        <v>9.8000000000000007</v>
      </c>
      <c r="Q415" s="397">
        <v>0.281944444444444</v>
      </c>
      <c r="R415" s="396"/>
      <c r="S415" s="410"/>
      <c r="T415" s="409"/>
      <c r="U415" s="398" t="str">
        <f t="shared" si="17"/>
        <v/>
      </c>
      <c r="V415" s="400"/>
      <c r="W415" s="410">
        <f t="shared" si="16"/>
        <v>9.8000000000000007</v>
      </c>
      <c r="X415" s="472" t="str">
        <f t="shared" si="18"/>
        <v/>
      </c>
      <c r="AT415" s="232"/>
      <c r="AV415" s="198"/>
      <c r="AW415" s="274"/>
    </row>
    <row r="416" spans="2:49" x14ac:dyDescent="0.25">
      <c r="B416" s="274">
        <v>11.2</v>
      </c>
      <c r="C416" s="274">
        <v>96</v>
      </c>
      <c r="D416" s="274">
        <v>11.2</v>
      </c>
      <c r="E416" s="274">
        <v>0</v>
      </c>
      <c r="F416" s="274">
        <v>0</v>
      </c>
      <c r="G416" s="274">
        <v>9</v>
      </c>
      <c r="H416" s="274">
        <v>1022.7</v>
      </c>
      <c r="I416" s="274">
        <v>0</v>
      </c>
      <c r="J416" s="274">
        <v>0</v>
      </c>
      <c r="K416" s="274">
        <v>0</v>
      </c>
      <c r="L416" s="274">
        <v>0</v>
      </c>
      <c r="M416" s="274">
        <v>65.3</v>
      </c>
      <c r="N416" s="396">
        <v>599.79999999999995</v>
      </c>
      <c r="O416" s="396">
        <v>9.8000000000000007</v>
      </c>
      <c r="P416" s="396">
        <v>9.8000000000000007</v>
      </c>
      <c r="Q416" s="397">
        <v>0.28263888888888899</v>
      </c>
      <c r="R416" s="396"/>
      <c r="S416" s="410"/>
      <c r="T416" s="409"/>
      <c r="U416" s="398" t="str">
        <f t="shared" si="17"/>
        <v/>
      </c>
      <c r="V416" s="400"/>
      <c r="W416" s="410">
        <f t="shared" si="16"/>
        <v>9.8000000000000007</v>
      </c>
      <c r="X416" s="472" t="str">
        <f t="shared" si="18"/>
        <v/>
      </c>
      <c r="AT416" s="232"/>
      <c r="AV416" s="198"/>
      <c r="AW416" s="274"/>
    </row>
    <row r="417" spans="2:49" x14ac:dyDescent="0.25">
      <c r="B417" s="274">
        <v>11.2</v>
      </c>
      <c r="C417" s="274">
        <v>96</v>
      </c>
      <c r="D417" s="274">
        <v>11.2</v>
      </c>
      <c r="E417" s="274">
        <v>0.4</v>
      </c>
      <c r="F417" s="274">
        <v>1.8</v>
      </c>
      <c r="G417" s="274">
        <v>9</v>
      </c>
      <c r="H417" s="274">
        <v>1022.4</v>
      </c>
      <c r="I417" s="274">
        <v>0</v>
      </c>
      <c r="J417" s="274">
        <v>0</v>
      </c>
      <c r="K417" s="274">
        <v>0</v>
      </c>
      <c r="L417" s="274">
        <v>0</v>
      </c>
      <c r="M417" s="274">
        <v>65.3</v>
      </c>
      <c r="N417" s="396">
        <v>599.79999999999995</v>
      </c>
      <c r="O417" s="396">
        <v>9.8000000000000007</v>
      </c>
      <c r="P417" s="396">
        <v>9.8000000000000007</v>
      </c>
      <c r="Q417" s="397">
        <v>0.28333333333333299</v>
      </c>
      <c r="R417" s="396"/>
      <c r="S417" s="410"/>
      <c r="T417" s="409"/>
      <c r="U417" s="398" t="str">
        <f t="shared" si="17"/>
        <v/>
      </c>
      <c r="V417" s="400"/>
      <c r="W417" s="410">
        <f t="shared" si="16"/>
        <v>9.8000000000000007</v>
      </c>
      <c r="X417" s="472" t="str">
        <f t="shared" si="18"/>
        <v/>
      </c>
      <c r="AT417" s="232"/>
      <c r="AV417" s="198"/>
      <c r="AW417" s="274"/>
    </row>
    <row r="418" spans="2:49" x14ac:dyDescent="0.25">
      <c r="B418" s="274">
        <v>11.2</v>
      </c>
      <c r="C418" s="274">
        <v>96</v>
      </c>
      <c r="D418" s="274">
        <v>11.2</v>
      </c>
      <c r="E418" s="274">
        <v>1.4</v>
      </c>
      <c r="F418" s="274">
        <v>1.8</v>
      </c>
      <c r="G418" s="274">
        <v>9</v>
      </c>
      <c r="H418" s="274">
        <v>1022.4</v>
      </c>
      <c r="I418" s="274">
        <v>0</v>
      </c>
      <c r="J418" s="274">
        <v>0</v>
      </c>
      <c r="K418" s="274">
        <v>0</v>
      </c>
      <c r="L418" s="274">
        <v>0</v>
      </c>
      <c r="M418" s="274">
        <v>65.3</v>
      </c>
      <c r="N418" s="396">
        <v>599.79999999999995</v>
      </c>
      <c r="O418" s="396">
        <v>9.8000000000000007</v>
      </c>
      <c r="P418" s="396">
        <v>9.8000000000000007</v>
      </c>
      <c r="Q418" s="397">
        <v>0.28402777777777799</v>
      </c>
      <c r="R418" s="396"/>
      <c r="S418" s="410"/>
      <c r="T418" s="409"/>
      <c r="U418" s="398" t="str">
        <f t="shared" si="17"/>
        <v/>
      </c>
      <c r="V418" s="400"/>
      <c r="W418" s="410">
        <f t="shared" si="16"/>
        <v>9.8000000000000007</v>
      </c>
      <c r="X418" s="472" t="str">
        <f t="shared" si="18"/>
        <v/>
      </c>
      <c r="AT418" s="232"/>
      <c r="AV418" s="198"/>
      <c r="AW418" s="274"/>
    </row>
    <row r="419" spans="2:49" x14ac:dyDescent="0.25">
      <c r="B419" s="274">
        <v>11.2</v>
      </c>
      <c r="C419" s="274">
        <v>96</v>
      </c>
      <c r="D419" s="274">
        <v>11.2</v>
      </c>
      <c r="E419" s="274">
        <v>0</v>
      </c>
      <c r="F419" s="274">
        <v>0</v>
      </c>
      <c r="G419" s="274">
        <v>9</v>
      </c>
      <c r="H419" s="274">
        <v>1022.6</v>
      </c>
      <c r="I419" s="274">
        <v>0</v>
      </c>
      <c r="J419" s="274">
        <v>0</v>
      </c>
      <c r="K419" s="274">
        <v>0</v>
      </c>
      <c r="L419" s="274">
        <v>0</v>
      </c>
      <c r="M419" s="274">
        <v>65.3</v>
      </c>
      <c r="N419" s="396">
        <v>599.79999999999995</v>
      </c>
      <c r="O419" s="396">
        <v>9.8000000000000007</v>
      </c>
      <c r="P419" s="396">
        <v>9.8000000000000007</v>
      </c>
      <c r="Q419" s="397">
        <v>0.28472222222222199</v>
      </c>
      <c r="R419" s="396"/>
      <c r="S419" s="410"/>
      <c r="T419" s="409"/>
      <c r="U419" s="398" t="str">
        <f t="shared" si="17"/>
        <v/>
      </c>
      <c r="V419" s="400"/>
      <c r="W419" s="410">
        <f t="shared" si="16"/>
        <v>9.8000000000000007</v>
      </c>
      <c r="X419" s="472" t="str">
        <f t="shared" si="18"/>
        <v/>
      </c>
      <c r="AT419" s="232"/>
      <c r="AV419" s="198"/>
      <c r="AW419" s="274"/>
    </row>
    <row r="420" spans="2:49" x14ac:dyDescent="0.25">
      <c r="B420" s="274">
        <v>11.1</v>
      </c>
      <c r="C420" s="274">
        <v>96</v>
      </c>
      <c r="D420" s="274">
        <v>11.1</v>
      </c>
      <c r="E420" s="274">
        <v>0.4</v>
      </c>
      <c r="F420" s="274">
        <v>1.8</v>
      </c>
      <c r="G420" s="274">
        <v>9</v>
      </c>
      <c r="H420" s="274">
        <v>1022.6</v>
      </c>
      <c r="I420" s="274">
        <v>0</v>
      </c>
      <c r="J420" s="274">
        <v>0</v>
      </c>
      <c r="K420" s="274">
        <v>0</v>
      </c>
      <c r="L420" s="274">
        <v>0</v>
      </c>
      <c r="M420" s="274">
        <v>65.3</v>
      </c>
      <c r="N420" s="396">
        <v>599.79999999999995</v>
      </c>
      <c r="O420" s="396">
        <v>9.8000000000000007</v>
      </c>
      <c r="P420" s="396">
        <v>9.8000000000000007</v>
      </c>
      <c r="Q420" s="397">
        <v>0.28541666666666698</v>
      </c>
      <c r="R420" s="396"/>
      <c r="S420" s="410"/>
      <c r="T420" s="409"/>
      <c r="U420" s="398" t="str">
        <f t="shared" si="17"/>
        <v/>
      </c>
      <c r="V420" s="400"/>
      <c r="W420" s="410">
        <f t="shared" si="16"/>
        <v>9.8000000000000007</v>
      </c>
      <c r="X420" s="472" t="str">
        <f t="shared" si="18"/>
        <v/>
      </c>
      <c r="AT420" s="232"/>
      <c r="AV420" s="198"/>
      <c r="AW420" s="274"/>
    </row>
    <row r="421" spans="2:49" x14ac:dyDescent="0.25">
      <c r="B421" s="274">
        <v>11.1</v>
      </c>
      <c r="C421" s="274">
        <v>96</v>
      </c>
      <c r="D421" s="274">
        <v>11.1</v>
      </c>
      <c r="E421" s="274">
        <v>0</v>
      </c>
      <c r="F421" s="274">
        <v>0</v>
      </c>
      <c r="G421" s="274">
        <v>9</v>
      </c>
      <c r="H421" s="274">
        <v>1022.5</v>
      </c>
      <c r="I421" s="274">
        <v>0</v>
      </c>
      <c r="J421" s="274">
        <v>0</v>
      </c>
      <c r="K421" s="274">
        <v>0</v>
      </c>
      <c r="L421" s="274">
        <v>0</v>
      </c>
      <c r="M421" s="274">
        <v>65.3</v>
      </c>
      <c r="N421" s="396">
        <v>599.79999999999995</v>
      </c>
      <c r="O421" s="396">
        <v>9.8000000000000007</v>
      </c>
      <c r="P421" s="396">
        <v>9.8000000000000007</v>
      </c>
      <c r="Q421" s="397">
        <v>0.28611111111111098</v>
      </c>
      <c r="R421" s="396"/>
      <c r="S421" s="410"/>
      <c r="T421" s="409"/>
      <c r="U421" s="398" t="str">
        <f t="shared" si="17"/>
        <v/>
      </c>
      <c r="V421" s="400"/>
      <c r="W421" s="410">
        <f t="shared" si="16"/>
        <v>9.8000000000000007</v>
      </c>
      <c r="X421" s="472" t="str">
        <f t="shared" si="18"/>
        <v/>
      </c>
      <c r="AT421" s="232"/>
      <c r="AV421" s="198"/>
      <c r="AW421" s="274"/>
    </row>
    <row r="422" spans="2:49" x14ac:dyDescent="0.25">
      <c r="B422" s="274">
        <v>11.1</v>
      </c>
      <c r="C422" s="274">
        <v>96</v>
      </c>
      <c r="D422" s="274">
        <v>11.1</v>
      </c>
      <c r="E422" s="274">
        <v>0</v>
      </c>
      <c r="F422" s="274">
        <v>0</v>
      </c>
      <c r="G422" s="274">
        <v>9</v>
      </c>
      <c r="H422" s="274">
        <v>1022.5</v>
      </c>
      <c r="I422" s="274">
        <v>0</v>
      </c>
      <c r="J422" s="274">
        <v>0</v>
      </c>
      <c r="K422" s="274">
        <v>0</v>
      </c>
      <c r="L422" s="274">
        <v>0</v>
      </c>
      <c r="M422" s="274">
        <v>65.3</v>
      </c>
      <c r="N422" s="396">
        <v>599.79999999999995</v>
      </c>
      <c r="O422" s="396">
        <v>9.8000000000000007</v>
      </c>
      <c r="P422" s="396">
        <v>9.8000000000000007</v>
      </c>
      <c r="Q422" s="397">
        <v>0.28680555555555598</v>
      </c>
      <c r="R422" s="396"/>
      <c r="S422" s="410"/>
      <c r="T422" s="409"/>
      <c r="U422" s="398" t="str">
        <f t="shared" si="17"/>
        <v/>
      </c>
      <c r="V422" s="400"/>
      <c r="W422" s="410">
        <f t="shared" si="16"/>
        <v>9.8000000000000007</v>
      </c>
      <c r="X422" s="472" t="str">
        <f t="shared" si="18"/>
        <v/>
      </c>
      <c r="AT422" s="232"/>
      <c r="AV422" s="198"/>
      <c r="AW422" s="274"/>
    </row>
    <row r="423" spans="2:49" x14ac:dyDescent="0.25">
      <c r="B423" s="274">
        <v>11.1</v>
      </c>
      <c r="C423" s="274">
        <v>96</v>
      </c>
      <c r="D423" s="274">
        <v>11.1</v>
      </c>
      <c r="E423" s="274">
        <v>0</v>
      </c>
      <c r="F423" s="274">
        <v>0</v>
      </c>
      <c r="G423" s="274">
        <v>9</v>
      </c>
      <c r="H423" s="274">
        <v>1022.5</v>
      </c>
      <c r="I423" s="274">
        <v>0</v>
      </c>
      <c r="J423" s="274">
        <v>0</v>
      </c>
      <c r="K423" s="274">
        <v>0</v>
      </c>
      <c r="L423" s="274">
        <v>0</v>
      </c>
      <c r="M423" s="274">
        <v>65.3</v>
      </c>
      <c r="N423" s="396">
        <v>599.79999999999995</v>
      </c>
      <c r="O423" s="396">
        <v>9.8000000000000007</v>
      </c>
      <c r="P423" s="396">
        <v>9.8000000000000007</v>
      </c>
      <c r="Q423" s="397">
        <v>0.28749999999999998</v>
      </c>
      <c r="R423" s="396"/>
      <c r="S423" s="410"/>
      <c r="T423" s="409"/>
      <c r="U423" s="398" t="str">
        <f t="shared" si="17"/>
        <v/>
      </c>
      <c r="V423" s="400"/>
      <c r="W423" s="410">
        <f t="shared" si="16"/>
        <v>9.8000000000000007</v>
      </c>
      <c r="X423" s="472" t="str">
        <f t="shared" si="18"/>
        <v/>
      </c>
      <c r="AT423" s="232"/>
      <c r="AV423" s="198"/>
      <c r="AW423" s="274"/>
    </row>
    <row r="424" spans="2:49" x14ac:dyDescent="0.25">
      <c r="B424" s="274">
        <v>11</v>
      </c>
      <c r="C424" s="274">
        <v>96</v>
      </c>
      <c r="D424" s="274">
        <v>11</v>
      </c>
      <c r="E424" s="274">
        <v>0</v>
      </c>
      <c r="F424" s="274">
        <v>0</v>
      </c>
      <c r="G424" s="274">
        <v>9</v>
      </c>
      <c r="H424" s="274">
        <v>1022.6</v>
      </c>
      <c r="I424" s="274">
        <v>0</v>
      </c>
      <c r="J424" s="274">
        <v>0</v>
      </c>
      <c r="K424" s="274">
        <v>0</v>
      </c>
      <c r="L424" s="274">
        <v>0</v>
      </c>
      <c r="M424" s="274">
        <v>65.3</v>
      </c>
      <c r="N424" s="396">
        <v>599.79999999999995</v>
      </c>
      <c r="O424" s="396">
        <v>9.8000000000000007</v>
      </c>
      <c r="P424" s="396">
        <v>9.8000000000000007</v>
      </c>
      <c r="Q424" s="397">
        <v>0.28819444444444398</v>
      </c>
      <c r="R424" s="396"/>
      <c r="S424" s="410"/>
      <c r="T424" s="409"/>
      <c r="U424" s="398" t="str">
        <f t="shared" si="17"/>
        <v/>
      </c>
      <c r="V424" s="400"/>
      <c r="W424" s="410">
        <f t="shared" si="16"/>
        <v>9.8000000000000007</v>
      </c>
      <c r="X424" s="472" t="str">
        <f t="shared" si="18"/>
        <v/>
      </c>
      <c r="AT424" s="232"/>
      <c r="AV424" s="198"/>
      <c r="AW424" s="274"/>
    </row>
    <row r="425" spans="2:49" x14ac:dyDescent="0.25">
      <c r="B425" s="274">
        <v>11</v>
      </c>
      <c r="C425" s="274">
        <v>96</v>
      </c>
      <c r="D425" s="274">
        <v>11</v>
      </c>
      <c r="E425" s="274">
        <v>0</v>
      </c>
      <c r="F425" s="274">
        <v>0</v>
      </c>
      <c r="G425" s="274">
        <v>9</v>
      </c>
      <c r="H425" s="274">
        <v>1022.6</v>
      </c>
      <c r="I425" s="274">
        <v>0</v>
      </c>
      <c r="J425" s="274">
        <v>0</v>
      </c>
      <c r="K425" s="274">
        <v>0</v>
      </c>
      <c r="L425" s="274">
        <v>0</v>
      </c>
      <c r="M425" s="274">
        <v>65.3</v>
      </c>
      <c r="N425" s="396">
        <v>599.79999999999995</v>
      </c>
      <c r="O425" s="396">
        <v>9.8000000000000007</v>
      </c>
      <c r="P425" s="396">
        <v>9.8000000000000007</v>
      </c>
      <c r="Q425" s="397">
        <v>0.28888888888888897</v>
      </c>
      <c r="R425" s="396"/>
      <c r="S425" s="410"/>
      <c r="T425" s="409"/>
      <c r="U425" s="398" t="str">
        <f t="shared" si="17"/>
        <v/>
      </c>
      <c r="V425" s="400"/>
      <c r="W425" s="410">
        <f t="shared" si="16"/>
        <v>9.8000000000000007</v>
      </c>
      <c r="X425" s="472" t="str">
        <f t="shared" si="18"/>
        <v/>
      </c>
      <c r="AT425" s="232"/>
      <c r="AV425" s="198"/>
      <c r="AW425" s="274"/>
    </row>
    <row r="426" spans="2:49" x14ac:dyDescent="0.25">
      <c r="B426" s="274">
        <v>10.9</v>
      </c>
      <c r="C426" s="274">
        <v>96</v>
      </c>
      <c r="D426" s="274">
        <v>10.9</v>
      </c>
      <c r="E426" s="274">
        <v>0</v>
      </c>
      <c r="F426" s="274">
        <v>0</v>
      </c>
      <c r="G426" s="274">
        <v>9</v>
      </c>
      <c r="H426" s="274">
        <v>1022.7</v>
      </c>
      <c r="I426" s="274">
        <v>0</v>
      </c>
      <c r="J426" s="274">
        <v>0</v>
      </c>
      <c r="K426" s="274">
        <v>0</v>
      </c>
      <c r="L426" s="274">
        <v>0</v>
      </c>
      <c r="M426" s="274">
        <v>65.3</v>
      </c>
      <c r="N426" s="396">
        <v>599.79999999999995</v>
      </c>
      <c r="O426" s="396">
        <v>9.6999999999999993</v>
      </c>
      <c r="P426" s="396">
        <v>9.6999999999999993</v>
      </c>
      <c r="Q426" s="397">
        <v>0.28958333333333303</v>
      </c>
      <c r="R426" s="396"/>
      <c r="S426" s="410"/>
      <c r="T426" s="409"/>
      <c r="U426" s="398" t="str">
        <f t="shared" si="17"/>
        <v/>
      </c>
      <c r="V426" s="400"/>
      <c r="W426" s="410">
        <f t="shared" si="16"/>
        <v>9.6999999999999993</v>
      </c>
      <c r="X426" s="472" t="str">
        <f t="shared" si="18"/>
        <v/>
      </c>
      <c r="AT426" s="232"/>
      <c r="AV426" s="198"/>
      <c r="AW426" s="274"/>
    </row>
    <row r="427" spans="2:49" x14ac:dyDescent="0.25">
      <c r="B427" s="274">
        <v>10.9</v>
      </c>
      <c r="C427" s="274">
        <v>96</v>
      </c>
      <c r="D427" s="274">
        <v>10.9</v>
      </c>
      <c r="E427" s="274">
        <v>0</v>
      </c>
      <c r="F427" s="274">
        <v>0</v>
      </c>
      <c r="G427" s="274">
        <v>9</v>
      </c>
      <c r="H427" s="274">
        <v>1022.7</v>
      </c>
      <c r="I427" s="274">
        <v>0</v>
      </c>
      <c r="J427" s="274">
        <v>0</v>
      </c>
      <c r="K427" s="274">
        <v>0</v>
      </c>
      <c r="L427" s="274">
        <v>0</v>
      </c>
      <c r="M427" s="274">
        <v>65.3</v>
      </c>
      <c r="N427" s="396">
        <v>599.79999999999995</v>
      </c>
      <c r="O427" s="396">
        <v>9.6999999999999993</v>
      </c>
      <c r="P427" s="396">
        <v>9.6999999999999993</v>
      </c>
      <c r="Q427" s="397">
        <v>0.29027777777777802</v>
      </c>
      <c r="R427" s="396"/>
      <c r="S427" s="410"/>
      <c r="T427" s="409"/>
      <c r="U427" s="398" t="str">
        <f t="shared" si="17"/>
        <v/>
      </c>
      <c r="V427" s="400"/>
      <c r="W427" s="410">
        <f t="shared" si="16"/>
        <v>9.6999999999999993</v>
      </c>
      <c r="X427" s="472" t="str">
        <f t="shared" si="18"/>
        <v/>
      </c>
      <c r="AT427" s="232"/>
      <c r="AV427" s="198"/>
      <c r="AW427" s="274"/>
    </row>
    <row r="428" spans="2:49" x14ac:dyDescent="0.25">
      <c r="B428" s="274">
        <v>10.9</v>
      </c>
      <c r="C428" s="274">
        <v>96</v>
      </c>
      <c r="D428" s="274">
        <v>10.9</v>
      </c>
      <c r="E428" s="274">
        <v>0</v>
      </c>
      <c r="F428" s="274">
        <v>0</v>
      </c>
      <c r="G428" s="274">
        <v>9</v>
      </c>
      <c r="H428" s="274">
        <v>1022.5</v>
      </c>
      <c r="I428" s="274">
        <v>0</v>
      </c>
      <c r="J428" s="274">
        <v>0</v>
      </c>
      <c r="K428" s="274">
        <v>0</v>
      </c>
      <c r="L428" s="274">
        <v>0</v>
      </c>
      <c r="M428" s="274">
        <v>65.3</v>
      </c>
      <c r="N428" s="396">
        <v>599.79999999999995</v>
      </c>
      <c r="O428" s="396">
        <v>9.6999999999999993</v>
      </c>
      <c r="P428" s="396">
        <v>9.6999999999999993</v>
      </c>
      <c r="Q428" s="397">
        <v>0.29097222222222202</v>
      </c>
      <c r="R428" s="396"/>
      <c r="S428" s="410"/>
      <c r="T428" s="409"/>
      <c r="U428" s="398" t="str">
        <f t="shared" si="17"/>
        <v/>
      </c>
      <c r="V428" s="400"/>
      <c r="W428" s="410">
        <f t="shared" si="16"/>
        <v>9.6999999999999993</v>
      </c>
      <c r="X428" s="472" t="str">
        <f t="shared" si="18"/>
        <v/>
      </c>
      <c r="AT428" s="232"/>
      <c r="AV428" s="198"/>
      <c r="AW428" s="274"/>
    </row>
    <row r="429" spans="2:49" x14ac:dyDescent="0.25">
      <c r="B429" s="274">
        <v>10.9</v>
      </c>
      <c r="C429" s="274">
        <v>96</v>
      </c>
      <c r="D429" s="274">
        <v>10.9</v>
      </c>
      <c r="E429" s="274">
        <v>0</v>
      </c>
      <c r="F429" s="274">
        <v>0</v>
      </c>
      <c r="G429" s="274">
        <v>9</v>
      </c>
      <c r="H429" s="274">
        <v>1022.5</v>
      </c>
      <c r="I429" s="274">
        <v>0</v>
      </c>
      <c r="J429" s="274">
        <v>0</v>
      </c>
      <c r="K429" s="274">
        <v>0</v>
      </c>
      <c r="L429" s="274">
        <v>0</v>
      </c>
      <c r="M429" s="274">
        <v>65.3</v>
      </c>
      <c r="N429" s="396">
        <v>599.79999999999995</v>
      </c>
      <c r="O429" s="396">
        <v>9.6999999999999993</v>
      </c>
      <c r="P429" s="396">
        <v>9.6999999999999993</v>
      </c>
      <c r="Q429" s="397">
        <v>0.29166666666666702</v>
      </c>
      <c r="R429" s="396"/>
      <c r="S429" s="410"/>
      <c r="T429" s="409"/>
      <c r="U429" s="398" t="str">
        <f t="shared" si="17"/>
        <v/>
      </c>
      <c r="V429" s="400"/>
      <c r="W429" s="410">
        <f t="shared" si="16"/>
        <v>9.6999999999999993</v>
      </c>
      <c r="X429" s="472" t="str">
        <f t="shared" si="18"/>
        <v/>
      </c>
      <c r="AT429" s="232"/>
      <c r="AV429" s="198"/>
      <c r="AW429" s="274"/>
    </row>
    <row r="430" spans="2:49" x14ac:dyDescent="0.25">
      <c r="B430" s="274">
        <v>10.8</v>
      </c>
      <c r="C430" s="274">
        <v>96</v>
      </c>
      <c r="D430" s="274">
        <v>10.8</v>
      </c>
      <c r="E430" s="274">
        <v>0</v>
      </c>
      <c r="F430" s="274">
        <v>0</v>
      </c>
      <c r="G430" s="274">
        <v>9</v>
      </c>
      <c r="H430" s="274">
        <v>1022.4</v>
      </c>
      <c r="I430" s="274">
        <v>0</v>
      </c>
      <c r="J430" s="274">
        <v>0</v>
      </c>
      <c r="K430" s="274">
        <v>0</v>
      </c>
      <c r="L430" s="274">
        <v>0</v>
      </c>
      <c r="M430" s="274">
        <v>65.3</v>
      </c>
      <c r="N430" s="396">
        <v>599.79999999999995</v>
      </c>
      <c r="O430" s="396">
        <v>9.6</v>
      </c>
      <c r="P430" s="396">
        <v>9.6999999999999993</v>
      </c>
      <c r="Q430" s="397">
        <v>0.29236111111111102</v>
      </c>
      <c r="R430" s="396"/>
      <c r="S430" s="410"/>
      <c r="T430" s="409"/>
      <c r="U430" s="398" t="str">
        <f t="shared" si="17"/>
        <v/>
      </c>
      <c r="V430" s="400"/>
      <c r="W430" s="410">
        <f t="shared" si="16"/>
        <v>9.6999999999999993</v>
      </c>
      <c r="X430" s="472" t="str">
        <f t="shared" si="18"/>
        <v/>
      </c>
      <c r="AT430" s="232"/>
      <c r="AV430" s="198"/>
      <c r="AW430" s="274"/>
    </row>
    <row r="431" spans="2:49" x14ac:dyDescent="0.25">
      <c r="B431" s="274">
        <v>10.8</v>
      </c>
      <c r="C431" s="274">
        <v>96</v>
      </c>
      <c r="D431" s="274">
        <v>10.8</v>
      </c>
      <c r="E431" s="274">
        <v>0</v>
      </c>
      <c r="F431" s="274">
        <v>0</v>
      </c>
      <c r="G431" s="274">
        <v>9</v>
      </c>
      <c r="H431" s="274">
        <v>1022.6</v>
      </c>
      <c r="I431" s="274">
        <v>0</v>
      </c>
      <c r="J431" s="274">
        <v>0</v>
      </c>
      <c r="K431" s="274">
        <v>0</v>
      </c>
      <c r="L431" s="274">
        <v>0</v>
      </c>
      <c r="M431" s="274">
        <v>65.3</v>
      </c>
      <c r="N431" s="396">
        <v>599.79999999999995</v>
      </c>
      <c r="O431" s="396">
        <v>9.6</v>
      </c>
      <c r="P431" s="396">
        <v>9.6999999999999993</v>
      </c>
      <c r="Q431" s="397">
        <v>0.29305555555555601</v>
      </c>
      <c r="R431" s="396"/>
      <c r="S431" s="410"/>
      <c r="T431" s="409"/>
      <c r="U431" s="398" t="str">
        <f t="shared" si="17"/>
        <v/>
      </c>
      <c r="V431" s="400"/>
      <c r="W431" s="410">
        <f t="shared" si="16"/>
        <v>9.6999999999999993</v>
      </c>
      <c r="X431" s="472" t="str">
        <f t="shared" si="18"/>
        <v/>
      </c>
      <c r="AT431" s="232"/>
      <c r="AV431" s="198"/>
      <c r="AW431" s="274"/>
    </row>
    <row r="432" spans="2:49" x14ac:dyDescent="0.25">
      <c r="B432" s="274">
        <v>10.8</v>
      </c>
      <c r="C432" s="274">
        <v>96</v>
      </c>
      <c r="D432" s="274">
        <v>10.8</v>
      </c>
      <c r="E432" s="274">
        <v>0.4</v>
      </c>
      <c r="F432" s="274">
        <v>1.8</v>
      </c>
      <c r="G432" s="274">
        <v>9</v>
      </c>
      <c r="H432" s="274">
        <v>1022.6</v>
      </c>
      <c r="I432" s="274">
        <v>0</v>
      </c>
      <c r="J432" s="274">
        <v>0</v>
      </c>
      <c r="K432" s="274">
        <v>0</v>
      </c>
      <c r="L432" s="274">
        <v>0</v>
      </c>
      <c r="M432" s="274">
        <v>65.3</v>
      </c>
      <c r="N432" s="396">
        <v>599.79999999999995</v>
      </c>
      <c r="O432" s="396">
        <v>9.6</v>
      </c>
      <c r="P432" s="396">
        <v>9.6999999999999993</v>
      </c>
      <c r="Q432" s="397">
        <v>0.29375000000000001</v>
      </c>
      <c r="R432" s="396"/>
      <c r="S432" s="410"/>
      <c r="T432" s="409"/>
      <c r="U432" s="398" t="str">
        <f t="shared" si="17"/>
        <v/>
      </c>
      <c r="V432" s="400"/>
      <c r="W432" s="410">
        <f t="shared" si="16"/>
        <v>9.6999999999999993</v>
      </c>
      <c r="X432" s="472" t="str">
        <f t="shared" si="18"/>
        <v/>
      </c>
      <c r="AT432" s="232"/>
      <c r="AV432" s="198"/>
      <c r="AW432" s="274"/>
    </row>
    <row r="433" spans="2:49" x14ac:dyDescent="0.25">
      <c r="B433" s="274">
        <v>10.8</v>
      </c>
      <c r="C433" s="274">
        <v>96</v>
      </c>
      <c r="D433" s="274">
        <v>10.8</v>
      </c>
      <c r="E433" s="274">
        <v>0</v>
      </c>
      <c r="F433" s="274">
        <v>0</v>
      </c>
      <c r="G433" s="274">
        <v>9</v>
      </c>
      <c r="H433" s="274">
        <v>1022.5</v>
      </c>
      <c r="I433" s="274">
        <v>0</v>
      </c>
      <c r="J433" s="274">
        <v>0</v>
      </c>
      <c r="K433" s="274">
        <v>0</v>
      </c>
      <c r="L433" s="274">
        <v>0</v>
      </c>
      <c r="M433" s="274">
        <v>65.3</v>
      </c>
      <c r="N433" s="396">
        <v>599.79999999999995</v>
      </c>
      <c r="O433" s="396">
        <v>9.6</v>
      </c>
      <c r="P433" s="396">
        <v>9.6</v>
      </c>
      <c r="Q433" s="397">
        <v>0.29444444444444401</v>
      </c>
      <c r="R433" s="396"/>
      <c r="S433" s="410"/>
      <c r="T433" s="409"/>
      <c r="U433" s="398" t="str">
        <f t="shared" si="17"/>
        <v/>
      </c>
      <c r="V433" s="400"/>
      <c r="W433" s="410">
        <f t="shared" si="16"/>
        <v>9.6</v>
      </c>
      <c r="X433" s="472" t="str">
        <f t="shared" si="18"/>
        <v/>
      </c>
      <c r="AT433" s="232"/>
      <c r="AV433" s="198"/>
      <c r="AW433" s="274"/>
    </row>
    <row r="434" spans="2:49" x14ac:dyDescent="0.25">
      <c r="B434" s="274">
        <v>10.8</v>
      </c>
      <c r="C434" s="274">
        <v>96</v>
      </c>
      <c r="D434" s="274">
        <v>10.8</v>
      </c>
      <c r="E434" s="274">
        <v>0</v>
      </c>
      <c r="F434" s="274">
        <v>0</v>
      </c>
      <c r="G434" s="274">
        <v>9</v>
      </c>
      <c r="H434" s="274">
        <v>1022.7</v>
      </c>
      <c r="I434" s="274">
        <v>0</v>
      </c>
      <c r="J434" s="274">
        <v>0</v>
      </c>
      <c r="K434" s="274">
        <v>0</v>
      </c>
      <c r="L434" s="274">
        <v>0</v>
      </c>
      <c r="M434" s="274">
        <v>65.3</v>
      </c>
      <c r="N434" s="396">
        <v>599.79999999999995</v>
      </c>
      <c r="O434" s="396">
        <v>9.6</v>
      </c>
      <c r="P434" s="396">
        <v>9.6</v>
      </c>
      <c r="Q434" s="397">
        <v>0.29513888888888901</v>
      </c>
      <c r="R434" s="396"/>
      <c r="S434" s="410"/>
      <c r="T434" s="409"/>
      <c r="U434" s="398" t="str">
        <f t="shared" si="17"/>
        <v/>
      </c>
      <c r="V434" s="400"/>
      <c r="W434" s="410">
        <f t="shared" ref="W434:W497" si="19">MAX(O434:P434)</f>
        <v>9.6</v>
      </c>
      <c r="X434" s="472" t="str">
        <f t="shared" si="18"/>
        <v/>
      </c>
      <c r="AT434" s="232"/>
      <c r="AV434" s="198"/>
      <c r="AW434" s="274"/>
    </row>
    <row r="435" spans="2:49" x14ac:dyDescent="0.25">
      <c r="B435" s="274">
        <v>10.8</v>
      </c>
      <c r="C435" s="274">
        <v>96</v>
      </c>
      <c r="D435" s="274">
        <v>10.8</v>
      </c>
      <c r="E435" s="274">
        <v>0</v>
      </c>
      <c r="F435" s="274">
        <v>0</v>
      </c>
      <c r="G435" s="274">
        <v>9</v>
      </c>
      <c r="H435" s="274">
        <v>1022.7</v>
      </c>
      <c r="I435" s="274">
        <v>0</v>
      </c>
      <c r="J435" s="274">
        <v>0</v>
      </c>
      <c r="K435" s="274">
        <v>0</v>
      </c>
      <c r="L435" s="274">
        <v>0</v>
      </c>
      <c r="M435" s="274">
        <v>65.3</v>
      </c>
      <c r="N435" s="396">
        <v>599.79999999999995</v>
      </c>
      <c r="O435" s="396">
        <v>9.6</v>
      </c>
      <c r="P435" s="396">
        <v>9.6</v>
      </c>
      <c r="Q435" s="397">
        <v>0.295833333333333</v>
      </c>
      <c r="R435" s="396"/>
      <c r="S435" s="410"/>
      <c r="T435" s="409"/>
      <c r="U435" s="398" t="str">
        <f t="shared" si="17"/>
        <v/>
      </c>
      <c r="V435" s="400"/>
      <c r="W435" s="410">
        <f t="shared" si="19"/>
        <v>9.6</v>
      </c>
      <c r="X435" s="472" t="str">
        <f t="shared" si="18"/>
        <v/>
      </c>
      <c r="AT435" s="232"/>
      <c r="AV435" s="198"/>
      <c r="AW435" s="274"/>
    </row>
    <row r="436" spans="2:49" x14ac:dyDescent="0.25">
      <c r="B436" s="274">
        <v>10.8</v>
      </c>
      <c r="C436" s="274">
        <v>96</v>
      </c>
      <c r="D436" s="274">
        <v>10.8</v>
      </c>
      <c r="E436" s="274">
        <v>0</v>
      </c>
      <c r="F436" s="274">
        <v>0</v>
      </c>
      <c r="G436" s="274">
        <v>9</v>
      </c>
      <c r="H436" s="274">
        <v>1022.5</v>
      </c>
      <c r="I436" s="274">
        <v>0</v>
      </c>
      <c r="J436" s="274">
        <v>0</v>
      </c>
      <c r="K436" s="274">
        <v>0</v>
      </c>
      <c r="L436" s="274">
        <v>0</v>
      </c>
      <c r="M436" s="274">
        <v>65.3</v>
      </c>
      <c r="N436" s="396">
        <v>599.79999999999995</v>
      </c>
      <c r="O436" s="396">
        <v>9.6</v>
      </c>
      <c r="P436" s="396">
        <v>9.6</v>
      </c>
      <c r="Q436" s="397">
        <v>0.296527777777778</v>
      </c>
      <c r="R436" s="396"/>
      <c r="S436" s="410"/>
      <c r="T436" s="409"/>
      <c r="U436" s="398" t="str">
        <f t="shared" si="17"/>
        <v/>
      </c>
      <c r="V436" s="400"/>
      <c r="W436" s="410">
        <f t="shared" si="19"/>
        <v>9.6</v>
      </c>
      <c r="X436" s="472" t="str">
        <f t="shared" si="18"/>
        <v/>
      </c>
      <c r="AT436" s="232"/>
      <c r="AV436" s="198"/>
      <c r="AW436" s="274"/>
    </row>
    <row r="437" spans="2:49" x14ac:dyDescent="0.25">
      <c r="B437" s="274">
        <v>10.8</v>
      </c>
      <c r="C437" s="274">
        <v>96</v>
      </c>
      <c r="D437" s="274">
        <v>10.8</v>
      </c>
      <c r="E437" s="274">
        <v>0</v>
      </c>
      <c r="F437" s="274">
        <v>0</v>
      </c>
      <c r="G437" s="274">
        <v>9</v>
      </c>
      <c r="H437" s="274">
        <v>1022.8</v>
      </c>
      <c r="I437" s="274">
        <v>0</v>
      </c>
      <c r="J437" s="274">
        <v>0</v>
      </c>
      <c r="K437" s="274">
        <v>0</v>
      </c>
      <c r="L437" s="274">
        <v>0</v>
      </c>
      <c r="M437" s="274">
        <v>65.3</v>
      </c>
      <c r="N437" s="396">
        <v>599.79999999999995</v>
      </c>
      <c r="O437" s="396">
        <v>9.5</v>
      </c>
      <c r="P437" s="396">
        <v>9.6</v>
      </c>
      <c r="Q437" s="397">
        <v>0.297222222222222</v>
      </c>
      <c r="R437" s="396"/>
      <c r="S437" s="410"/>
      <c r="T437" s="409"/>
      <c r="U437" s="398" t="str">
        <f t="shared" si="17"/>
        <v/>
      </c>
      <c r="V437" s="400"/>
      <c r="W437" s="410">
        <f t="shared" si="19"/>
        <v>9.6</v>
      </c>
      <c r="X437" s="472" t="str">
        <f t="shared" si="18"/>
        <v/>
      </c>
      <c r="AT437" s="232"/>
      <c r="AV437" s="198"/>
      <c r="AW437" s="274"/>
    </row>
    <row r="438" spans="2:49" x14ac:dyDescent="0.25">
      <c r="B438" s="274">
        <v>10.7</v>
      </c>
      <c r="C438" s="274">
        <v>96</v>
      </c>
      <c r="D438" s="274">
        <v>10.7</v>
      </c>
      <c r="E438" s="274">
        <v>0</v>
      </c>
      <c r="F438" s="274">
        <v>0</v>
      </c>
      <c r="G438" s="274">
        <v>9</v>
      </c>
      <c r="H438" s="274">
        <v>1022.6</v>
      </c>
      <c r="I438" s="274">
        <v>0</v>
      </c>
      <c r="J438" s="274">
        <v>0</v>
      </c>
      <c r="K438" s="274">
        <v>0</v>
      </c>
      <c r="L438" s="274">
        <v>0</v>
      </c>
      <c r="M438" s="274">
        <v>65.3</v>
      </c>
      <c r="N438" s="396">
        <v>599.79999999999995</v>
      </c>
      <c r="O438" s="396">
        <v>9.5</v>
      </c>
      <c r="P438" s="396">
        <v>9.6</v>
      </c>
      <c r="Q438" s="397">
        <v>0.297916666666667</v>
      </c>
      <c r="R438" s="396"/>
      <c r="S438" s="410"/>
      <c r="T438" s="409"/>
      <c r="U438" s="398" t="str">
        <f t="shared" si="17"/>
        <v/>
      </c>
      <c r="V438" s="400"/>
      <c r="W438" s="410">
        <f t="shared" si="19"/>
        <v>9.6</v>
      </c>
      <c r="X438" s="472" t="str">
        <f t="shared" si="18"/>
        <v/>
      </c>
      <c r="AT438" s="232"/>
      <c r="AV438" s="198"/>
      <c r="AW438" s="274"/>
    </row>
    <row r="439" spans="2:49" x14ac:dyDescent="0.25">
      <c r="B439" s="274">
        <v>10.7</v>
      </c>
      <c r="C439" s="274">
        <v>96</v>
      </c>
      <c r="D439" s="274">
        <v>10.7</v>
      </c>
      <c r="E439" s="274">
        <v>1.4</v>
      </c>
      <c r="F439" s="274">
        <v>1.8</v>
      </c>
      <c r="G439" s="274">
        <v>9</v>
      </c>
      <c r="H439" s="274">
        <v>1022.5</v>
      </c>
      <c r="I439" s="274">
        <v>0</v>
      </c>
      <c r="J439" s="274">
        <v>0</v>
      </c>
      <c r="K439" s="274">
        <v>0</v>
      </c>
      <c r="L439" s="274">
        <v>0</v>
      </c>
      <c r="M439" s="274">
        <v>65.3</v>
      </c>
      <c r="N439" s="396">
        <v>599.79999999999995</v>
      </c>
      <c r="O439" s="396">
        <v>9.5</v>
      </c>
      <c r="P439" s="396">
        <v>9.6</v>
      </c>
      <c r="Q439" s="397">
        <v>0.29861111111111099</v>
      </c>
      <c r="R439" s="396"/>
      <c r="S439" s="410"/>
      <c r="T439" s="409"/>
      <c r="U439" s="398" t="str">
        <f t="shared" si="17"/>
        <v/>
      </c>
      <c r="V439" s="400"/>
      <c r="W439" s="410">
        <f t="shared" si="19"/>
        <v>9.6</v>
      </c>
      <c r="X439" s="472" t="str">
        <f t="shared" si="18"/>
        <v/>
      </c>
      <c r="AT439" s="232"/>
      <c r="AV439" s="198"/>
      <c r="AW439" s="274"/>
    </row>
    <row r="440" spans="2:49" x14ac:dyDescent="0.25">
      <c r="B440" s="274">
        <v>10.7</v>
      </c>
      <c r="C440" s="274">
        <v>96</v>
      </c>
      <c r="D440" s="274">
        <v>10.7</v>
      </c>
      <c r="E440" s="274">
        <v>0</v>
      </c>
      <c r="F440" s="274">
        <v>0</v>
      </c>
      <c r="G440" s="274">
        <v>9</v>
      </c>
      <c r="H440" s="274">
        <v>1022.5</v>
      </c>
      <c r="I440" s="274">
        <v>0</v>
      </c>
      <c r="J440" s="274">
        <v>0</v>
      </c>
      <c r="K440" s="274">
        <v>0</v>
      </c>
      <c r="L440" s="274">
        <v>0</v>
      </c>
      <c r="M440" s="274">
        <v>65.3</v>
      </c>
      <c r="N440" s="396">
        <v>599.79999999999995</v>
      </c>
      <c r="O440" s="396">
        <v>9.5</v>
      </c>
      <c r="P440" s="396">
        <v>9.5</v>
      </c>
      <c r="Q440" s="397">
        <v>0.29930555555555599</v>
      </c>
      <c r="R440" s="396"/>
      <c r="S440" s="410"/>
      <c r="T440" s="409"/>
      <c r="U440" s="398" t="str">
        <f t="shared" si="17"/>
        <v/>
      </c>
      <c r="V440" s="400"/>
      <c r="W440" s="410">
        <f t="shared" si="19"/>
        <v>9.5</v>
      </c>
      <c r="X440" s="472" t="str">
        <f t="shared" si="18"/>
        <v/>
      </c>
      <c r="AT440" s="232"/>
      <c r="AV440" s="198"/>
      <c r="AW440" s="274"/>
    </row>
    <row r="441" spans="2:49" x14ac:dyDescent="0.25">
      <c r="B441" s="274">
        <v>10.7</v>
      </c>
      <c r="C441" s="274">
        <v>96</v>
      </c>
      <c r="D441" s="274">
        <v>10.7</v>
      </c>
      <c r="E441" s="274">
        <v>0</v>
      </c>
      <c r="F441" s="274">
        <v>0</v>
      </c>
      <c r="G441" s="274">
        <v>9</v>
      </c>
      <c r="H441" s="274">
        <v>1022.7</v>
      </c>
      <c r="I441" s="274">
        <v>0</v>
      </c>
      <c r="J441" s="274">
        <v>0</v>
      </c>
      <c r="K441" s="274">
        <v>0</v>
      </c>
      <c r="L441" s="274">
        <v>0</v>
      </c>
      <c r="M441" s="274">
        <v>65.3</v>
      </c>
      <c r="N441" s="396">
        <v>599.79999999999995</v>
      </c>
      <c r="O441" s="396">
        <v>9.5</v>
      </c>
      <c r="P441" s="396">
        <v>9.5</v>
      </c>
      <c r="Q441" s="397">
        <v>0.3</v>
      </c>
      <c r="R441" s="396"/>
      <c r="S441" s="410"/>
      <c r="T441" s="409"/>
      <c r="U441" s="398" t="str">
        <f t="shared" si="17"/>
        <v/>
      </c>
      <c r="V441" s="400"/>
      <c r="W441" s="410">
        <f t="shared" si="19"/>
        <v>9.5</v>
      </c>
      <c r="X441" s="472" t="str">
        <f t="shared" si="18"/>
        <v/>
      </c>
      <c r="AT441" s="232"/>
      <c r="AV441" s="198"/>
      <c r="AW441" s="274"/>
    </row>
    <row r="442" spans="2:49" x14ac:dyDescent="0.25">
      <c r="B442" s="274">
        <v>10.7</v>
      </c>
      <c r="C442" s="274">
        <v>96</v>
      </c>
      <c r="D442" s="274">
        <v>10.7</v>
      </c>
      <c r="E442" s="274">
        <v>0.4</v>
      </c>
      <c r="F442" s="274">
        <v>1.8</v>
      </c>
      <c r="G442" s="274">
        <v>9</v>
      </c>
      <c r="H442" s="274">
        <v>1022.7</v>
      </c>
      <c r="I442" s="274">
        <v>0</v>
      </c>
      <c r="J442" s="274">
        <v>0</v>
      </c>
      <c r="K442" s="274">
        <v>0</v>
      </c>
      <c r="L442" s="274">
        <v>0</v>
      </c>
      <c r="M442" s="274">
        <v>65.3</v>
      </c>
      <c r="N442" s="396">
        <v>599.79999999999995</v>
      </c>
      <c r="O442" s="396">
        <v>9.5</v>
      </c>
      <c r="P442" s="396">
        <v>9.5</v>
      </c>
      <c r="Q442" s="397">
        <v>0.30069444444444399</v>
      </c>
      <c r="R442" s="396"/>
      <c r="S442" s="410"/>
      <c r="T442" s="409"/>
      <c r="U442" s="398" t="str">
        <f t="shared" si="17"/>
        <v/>
      </c>
      <c r="V442" s="400"/>
      <c r="W442" s="410">
        <f t="shared" si="19"/>
        <v>9.5</v>
      </c>
      <c r="X442" s="472" t="str">
        <f t="shared" si="18"/>
        <v/>
      </c>
      <c r="AT442" s="232"/>
      <c r="AV442" s="198"/>
      <c r="AW442" s="274"/>
    </row>
    <row r="443" spans="2:49" x14ac:dyDescent="0.25">
      <c r="B443" s="274">
        <v>10.7</v>
      </c>
      <c r="C443" s="274">
        <v>96</v>
      </c>
      <c r="D443" s="274">
        <v>10.7</v>
      </c>
      <c r="E443" s="274">
        <v>0</v>
      </c>
      <c r="F443" s="274">
        <v>0</v>
      </c>
      <c r="G443" s="274">
        <v>9</v>
      </c>
      <c r="H443" s="274">
        <v>1022.6</v>
      </c>
      <c r="I443" s="274">
        <v>0</v>
      </c>
      <c r="J443" s="274">
        <v>0</v>
      </c>
      <c r="K443" s="274">
        <v>0</v>
      </c>
      <c r="L443" s="274">
        <v>0</v>
      </c>
      <c r="M443" s="274">
        <v>65.3</v>
      </c>
      <c r="N443" s="396">
        <v>599.79999999999995</v>
      </c>
      <c r="O443" s="396">
        <v>9.5</v>
      </c>
      <c r="P443" s="396">
        <v>9.5</v>
      </c>
      <c r="Q443" s="397">
        <v>0.30138888888888898</v>
      </c>
      <c r="R443" s="396"/>
      <c r="S443" s="410"/>
      <c r="T443" s="409"/>
      <c r="U443" s="398" t="str">
        <f t="shared" si="17"/>
        <v/>
      </c>
      <c r="V443" s="400"/>
      <c r="W443" s="410">
        <f t="shared" si="19"/>
        <v>9.5</v>
      </c>
      <c r="X443" s="472" t="str">
        <f t="shared" si="18"/>
        <v/>
      </c>
      <c r="AT443" s="232"/>
      <c r="AV443" s="198"/>
      <c r="AW443" s="274"/>
    </row>
    <row r="444" spans="2:49" x14ac:dyDescent="0.25">
      <c r="B444" s="274">
        <v>10.7</v>
      </c>
      <c r="C444" s="274">
        <v>96</v>
      </c>
      <c r="D444" s="274">
        <v>10.7</v>
      </c>
      <c r="E444" s="274">
        <v>0</v>
      </c>
      <c r="F444" s="274">
        <v>0</v>
      </c>
      <c r="G444" s="274">
        <v>9</v>
      </c>
      <c r="H444" s="274">
        <v>1022.7</v>
      </c>
      <c r="I444" s="274">
        <v>0</v>
      </c>
      <c r="J444" s="274">
        <v>0</v>
      </c>
      <c r="K444" s="274">
        <v>0</v>
      </c>
      <c r="L444" s="274">
        <v>0</v>
      </c>
      <c r="M444" s="274">
        <v>65.3</v>
      </c>
      <c r="N444" s="396">
        <v>599.79999999999995</v>
      </c>
      <c r="O444" s="396">
        <v>9.5</v>
      </c>
      <c r="P444" s="396">
        <v>9.5</v>
      </c>
      <c r="Q444" s="397">
        <v>0.30208333333333298</v>
      </c>
      <c r="R444" s="396"/>
      <c r="S444" s="410"/>
      <c r="T444" s="409"/>
      <c r="U444" s="398" t="str">
        <f t="shared" si="17"/>
        <v/>
      </c>
      <c r="V444" s="400"/>
      <c r="W444" s="410">
        <f t="shared" si="19"/>
        <v>9.5</v>
      </c>
      <c r="X444" s="472" t="str">
        <f t="shared" si="18"/>
        <v/>
      </c>
      <c r="AT444" s="232"/>
      <c r="AV444" s="198"/>
      <c r="AW444" s="274"/>
    </row>
    <row r="445" spans="2:49" x14ac:dyDescent="0.25">
      <c r="B445" s="274">
        <v>10.7</v>
      </c>
      <c r="C445" s="274">
        <v>96</v>
      </c>
      <c r="D445" s="274">
        <v>10.7</v>
      </c>
      <c r="E445" s="274">
        <v>0</v>
      </c>
      <c r="F445" s="274">
        <v>0</v>
      </c>
      <c r="G445" s="274">
        <v>9</v>
      </c>
      <c r="H445" s="274">
        <v>1022.8</v>
      </c>
      <c r="I445" s="274">
        <v>0</v>
      </c>
      <c r="J445" s="274">
        <v>0</v>
      </c>
      <c r="K445" s="274">
        <v>0</v>
      </c>
      <c r="L445" s="274">
        <v>0</v>
      </c>
      <c r="M445" s="274">
        <v>65.3</v>
      </c>
      <c r="N445" s="396">
        <v>599.79999999999995</v>
      </c>
      <c r="O445" s="396">
        <v>9.5</v>
      </c>
      <c r="P445" s="396">
        <v>9.5</v>
      </c>
      <c r="Q445" s="397">
        <v>0.30277777777777798</v>
      </c>
      <c r="R445" s="396"/>
      <c r="S445" s="410"/>
      <c r="T445" s="409"/>
      <c r="U445" s="398" t="str">
        <f t="shared" si="17"/>
        <v/>
      </c>
      <c r="V445" s="400"/>
      <c r="W445" s="410">
        <f t="shared" si="19"/>
        <v>9.5</v>
      </c>
      <c r="X445" s="472" t="str">
        <f t="shared" si="18"/>
        <v/>
      </c>
      <c r="AT445" s="232"/>
      <c r="AV445" s="198"/>
      <c r="AW445" s="274"/>
    </row>
    <row r="446" spans="2:49" x14ac:dyDescent="0.25">
      <c r="B446" s="274">
        <v>10.7</v>
      </c>
      <c r="C446" s="274">
        <v>96</v>
      </c>
      <c r="D446" s="274">
        <v>10.7</v>
      </c>
      <c r="E446" s="274">
        <v>0</v>
      </c>
      <c r="F446" s="274">
        <v>0</v>
      </c>
      <c r="G446" s="274">
        <v>9</v>
      </c>
      <c r="H446" s="274">
        <v>1022.7</v>
      </c>
      <c r="I446" s="274">
        <v>0</v>
      </c>
      <c r="J446" s="274">
        <v>0</v>
      </c>
      <c r="K446" s="274">
        <v>0</v>
      </c>
      <c r="L446" s="274">
        <v>0</v>
      </c>
      <c r="M446" s="274">
        <v>65.3</v>
      </c>
      <c r="N446" s="396">
        <v>599.79999999999995</v>
      </c>
      <c r="O446" s="396">
        <v>9.4</v>
      </c>
      <c r="P446" s="396">
        <v>9.5</v>
      </c>
      <c r="Q446" s="397">
        <v>0.30347222222222198</v>
      </c>
      <c r="R446" s="396"/>
      <c r="S446" s="410"/>
      <c r="T446" s="409"/>
      <c r="U446" s="398" t="str">
        <f t="shared" si="17"/>
        <v/>
      </c>
      <c r="V446" s="400"/>
      <c r="W446" s="410">
        <f t="shared" si="19"/>
        <v>9.5</v>
      </c>
      <c r="X446" s="472" t="str">
        <f t="shared" si="18"/>
        <v/>
      </c>
      <c r="AT446" s="232"/>
      <c r="AV446" s="198"/>
      <c r="AW446" s="274"/>
    </row>
    <row r="447" spans="2:49" x14ac:dyDescent="0.25">
      <c r="B447" s="274">
        <v>10.7</v>
      </c>
      <c r="C447" s="274">
        <v>96</v>
      </c>
      <c r="D447" s="274">
        <v>10.7</v>
      </c>
      <c r="E447" s="274">
        <v>0</v>
      </c>
      <c r="F447" s="274">
        <v>0</v>
      </c>
      <c r="G447" s="274">
        <v>9</v>
      </c>
      <c r="H447" s="274">
        <v>1022.7</v>
      </c>
      <c r="I447" s="274">
        <v>0</v>
      </c>
      <c r="J447" s="274">
        <v>0</v>
      </c>
      <c r="K447" s="274">
        <v>0</v>
      </c>
      <c r="L447" s="274">
        <v>0</v>
      </c>
      <c r="M447" s="274">
        <v>65.3</v>
      </c>
      <c r="N447" s="396">
        <v>599.79999999999995</v>
      </c>
      <c r="O447" s="396">
        <v>9.5</v>
      </c>
      <c r="P447" s="396">
        <v>9.5</v>
      </c>
      <c r="Q447" s="397">
        <v>0.30416666666666697</v>
      </c>
      <c r="R447" s="396"/>
      <c r="S447" s="410"/>
      <c r="T447" s="409"/>
      <c r="U447" s="398" t="str">
        <f t="shared" si="17"/>
        <v/>
      </c>
      <c r="V447" s="400"/>
      <c r="W447" s="410">
        <f t="shared" si="19"/>
        <v>9.5</v>
      </c>
      <c r="X447" s="472" t="str">
        <f t="shared" si="18"/>
        <v/>
      </c>
      <c r="AT447" s="232"/>
      <c r="AV447" s="198"/>
      <c r="AW447" s="274"/>
    </row>
    <row r="448" spans="2:49" x14ac:dyDescent="0.25">
      <c r="B448" s="274">
        <v>10.7</v>
      </c>
      <c r="C448" s="274">
        <v>96</v>
      </c>
      <c r="D448" s="274">
        <v>10.7</v>
      </c>
      <c r="E448" s="274">
        <v>0</v>
      </c>
      <c r="F448" s="274">
        <v>0</v>
      </c>
      <c r="G448" s="274">
        <v>9</v>
      </c>
      <c r="H448" s="274">
        <v>1022.8</v>
      </c>
      <c r="I448" s="274">
        <v>46</v>
      </c>
      <c r="J448" s="274">
        <v>0</v>
      </c>
      <c r="K448" s="274">
        <v>0</v>
      </c>
      <c r="L448" s="274">
        <v>0</v>
      </c>
      <c r="M448" s="274">
        <v>65.3</v>
      </c>
      <c r="N448" s="396">
        <v>599.79999999999995</v>
      </c>
      <c r="O448" s="396">
        <v>9.5</v>
      </c>
      <c r="P448" s="396">
        <v>9.5</v>
      </c>
      <c r="Q448" s="397">
        <v>0.30486111111111103</v>
      </c>
      <c r="R448" s="396"/>
      <c r="S448" s="410"/>
      <c r="T448" s="409"/>
      <c r="U448" s="398" t="str">
        <f t="shared" si="17"/>
        <v/>
      </c>
      <c r="V448" s="400"/>
      <c r="W448" s="410">
        <f t="shared" si="19"/>
        <v>9.5</v>
      </c>
      <c r="X448" s="472" t="str">
        <f t="shared" si="18"/>
        <v/>
      </c>
      <c r="AT448" s="232"/>
      <c r="AV448" s="198"/>
      <c r="AW448" s="274"/>
    </row>
    <row r="449" spans="2:49" x14ac:dyDescent="0.25">
      <c r="B449" s="274">
        <v>10.7</v>
      </c>
      <c r="C449" s="274">
        <v>96</v>
      </c>
      <c r="D449" s="274">
        <v>10.7</v>
      </c>
      <c r="E449" s="274">
        <v>0</v>
      </c>
      <c r="F449" s="274">
        <v>0</v>
      </c>
      <c r="G449" s="274">
        <v>9</v>
      </c>
      <c r="H449" s="274">
        <v>1022.6</v>
      </c>
      <c r="I449" s="274">
        <v>46</v>
      </c>
      <c r="J449" s="274">
        <v>0</v>
      </c>
      <c r="K449" s="274">
        <v>0</v>
      </c>
      <c r="L449" s="274">
        <v>0</v>
      </c>
      <c r="M449" s="274">
        <v>65.3</v>
      </c>
      <c r="N449" s="396">
        <v>599.79999999999995</v>
      </c>
      <c r="O449" s="396">
        <v>9.5</v>
      </c>
      <c r="P449" s="396">
        <v>9.5</v>
      </c>
      <c r="Q449" s="397">
        <v>0.30555555555555602</v>
      </c>
      <c r="R449" s="396"/>
      <c r="S449" s="410"/>
      <c r="T449" s="409"/>
      <c r="U449" s="398" t="str">
        <f t="shared" si="17"/>
        <v/>
      </c>
      <c r="V449" s="400"/>
      <c r="W449" s="410">
        <f t="shared" si="19"/>
        <v>9.5</v>
      </c>
      <c r="X449" s="472" t="str">
        <f t="shared" si="18"/>
        <v/>
      </c>
      <c r="AT449" s="232"/>
      <c r="AV449" s="198"/>
      <c r="AW449" s="274"/>
    </row>
    <row r="450" spans="2:49" x14ac:dyDescent="0.25">
      <c r="B450" s="274">
        <v>10.7</v>
      </c>
      <c r="C450" s="274">
        <v>96</v>
      </c>
      <c r="D450" s="274">
        <v>10.7</v>
      </c>
      <c r="E450" s="274">
        <v>0</v>
      </c>
      <c r="F450" s="274">
        <v>0</v>
      </c>
      <c r="G450" s="274">
        <v>9</v>
      </c>
      <c r="H450" s="274">
        <v>1022.6</v>
      </c>
      <c r="I450" s="274">
        <v>46</v>
      </c>
      <c r="J450" s="274">
        <v>0</v>
      </c>
      <c r="K450" s="274">
        <v>0</v>
      </c>
      <c r="L450" s="274">
        <v>0</v>
      </c>
      <c r="M450" s="274">
        <v>65.3</v>
      </c>
      <c r="N450" s="396">
        <v>599.79999999999995</v>
      </c>
      <c r="O450" s="396">
        <v>9.5</v>
      </c>
      <c r="P450" s="396">
        <v>9.5</v>
      </c>
      <c r="Q450" s="397">
        <v>0.30625000000000002</v>
      </c>
      <c r="R450" s="396"/>
      <c r="S450" s="410"/>
      <c r="T450" s="409"/>
      <c r="U450" s="398" t="str">
        <f t="shared" si="17"/>
        <v/>
      </c>
      <c r="V450" s="400"/>
      <c r="W450" s="410">
        <f t="shared" si="19"/>
        <v>9.5</v>
      </c>
      <c r="X450" s="472" t="str">
        <f t="shared" si="18"/>
        <v/>
      </c>
      <c r="AT450" s="232"/>
      <c r="AV450" s="198"/>
      <c r="AW450" s="274"/>
    </row>
    <row r="451" spans="2:49" x14ac:dyDescent="0.25">
      <c r="B451" s="274">
        <v>10.6</v>
      </c>
      <c r="C451" s="274">
        <v>96</v>
      </c>
      <c r="D451" s="274">
        <v>10.6</v>
      </c>
      <c r="E451" s="274">
        <v>0</v>
      </c>
      <c r="F451" s="274">
        <v>0</v>
      </c>
      <c r="G451" s="274">
        <v>9</v>
      </c>
      <c r="H451" s="274">
        <v>1022.7</v>
      </c>
      <c r="I451" s="274">
        <v>46</v>
      </c>
      <c r="J451" s="274">
        <v>0</v>
      </c>
      <c r="K451" s="274">
        <v>0</v>
      </c>
      <c r="L451" s="274">
        <v>0</v>
      </c>
      <c r="M451" s="274">
        <v>65.3</v>
      </c>
      <c r="N451" s="396">
        <v>599.79999999999995</v>
      </c>
      <c r="O451" s="396">
        <v>9.5</v>
      </c>
      <c r="P451" s="396">
        <v>9.5</v>
      </c>
      <c r="Q451" s="397">
        <v>0.30694444444444402</v>
      </c>
      <c r="R451" s="396"/>
      <c r="S451" s="410"/>
      <c r="T451" s="409"/>
      <c r="U451" s="398" t="str">
        <f t="shared" si="17"/>
        <v/>
      </c>
      <c r="V451" s="400"/>
      <c r="W451" s="410">
        <f t="shared" si="19"/>
        <v>9.5</v>
      </c>
      <c r="X451" s="472" t="str">
        <f t="shared" si="18"/>
        <v/>
      </c>
      <c r="AT451" s="232"/>
      <c r="AV451" s="198"/>
      <c r="AW451" s="274"/>
    </row>
    <row r="452" spans="2:49" x14ac:dyDescent="0.25">
      <c r="B452" s="274">
        <v>10.6</v>
      </c>
      <c r="C452" s="274">
        <v>96</v>
      </c>
      <c r="D452" s="274">
        <v>10.6</v>
      </c>
      <c r="E452" s="274">
        <v>0</v>
      </c>
      <c r="F452" s="274">
        <v>0</v>
      </c>
      <c r="G452" s="274">
        <v>9</v>
      </c>
      <c r="H452" s="274">
        <v>1022.7</v>
      </c>
      <c r="I452" s="274">
        <v>108</v>
      </c>
      <c r="J452" s="274">
        <v>0</v>
      </c>
      <c r="K452" s="274">
        <v>0</v>
      </c>
      <c r="L452" s="274">
        <v>0</v>
      </c>
      <c r="M452" s="274">
        <v>65.3</v>
      </c>
      <c r="N452" s="396">
        <v>599.79999999999995</v>
      </c>
      <c r="O452" s="396">
        <v>9.4</v>
      </c>
      <c r="P452" s="396">
        <v>9.5</v>
      </c>
      <c r="Q452" s="397">
        <v>0.30763888888888902</v>
      </c>
      <c r="R452" s="396"/>
      <c r="S452" s="410"/>
      <c r="T452" s="409"/>
      <c r="U452" s="398" t="str">
        <f t="shared" si="17"/>
        <v/>
      </c>
      <c r="V452" s="400"/>
      <c r="W452" s="410">
        <f t="shared" si="19"/>
        <v>9.5</v>
      </c>
      <c r="X452" s="472" t="str">
        <f t="shared" si="18"/>
        <v/>
      </c>
      <c r="AT452" s="232"/>
      <c r="AV452" s="198"/>
      <c r="AW452" s="274"/>
    </row>
    <row r="453" spans="2:49" x14ac:dyDescent="0.25">
      <c r="B453" s="274">
        <v>10.6</v>
      </c>
      <c r="C453" s="274">
        <v>96</v>
      </c>
      <c r="D453" s="274">
        <v>10.6</v>
      </c>
      <c r="E453" s="274">
        <v>0</v>
      </c>
      <c r="F453" s="274">
        <v>0</v>
      </c>
      <c r="G453" s="274">
        <v>9</v>
      </c>
      <c r="H453" s="274">
        <v>1022.9</v>
      </c>
      <c r="I453" s="274">
        <v>155</v>
      </c>
      <c r="J453" s="274">
        <v>0</v>
      </c>
      <c r="K453" s="274">
        <v>0</v>
      </c>
      <c r="L453" s="274">
        <v>0</v>
      </c>
      <c r="M453" s="274">
        <v>65.3</v>
      </c>
      <c r="N453" s="396">
        <v>599.79999999999995</v>
      </c>
      <c r="O453" s="396">
        <v>9.4</v>
      </c>
      <c r="P453" s="396">
        <v>9.5</v>
      </c>
      <c r="Q453" s="397">
        <v>0.30833333333333302</v>
      </c>
      <c r="R453" s="396"/>
      <c r="S453" s="410"/>
      <c r="T453" s="409"/>
      <c r="U453" s="398" t="str">
        <f t="shared" si="17"/>
        <v/>
      </c>
      <c r="V453" s="400"/>
      <c r="W453" s="410">
        <f t="shared" si="19"/>
        <v>9.5</v>
      </c>
      <c r="X453" s="472" t="str">
        <f t="shared" si="18"/>
        <v/>
      </c>
      <c r="AT453" s="232"/>
      <c r="AV453" s="198"/>
      <c r="AW453" s="274"/>
    </row>
    <row r="454" spans="2:49" x14ac:dyDescent="0.25">
      <c r="B454" s="274">
        <v>10.6</v>
      </c>
      <c r="C454" s="274">
        <v>96</v>
      </c>
      <c r="D454" s="274">
        <v>10.6</v>
      </c>
      <c r="E454" s="274">
        <v>0</v>
      </c>
      <c r="F454" s="274">
        <v>0</v>
      </c>
      <c r="G454" s="274">
        <v>9</v>
      </c>
      <c r="H454" s="274">
        <v>1022.9</v>
      </c>
      <c r="I454" s="274">
        <v>155</v>
      </c>
      <c r="J454" s="274">
        <v>0</v>
      </c>
      <c r="K454" s="274">
        <v>0</v>
      </c>
      <c r="L454" s="274">
        <v>0</v>
      </c>
      <c r="M454" s="274">
        <v>65.3</v>
      </c>
      <c r="N454" s="396">
        <v>599.79999999999995</v>
      </c>
      <c r="O454" s="396">
        <v>9.4</v>
      </c>
      <c r="P454" s="396">
        <v>9.5</v>
      </c>
      <c r="Q454" s="397">
        <v>0.30902777777777801</v>
      </c>
      <c r="R454" s="396"/>
      <c r="S454" s="410"/>
      <c r="T454" s="409"/>
      <c r="U454" s="398" t="str">
        <f t="shared" si="17"/>
        <v/>
      </c>
      <c r="V454" s="400"/>
      <c r="W454" s="410">
        <f t="shared" si="19"/>
        <v>9.5</v>
      </c>
      <c r="X454" s="472" t="str">
        <f t="shared" si="18"/>
        <v/>
      </c>
      <c r="AT454" s="232"/>
      <c r="AV454" s="198"/>
      <c r="AW454" s="274"/>
    </row>
    <row r="455" spans="2:49" x14ac:dyDescent="0.25">
      <c r="B455" s="274">
        <v>10.7</v>
      </c>
      <c r="C455" s="274">
        <v>96</v>
      </c>
      <c r="D455" s="274">
        <v>10.7</v>
      </c>
      <c r="E455" s="274">
        <v>0</v>
      </c>
      <c r="F455" s="274">
        <v>0</v>
      </c>
      <c r="G455" s="274">
        <v>9</v>
      </c>
      <c r="H455" s="274">
        <v>1022.7</v>
      </c>
      <c r="I455" s="274">
        <v>217</v>
      </c>
      <c r="J455" s="274">
        <v>0</v>
      </c>
      <c r="K455" s="274">
        <v>0</v>
      </c>
      <c r="L455" s="274">
        <v>0</v>
      </c>
      <c r="M455" s="274">
        <v>65.3</v>
      </c>
      <c r="N455" s="396">
        <v>599.79999999999995</v>
      </c>
      <c r="O455" s="396">
        <v>9.4</v>
      </c>
      <c r="P455" s="396">
        <v>9.5</v>
      </c>
      <c r="Q455" s="397">
        <v>0.30972222222222201</v>
      </c>
      <c r="R455" s="396"/>
      <c r="S455" s="410"/>
      <c r="T455" s="409"/>
      <c r="U455" s="398" t="str">
        <f t="shared" si="17"/>
        <v/>
      </c>
      <c r="V455" s="400"/>
      <c r="W455" s="410">
        <f t="shared" si="19"/>
        <v>9.5</v>
      </c>
      <c r="X455" s="472" t="str">
        <f t="shared" si="18"/>
        <v/>
      </c>
      <c r="AT455" s="232"/>
      <c r="AV455" s="198"/>
      <c r="AW455" s="274"/>
    </row>
    <row r="456" spans="2:49" x14ac:dyDescent="0.25">
      <c r="B456" s="274">
        <v>10.7</v>
      </c>
      <c r="C456" s="274">
        <v>96</v>
      </c>
      <c r="D456" s="274">
        <v>10.7</v>
      </c>
      <c r="E456" s="274">
        <v>0</v>
      </c>
      <c r="F456" s="274">
        <v>0</v>
      </c>
      <c r="G456" s="274">
        <v>9</v>
      </c>
      <c r="H456" s="274">
        <v>1022.6</v>
      </c>
      <c r="I456" s="274">
        <v>217</v>
      </c>
      <c r="J456" s="274">
        <v>0</v>
      </c>
      <c r="K456" s="274">
        <v>0</v>
      </c>
      <c r="L456" s="274">
        <v>0</v>
      </c>
      <c r="M456" s="274">
        <v>65.3</v>
      </c>
      <c r="N456" s="396">
        <v>599.79999999999995</v>
      </c>
      <c r="O456" s="396">
        <v>9.4</v>
      </c>
      <c r="P456" s="396">
        <v>9.5</v>
      </c>
      <c r="Q456" s="397">
        <v>0.31041666666666701</v>
      </c>
      <c r="R456" s="396"/>
      <c r="S456" s="410"/>
      <c r="T456" s="409"/>
      <c r="U456" s="398" t="str">
        <f t="shared" si="17"/>
        <v/>
      </c>
      <c r="V456" s="400"/>
      <c r="W456" s="410">
        <f t="shared" si="19"/>
        <v>9.5</v>
      </c>
      <c r="X456" s="472" t="str">
        <f t="shared" si="18"/>
        <v/>
      </c>
      <c r="AT456" s="232"/>
      <c r="AV456" s="198"/>
      <c r="AW456" s="274"/>
    </row>
    <row r="457" spans="2:49" x14ac:dyDescent="0.25">
      <c r="B457" s="274">
        <v>10.7</v>
      </c>
      <c r="C457" s="274">
        <v>96</v>
      </c>
      <c r="D457" s="274">
        <v>10.7</v>
      </c>
      <c r="E457" s="274">
        <v>0</v>
      </c>
      <c r="F457" s="274">
        <v>0</v>
      </c>
      <c r="G457" s="274">
        <v>9</v>
      </c>
      <c r="H457" s="274">
        <v>1022.8</v>
      </c>
      <c r="I457" s="274">
        <v>372</v>
      </c>
      <c r="J457" s="274">
        <v>0</v>
      </c>
      <c r="K457" s="274">
        <v>0</v>
      </c>
      <c r="L457" s="274">
        <v>0</v>
      </c>
      <c r="M457" s="274">
        <v>65.3</v>
      </c>
      <c r="N457" s="396">
        <v>599.79999999999995</v>
      </c>
      <c r="O457" s="396">
        <v>9.4</v>
      </c>
      <c r="P457" s="396">
        <v>9.5</v>
      </c>
      <c r="Q457" s="397">
        <v>0.31111111111111101</v>
      </c>
      <c r="R457" s="396"/>
      <c r="S457" s="410"/>
      <c r="T457" s="409"/>
      <c r="U457" s="398" t="str">
        <f t="shared" si="17"/>
        <v/>
      </c>
      <c r="V457" s="400"/>
      <c r="W457" s="410">
        <f t="shared" si="19"/>
        <v>9.5</v>
      </c>
      <c r="X457" s="472" t="str">
        <f t="shared" si="18"/>
        <v/>
      </c>
      <c r="AT457" s="232"/>
      <c r="AV457" s="198"/>
      <c r="AW457" s="274"/>
    </row>
    <row r="458" spans="2:49" x14ac:dyDescent="0.25">
      <c r="B458" s="274">
        <v>10.7</v>
      </c>
      <c r="C458" s="274">
        <v>96</v>
      </c>
      <c r="D458" s="274">
        <v>10.7</v>
      </c>
      <c r="E458" s="274">
        <v>0</v>
      </c>
      <c r="F458" s="274">
        <v>0</v>
      </c>
      <c r="G458" s="274">
        <v>9</v>
      </c>
      <c r="H458" s="274">
        <v>1022.8</v>
      </c>
      <c r="I458" s="274">
        <v>325</v>
      </c>
      <c r="J458" s="274">
        <v>0</v>
      </c>
      <c r="K458" s="274">
        <v>0</v>
      </c>
      <c r="L458" s="274">
        <v>0</v>
      </c>
      <c r="M458" s="274">
        <v>65.3</v>
      </c>
      <c r="N458" s="396">
        <v>599.79999999999995</v>
      </c>
      <c r="O458" s="396">
        <v>9.4</v>
      </c>
      <c r="P458" s="396">
        <v>9.5</v>
      </c>
      <c r="Q458" s="397">
        <v>0.311805555555556</v>
      </c>
      <c r="R458" s="396"/>
      <c r="S458" s="410"/>
      <c r="T458" s="409"/>
      <c r="U458" s="398" t="str">
        <f t="shared" si="17"/>
        <v/>
      </c>
      <c r="V458" s="400"/>
      <c r="W458" s="410">
        <f t="shared" si="19"/>
        <v>9.5</v>
      </c>
      <c r="X458" s="472" t="str">
        <f t="shared" si="18"/>
        <v/>
      </c>
      <c r="AT458" s="232"/>
      <c r="AV458" s="198"/>
      <c r="AW458" s="274"/>
    </row>
    <row r="459" spans="2:49" x14ac:dyDescent="0.25">
      <c r="B459" s="274">
        <v>10.7</v>
      </c>
      <c r="C459" s="274">
        <v>96</v>
      </c>
      <c r="D459" s="274">
        <v>10.7</v>
      </c>
      <c r="E459" s="274">
        <v>0</v>
      </c>
      <c r="F459" s="274">
        <v>0</v>
      </c>
      <c r="G459" s="274">
        <v>9</v>
      </c>
      <c r="H459" s="274">
        <v>1022.8</v>
      </c>
      <c r="I459" s="274">
        <v>480</v>
      </c>
      <c r="J459" s="274">
        <v>0</v>
      </c>
      <c r="K459" s="274">
        <v>0</v>
      </c>
      <c r="L459" s="274">
        <v>0</v>
      </c>
      <c r="M459" s="274">
        <v>65.3</v>
      </c>
      <c r="N459" s="396">
        <v>599.79999999999995</v>
      </c>
      <c r="O459" s="396">
        <v>9.4</v>
      </c>
      <c r="P459" s="396">
        <v>9.5</v>
      </c>
      <c r="Q459" s="397">
        <v>0.3125</v>
      </c>
      <c r="R459" s="396"/>
      <c r="S459" s="410"/>
      <c r="T459" s="409"/>
      <c r="U459" s="398" t="str">
        <f t="shared" ref="U459:U522" si="20">IF(J459&gt;0,60,"")</f>
        <v/>
      </c>
      <c r="V459" s="400"/>
      <c r="W459" s="410">
        <f t="shared" si="19"/>
        <v>9.5</v>
      </c>
      <c r="X459" s="472" t="str">
        <f t="shared" si="18"/>
        <v/>
      </c>
      <c r="AT459" s="232"/>
      <c r="AV459" s="198"/>
      <c r="AW459" s="274"/>
    </row>
    <row r="460" spans="2:49" x14ac:dyDescent="0.25">
      <c r="B460" s="274">
        <v>10.7</v>
      </c>
      <c r="C460" s="274">
        <v>96</v>
      </c>
      <c r="D460" s="274">
        <v>10.7</v>
      </c>
      <c r="E460" s="274">
        <v>0.7</v>
      </c>
      <c r="F460" s="274">
        <v>1.8</v>
      </c>
      <c r="G460" s="274">
        <v>9</v>
      </c>
      <c r="H460" s="274">
        <v>1023</v>
      </c>
      <c r="I460" s="274">
        <v>542</v>
      </c>
      <c r="J460" s="274">
        <v>0</v>
      </c>
      <c r="K460" s="274">
        <v>0</v>
      </c>
      <c r="L460" s="274">
        <v>0</v>
      </c>
      <c r="M460" s="274">
        <v>65.3</v>
      </c>
      <c r="N460" s="396">
        <v>599.79999999999995</v>
      </c>
      <c r="O460" s="396">
        <v>9.4</v>
      </c>
      <c r="P460" s="396">
        <v>9.5</v>
      </c>
      <c r="Q460" s="397">
        <v>0.313194444444444</v>
      </c>
      <c r="R460" s="396"/>
      <c r="S460" s="410"/>
      <c r="T460" s="409"/>
      <c r="U460" s="398" t="str">
        <f t="shared" si="20"/>
        <v/>
      </c>
      <c r="V460" s="400"/>
      <c r="W460" s="410">
        <f t="shared" si="19"/>
        <v>9.5</v>
      </c>
      <c r="X460" s="472" t="str">
        <f t="shared" si="18"/>
        <v/>
      </c>
      <c r="AT460" s="232"/>
      <c r="AV460" s="198"/>
      <c r="AW460" s="274"/>
    </row>
    <row r="461" spans="2:49" x14ac:dyDescent="0.25">
      <c r="B461" s="274">
        <v>10.7</v>
      </c>
      <c r="C461" s="274">
        <v>96</v>
      </c>
      <c r="D461" s="274">
        <v>10.7</v>
      </c>
      <c r="E461" s="274">
        <v>0</v>
      </c>
      <c r="F461" s="274">
        <v>0</v>
      </c>
      <c r="G461" s="274">
        <v>9</v>
      </c>
      <c r="H461" s="274">
        <v>1023</v>
      </c>
      <c r="I461" s="274">
        <v>542</v>
      </c>
      <c r="J461" s="274">
        <v>0</v>
      </c>
      <c r="K461" s="274">
        <v>0</v>
      </c>
      <c r="L461" s="274">
        <v>0</v>
      </c>
      <c r="M461" s="274">
        <v>65.3</v>
      </c>
      <c r="N461" s="396">
        <v>599.79999999999995</v>
      </c>
      <c r="O461" s="396">
        <v>9.4</v>
      </c>
      <c r="P461" s="396">
        <v>9.5</v>
      </c>
      <c r="Q461" s="397">
        <v>0.31388888888888899</v>
      </c>
      <c r="R461" s="396"/>
      <c r="S461" s="410"/>
      <c r="T461" s="409"/>
      <c r="U461" s="398" t="str">
        <f t="shared" si="20"/>
        <v/>
      </c>
      <c r="V461" s="400"/>
      <c r="W461" s="410">
        <f t="shared" si="19"/>
        <v>9.5</v>
      </c>
      <c r="X461" s="472" t="str">
        <f t="shared" si="18"/>
        <v/>
      </c>
      <c r="AT461" s="232"/>
      <c r="AV461" s="198"/>
      <c r="AW461" s="274"/>
    </row>
    <row r="462" spans="2:49" x14ac:dyDescent="0.25">
      <c r="B462" s="274">
        <v>10.7</v>
      </c>
      <c r="C462" s="274">
        <v>96</v>
      </c>
      <c r="D462" s="274">
        <v>10.7</v>
      </c>
      <c r="E462" s="274">
        <v>0</v>
      </c>
      <c r="F462" s="274">
        <v>0</v>
      </c>
      <c r="G462" s="274">
        <v>9</v>
      </c>
      <c r="H462" s="274">
        <v>1022.9</v>
      </c>
      <c r="I462" s="274">
        <v>604</v>
      </c>
      <c r="J462" s="274">
        <v>0</v>
      </c>
      <c r="K462" s="274">
        <v>0</v>
      </c>
      <c r="L462" s="274">
        <v>0</v>
      </c>
      <c r="M462" s="274">
        <v>65.3</v>
      </c>
      <c r="N462" s="396">
        <v>599.79999999999995</v>
      </c>
      <c r="O462" s="396">
        <v>9.4</v>
      </c>
      <c r="P462" s="396">
        <v>9.5</v>
      </c>
      <c r="Q462" s="397">
        <v>0.31458333333333299</v>
      </c>
      <c r="R462" s="396"/>
      <c r="S462" s="410"/>
      <c r="T462" s="409"/>
      <c r="U462" s="398" t="str">
        <f t="shared" si="20"/>
        <v/>
      </c>
      <c r="V462" s="400"/>
      <c r="W462" s="410">
        <f t="shared" si="19"/>
        <v>9.5</v>
      </c>
      <c r="X462" s="472" t="str">
        <f t="shared" si="18"/>
        <v/>
      </c>
      <c r="AT462" s="232"/>
      <c r="AV462" s="198"/>
      <c r="AW462" s="274"/>
    </row>
    <row r="463" spans="2:49" x14ac:dyDescent="0.25">
      <c r="B463" s="274">
        <v>10.7</v>
      </c>
      <c r="C463" s="274">
        <v>96</v>
      </c>
      <c r="D463" s="274">
        <v>10.7</v>
      </c>
      <c r="E463" s="274">
        <v>1.1000000000000001</v>
      </c>
      <c r="F463" s="274">
        <v>1.8</v>
      </c>
      <c r="G463" s="274">
        <v>9</v>
      </c>
      <c r="H463" s="274">
        <v>1022.7</v>
      </c>
      <c r="I463" s="274">
        <v>651</v>
      </c>
      <c r="J463" s="274">
        <v>0</v>
      </c>
      <c r="K463" s="274">
        <v>0</v>
      </c>
      <c r="L463" s="274">
        <v>0</v>
      </c>
      <c r="M463" s="274">
        <v>65.3</v>
      </c>
      <c r="N463" s="396">
        <v>599.79999999999995</v>
      </c>
      <c r="O463" s="396">
        <v>9.4</v>
      </c>
      <c r="P463" s="396">
        <v>9.6</v>
      </c>
      <c r="Q463" s="397">
        <v>0.31527777777777799</v>
      </c>
      <c r="R463" s="396"/>
      <c r="S463" s="410"/>
      <c r="T463" s="409"/>
      <c r="U463" s="398" t="str">
        <f t="shared" si="20"/>
        <v/>
      </c>
      <c r="V463" s="400"/>
      <c r="W463" s="410">
        <f t="shared" si="19"/>
        <v>9.6</v>
      </c>
      <c r="X463" s="472" t="str">
        <f t="shared" si="18"/>
        <v/>
      </c>
      <c r="AT463" s="232"/>
      <c r="AV463" s="198"/>
      <c r="AW463" s="274"/>
    </row>
    <row r="464" spans="2:49" x14ac:dyDescent="0.25">
      <c r="B464" s="274">
        <v>10.7</v>
      </c>
      <c r="C464" s="274">
        <v>96</v>
      </c>
      <c r="D464" s="274">
        <v>10.7</v>
      </c>
      <c r="E464" s="274">
        <v>0</v>
      </c>
      <c r="F464" s="274">
        <v>0</v>
      </c>
      <c r="G464" s="274">
        <v>9</v>
      </c>
      <c r="H464" s="274">
        <v>1022.9</v>
      </c>
      <c r="I464" s="274">
        <v>713</v>
      </c>
      <c r="J464" s="274">
        <v>0</v>
      </c>
      <c r="K464" s="274">
        <v>0</v>
      </c>
      <c r="L464" s="274">
        <v>0</v>
      </c>
      <c r="M464" s="274">
        <v>65.3</v>
      </c>
      <c r="N464" s="396">
        <v>599.79999999999995</v>
      </c>
      <c r="O464" s="396">
        <v>9.4</v>
      </c>
      <c r="P464" s="396">
        <v>9.6</v>
      </c>
      <c r="Q464" s="397">
        <v>0.31597222222222199</v>
      </c>
      <c r="R464" s="396"/>
      <c r="S464" s="410"/>
      <c r="T464" s="409"/>
      <c r="U464" s="398" t="str">
        <f t="shared" si="20"/>
        <v/>
      </c>
      <c r="V464" s="400"/>
      <c r="W464" s="410">
        <f t="shared" si="19"/>
        <v>9.6</v>
      </c>
      <c r="X464" s="472" t="str">
        <f t="shared" si="18"/>
        <v/>
      </c>
      <c r="AT464" s="232"/>
      <c r="AV464" s="198"/>
      <c r="AW464" s="274"/>
    </row>
    <row r="465" spans="2:49" x14ac:dyDescent="0.25">
      <c r="B465" s="274">
        <v>10.7</v>
      </c>
      <c r="C465" s="274">
        <v>96</v>
      </c>
      <c r="D465" s="274">
        <v>10.7</v>
      </c>
      <c r="E465" s="274">
        <v>1.1000000000000001</v>
      </c>
      <c r="F465" s="274">
        <v>1.8</v>
      </c>
      <c r="G465" s="274">
        <v>9</v>
      </c>
      <c r="H465" s="274">
        <v>1022.9</v>
      </c>
      <c r="I465" s="274">
        <v>713</v>
      </c>
      <c r="J465" s="274">
        <v>0</v>
      </c>
      <c r="K465" s="274">
        <v>0</v>
      </c>
      <c r="L465" s="274">
        <v>0</v>
      </c>
      <c r="M465" s="274">
        <v>65.3</v>
      </c>
      <c r="N465" s="396">
        <v>599.79999999999995</v>
      </c>
      <c r="O465" s="396">
        <v>9.4</v>
      </c>
      <c r="P465" s="396">
        <v>9.6</v>
      </c>
      <c r="Q465" s="397">
        <v>0.31666666666666698</v>
      </c>
      <c r="R465" s="396"/>
      <c r="S465" s="410"/>
      <c r="T465" s="409"/>
      <c r="U465" s="398" t="str">
        <f t="shared" si="20"/>
        <v/>
      </c>
      <c r="V465" s="400"/>
      <c r="W465" s="410">
        <f t="shared" si="19"/>
        <v>9.6</v>
      </c>
      <c r="X465" s="472" t="str">
        <f t="shared" ref="X465:X528" si="21">IF(W465&gt;B465+3,60,"")</f>
        <v/>
      </c>
      <c r="AT465" s="232"/>
      <c r="AV465" s="198"/>
      <c r="AW465" s="274"/>
    </row>
    <row r="466" spans="2:49" x14ac:dyDescent="0.25">
      <c r="B466" s="274">
        <v>10.7</v>
      </c>
      <c r="C466" s="274">
        <v>96</v>
      </c>
      <c r="D466" s="274">
        <v>10.7</v>
      </c>
      <c r="E466" s="274">
        <v>0.4</v>
      </c>
      <c r="F466" s="274">
        <v>1.8</v>
      </c>
      <c r="G466" s="274">
        <v>9</v>
      </c>
      <c r="H466" s="274">
        <v>1022.9</v>
      </c>
      <c r="I466" s="274">
        <v>821</v>
      </c>
      <c r="J466" s="274">
        <v>0</v>
      </c>
      <c r="K466" s="274">
        <v>0</v>
      </c>
      <c r="L466" s="274">
        <v>0</v>
      </c>
      <c r="M466" s="274">
        <v>65.3</v>
      </c>
      <c r="N466" s="396">
        <v>599.79999999999995</v>
      </c>
      <c r="O466" s="396">
        <v>9.4</v>
      </c>
      <c r="P466" s="396">
        <v>9.6</v>
      </c>
      <c r="Q466" s="397">
        <v>0.31736111111111098</v>
      </c>
      <c r="R466" s="396"/>
      <c r="S466" s="410"/>
      <c r="T466" s="409"/>
      <c r="U466" s="398" t="str">
        <f t="shared" si="20"/>
        <v/>
      </c>
      <c r="V466" s="400"/>
      <c r="W466" s="410">
        <f t="shared" si="19"/>
        <v>9.6</v>
      </c>
      <c r="X466" s="472" t="str">
        <f t="shared" si="21"/>
        <v/>
      </c>
      <c r="AT466" s="232"/>
      <c r="AV466" s="198"/>
      <c r="AW466" s="274"/>
    </row>
    <row r="467" spans="2:49" x14ac:dyDescent="0.25">
      <c r="B467" s="274">
        <v>10.8</v>
      </c>
      <c r="C467" s="274">
        <v>96</v>
      </c>
      <c r="D467" s="274">
        <v>10.8</v>
      </c>
      <c r="E467" s="274">
        <v>0</v>
      </c>
      <c r="F467" s="274">
        <v>0</v>
      </c>
      <c r="G467" s="274">
        <v>9</v>
      </c>
      <c r="H467" s="274">
        <v>1023</v>
      </c>
      <c r="I467" s="274">
        <v>930</v>
      </c>
      <c r="J467" s="274">
        <v>0</v>
      </c>
      <c r="K467" s="274">
        <v>0</v>
      </c>
      <c r="L467" s="274">
        <v>0</v>
      </c>
      <c r="M467" s="274">
        <v>65.3</v>
      </c>
      <c r="N467" s="396">
        <v>599.79999999999995</v>
      </c>
      <c r="O467" s="396">
        <v>9.5</v>
      </c>
      <c r="P467" s="396">
        <v>9.6</v>
      </c>
      <c r="Q467" s="397">
        <v>0.31805555555555598</v>
      </c>
      <c r="R467" s="396"/>
      <c r="S467" s="410"/>
      <c r="T467" s="409"/>
      <c r="U467" s="398" t="str">
        <f t="shared" si="20"/>
        <v/>
      </c>
      <c r="V467" s="400"/>
      <c r="W467" s="410">
        <f t="shared" si="19"/>
        <v>9.6</v>
      </c>
      <c r="X467" s="472" t="str">
        <f t="shared" si="21"/>
        <v/>
      </c>
      <c r="AT467" s="232"/>
      <c r="AV467" s="198"/>
      <c r="AW467" s="274"/>
    </row>
    <row r="468" spans="2:49" x14ac:dyDescent="0.25">
      <c r="B468" s="274">
        <v>10.8</v>
      </c>
      <c r="C468" s="274">
        <v>96</v>
      </c>
      <c r="D468" s="274">
        <v>10.8</v>
      </c>
      <c r="E468" s="274">
        <v>1.4</v>
      </c>
      <c r="F468" s="274">
        <v>1.8</v>
      </c>
      <c r="G468" s="274">
        <v>9</v>
      </c>
      <c r="H468" s="274">
        <v>1023</v>
      </c>
      <c r="I468" s="274">
        <v>930</v>
      </c>
      <c r="J468" s="274">
        <v>0</v>
      </c>
      <c r="K468" s="274">
        <v>0</v>
      </c>
      <c r="L468" s="274">
        <v>0</v>
      </c>
      <c r="M468" s="274">
        <v>65.3</v>
      </c>
      <c r="N468" s="396">
        <v>599.79999999999995</v>
      </c>
      <c r="O468" s="396">
        <v>9.5</v>
      </c>
      <c r="P468" s="396">
        <v>9.6</v>
      </c>
      <c r="Q468" s="397">
        <v>0.31874999999999998</v>
      </c>
      <c r="R468" s="396"/>
      <c r="S468" s="410"/>
      <c r="T468" s="409"/>
      <c r="U468" s="398" t="str">
        <f t="shared" si="20"/>
        <v/>
      </c>
      <c r="V468" s="400"/>
      <c r="W468" s="410">
        <f t="shared" si="19"/>
        <v>9.6</v>
      </c>
      <c r="X468" s="472" t="str">
        <f t="shared" si="21"/>
        <v/>
      </c>
      <c r="AT468" s="232"/>
      <c r="AV468" s="198"/>
      <c r="AW468" s="274"/>
    </row>
    <row r="469" spans="2:49" x14ac:dyDescent="0.25">
      <c r="B469" s="274">
        <v>10.8</v>
      </c>
      <c r="C469" s="274">
        <v>96</v>
      </c>
      <c r="D469" s="274">
        <v>10.8</v>
      </c>
      <c r="E469" s="274">
        <v>0.4</v>
      </c>
      <c r="F469" s="274">
        <v>1.8</v>
      </c>
      <c r="G469" s="274">
        <v>9</v>
      </c>
      <c r="H469" s="274">
        <v>1022.8</v>
      </c>
      <c r="I469" s="274">
        <v>1038</v>
      </c>
      <c r="J469" s="274">
        <v>0</v>
      </c>
      <c r="K469" s="274">
        <v>0</v>
      </c>
      <c r="L469" s="274">
        <v>0</v>
      </c>
      <c r="M469" s="274">
        <v>65.3</v>
      </c>
      <c r="N469" s="396">
        <v>599.79999999999995</v>
      </c>
      <c r="O469" s="396">
        <v>9.5</v>
      </c>
      <c r="P469" s="396">
        <v>9.6</v>
      </c>
      <c r="Q469" s="397">
        <v>0.31944444444444398</v>
      </c>
      <c r="R469" s="396"/>
      <c r="S469" s="410"/>
      <c r="T469" s="409"/>
      <c r="U469" s="398" t="str">
        <f t="shared" si="20"/>
        <v/>
      </c>
      <c r="V469" s="400"/>
      <c r="W469" s="410">
        <f t="shared" si="19"/>
        <v>9.6</v>
      </c>
      <c r="X469" s="472" t="str">
        <f t="shared" si="21"/>
        <v/>
      </c>
      <c r="AT469" s="232"/>
      <c r="AV469" s="198"/>
      <c r="AW469" s="274"/>
    </row>
    <row r="470" spans="2:49" x14ac:dyDescent="0.25">
      <c r="B470" s="274">
        <v>10.8</v>
      </c>
      <c r="C470" s="274">
        <v>96</v>
      </c>
      <c r="D470" s="274">
        <v>10.8</v>
      </c>
      <c r="E470" s="274">
        <v>0.4</v>
      </c>
      <c r="F470" s="274">
        <v>1.8</v>
      </c>
      <c r="G470" s="274">
        <v>9</v>
      </c>
      <c r="H470" s="274">
        <v>1023.1</v>
      </c>
      <c r="I470" s="274">
        <v>1085</v>
      </c>
      <c r="J470" s="274">
        <v>0</v>
      </c>
      <c r="K470" s="274">
        <v>0</v>
      </c>
      <c r="L470" s="274">
        <v>0</v>
      </c>
      <c r="M470" s="274">
        <v>65.3</v>
      </c>
      <c r="N470" s="396">
        <v>599.79999999999995</v>
      </c>
      <c r="O470" s="396">
        <v>9.5</v>
      </c>
      <c r="P470" s="396">
        <v>9.6999999999999993</v>
      </c>
      <c r="Q470" s="397">
        <v>0.32013888888888897</v>
      </c>
      <c r="R470" s="396"/>
      <c r="S470" s="410"/>
      <c r="T470" s="409"/>
      <c r="U470" s="398" t="str">
        <f t="shared" si="20"/>
        <v/>
      </c>
      <c r="V470" s="400"/>
      <c r="W470" s="410">
        <f t="shared" si="19"/>
        <v>9.6999999999999993</v>
      </c>
      <c r="X470" s="472" t="str">
        <f t="shared" si="21"/>
        <v/>
      </c>
      <c r="AT470" s="232"/>
      <c r="AV470" s="198"/>
      <c r="AW470" s="274"/>
    </row>
    <row r="471" spans="2:49" x14ac:dyDescent="0.25">
      <c r="B471" s="274">
        <v>10.8</v>
      </c>
      <c r="C471" s="274">
        <v>96</v>
      </c>
      <c r="D471" s="274">
        <v>10.8</v>
      </c>
      <c r="E471" s="274">
        <v>0.4</v>
      </c>
      <c r="F471" s="274">
        <v>1.8</v>
      </c>
      <c r="G471" s="274">
        <v>9</v>
      </c>
      <c r="H471" s="274">
        <v>1023</v>
      </c>
      <c r="I471" s="274">
        <v>1209</v>
      </c>
      <c r="J471" s="274">
        <v>0</v>
      </c>
      <c r="K471" s="274">
        <v>0</v>
      </c>
      <c r="L471" s="274">
        <v>0</v>
      </c>
      <c r="M471" s="274">
        <v>65.3</v>
      </c>
      <c r="N471" s="396">
        <v>599.79999999999995</v>
      </c>
      <c r="O471" s="396">
        <v>9.6</v>
      </c>
      <c r="P471" s="396">
        <v>9.6999999999999993</v>
      </c>
      <c r="Q471" s="397">
        <v>0.32083333333333303</v>
      </c>
      <c r="R471" s="396"/>
      <c r="S471" s="410"/>
      <c r="T471" s="409"/>
      <c r="U471" s="398" t="str">
        <f t="shared" si="20"/>
        <v/>
      </c>
      <c r="V471" s="400"/>
      <c r="W471" s="410">
        <f t="shared" si="19"/>
        <v>9.6999999999999993</v>
      </c>
      <c r="X471" s="472" t="str">
        <f t="shared" si="21"/>
        <v/>
      </c>
      <c r="AT471" s="232"/>
      <c r="AV471" s="198"/>
      <c r="AW471" s="274"/>
    </row>
    <row r="472" spans="2:49" x14ac:dyDescent="0.25">
      <c r="B472" s="274">
        <v>10.8</v>
      </c>
      <c r="C472" s="274">
        <v>96</v>
      </c>
      <c r="D472" s="274">
        <v>10.8</v>
      </c>
      <c r="E472" s="274">
        <v>1.1000000000000001</v>
      </c>
      <c r="F472" s="274">
        <v>1.8</v>
      </c>
      <c r="G472" s="274">
        <v>9</v>
      </c>
      <c r="H472" s="274">
        <v>1023.1</v>
      </c>
      <c r="I472" s="274">
        <v>1255</v>
      </c>
      <c r="J472" s="274">
        <v>0</v>
      </c>
      <c r="K472" s="274">
        <v>0</v>
      </c>
      <c r="L472" s="274">
        <v>0</v>
      </c>
      <c r="M472" s="274">
        <v>65.3</v>
      </c>
      <c r="N472" s="396">
        <v>599.79999999999995</v>
      </c>
      <c r="O472" s="396">
        <v>9.6</v>
      </c>
      <c r="P472" s="396">
        <v>9.6999999999999993</v>
      </c>
      <c r="Q472" s="397">
        <v>0.32152777777777802</v>
      </c>
      <c r="R472" s="396"/>
      <c r="S472" s="410"/>
      <c r="T472" s="409"/>
      <c r="U472" s="398" t="str">
        <f t="shared" si="20"/>
        <v/>
      </c>
      <c r="V472" s="400"/>
      <c r="W472" s="410">
        <f t="shared" si="19"/>
        <v>9.6999999999999993</v>
      </c>
      <c r="X472" s="472" t="str">
        <f t="shared" si="21"/>
        <v/>
      </c>
      <c r="AT472" s="232"/>
      <c r="AV472" s="198"/>
      <c r="AW472" s="274"/>
    </row>
    <row r="473" spans="2:49" x14ac:dyDescent="0.25">
      <c r="B473" s="274">
        <v>10.9</v>
      </c>
      <c r="C473" s="274">
        <v>96</v>
      </c>
      <c r="D473" s="274">
        <v>10.9</v>
      </c>
      <c r="E473" s="274">
        <v>1.8</v>
      </c>
      <c r="F473" s="274">
        <v>1.8</v>
      </c>
      <c r="G473" s="274">
        <v>9</v>
      </c>
      <c r="H473" s="274">
        <v>1023</v>
      </c>
      <c r="I473" s="274">
        <v>1317</v>
      </c>
      <c r="J473" s="274">
        <v>0</v>
      </c>
      <c r="K473" s="274">
        <v>0</v>
      </c>
      <c r="L473" s="274">
        <v>0</v>
      </c>
      <c r="M473" s="274">
        <v>65.3</v>
      </c>
      <c r="N473" s="396">
        <v>599.79999999999995</v>
      </c>
      <c r="O473" s="396">
        <v>9.6</v>
      </c>
      <c r="P473" s="396">
        <v>9.8000000000000007</v>
      </c>
      <c r="Q473" s="397">
        <v>0.32222222222222202</v>
      </c>
      <c r="R473" s="396"/>
      <c r="S473" s="410"/>
      <c r="T473" s="409"/>
      <c r="U473" s="398" t="str">
        <f t="shared" si="20"/>
        <v/>
      </c>
      <c r="V473" s="400"/>
      <c r="W473" s="410">
        <f t="shared" si="19"/>
        <v>9.8000000000000007</v>
      </c>
      <c r="X473" s="472" t="str">
        <f t="shared" si="21"/>
        <v/>
      </c>
      <c r="AT473" s="232"/>
      <c r="AV473" s="198"/>
      <c r="AW473" s="274"/>
    </row>
    <row r="474" spans="2:49" x14ac:dyDescent="0.25">
      <c r="B474" s="274">
        <v>10.9</v>
      </c>
      <c r="C474" s="274">
        <v>96</v>
      </c>
      <c r="D474" s="274">
        <v>10.9</v>
      </c>
      <c r="E474" s="274">
        <v>0</v>
      </c>
      <c r="F474" s="274">
        <v>0</v>
      </c>
      <c r="G474" s="274">
        <v>9</v>
      </c>
      <c r="H474" s="274">
        <v>1023.2</v>
      </c>
      <c r="I474" s="274">
        <v>1255</v>
      </c>
      <c r="J474" s="274">
        <v>0</v>
      </c>
      <c r="K474" s="274">
        <v>0</v>
      </c>
      <c r="L474" s="274">
        <v>0</v>
      </c>
      <c r="M474" s="274">
        <v>65.3</v>
      </c>
      <c r="N474" s="396">
        <v>599.79999999999995</v>
      </c>
      <c r="O474" s="396">
        <v>9.6</v>
      </c>
      <c r="P474" s="396">
        <v>9.8000000000000007</v>
      </c>
      <c r="Q474" s="397">
        <v>0.32291666666666702</v>
      </c>
      <c r="R474" s="396"/>
      <c r="S474" s="410"/>
      <c r="T474" s="409"/>
      <c r="U474" s="398" t="str">
        <f t="shared" si="20"/>
        <v/>
      </c>
      <c r="V474" s="400"/>
      <c r="W474" s="410">
        <f t="shared" si="19"/>
        <v>9.8000000000000007</v>
      </c>
      <c r="X474" s="472" t="str">
        <f t="shared" si="21"/>
        <v/>
      </c>
      <c r="AT474" s="232"/>
      <c r="AV474" s="198"/>
      <c r="AW474" s="274"/>
    </row>
    <row r="475" spans="2:49" x14ac:dyDescent="0.25">
      <c r="B475" s="274">
        <v>10.9</v>
      </c>
      <c r="C475" s="274">
        <v>96</v>
      </c>
      <c r="D475" s="274">
        <v>10.9</v>
      </c>
      <c r="E475" s="274">
        <v>0</v>
      </c>
      <c r="F475" s="274">
        <v>0</v>
      </c>
      <c r="G475" s="274">
        <v>9</v>
      </c>
      <c r="H475" s="274">
        <v>1022.9</v>
      </c>
      <c r="I475" s="274">
        <v>1534</v>
      </c>
      <c r="J475" s="274">
        <v>0</v>
      </c>
      <c r="K475" s="274">
        <v>0</v>
      </c>
      <c r="L475" s="274">
        <v>0</v>
      </c>
      <c r="M475" s="274">
        <v>65.3</v>
      </c>
      <c r="N475" s="396">
        <v>599.79999999999995</v>
      </c>
      <c r="O475" s="396">
        <v>9.6999999999999993</v>
      </c>
      <c r="P475" s="396">
        <v>9.8000000000000007</v>
      </c>
      <c r="Q475" s="397">
        <v>0.32361111111111102</v>
      </c>
      <c r="R475" s="396"/>
      <c r="S475" s="410"/>
      <c r="T475" s="409"/>
      <c r="U475" s="398" t="str">
        <f t="shared" si="20"/>
        <v/>
      </c>
      <c r="V475" s="400"/>
      <c r="W475" s="410">
        <f t="shared" si="19"/>
        <v>9.8000000000000007</v>
      </c>
      <c r="X475" s="472" t="str">
        <f t="shared" si="21"/>
        <v/>
      </c>
      <c r="AT475" s="232"/>
      <c r="AV475" s="198"/>
      <c r="AW475" s="274"/>
    </row>
    <row r="476" spans="2:49" x14ac:dyDescent="0.25">
      <c r="B476" s="274">
        <v>10.9</v>
      </c>
      <c r="C476" s="274">
        <v>96</v>
      </c>
      <c r="D476" s="274">
        <v>10.9</v>
      </c>
      <c r="E476" s="274">
        <v>1.1000000000000001</v>
      </c>
      <c r="F476" s="274">
        <v>1.8</v>
      </c>
      <c r="G476" s="274">
        <v>9</v>
      </c>
      <c r="H476" s="274">
        <v>1022.9</v>
      </c>
      <c r="I476" s="274">
        <v>1426</v>
      </c>
      <c r="J476" s="274">
        <v>0</v>
      </c>
      <c r="K476" s="274">
        <v>0</v>
      </c>
      <c r="L476" s="274">
        <v>0</v>
      </c>
      <c r="M476" s="274">
        <v>65.3</v>
      </c>
      <c r="N476" s="396">
        <v>599.79999999999995</v>
      </c>
      <c r="O476" s="396">
        <v>9.6999999999999993</v>
      </c>
      <c r="P476" s="396">
        <v>9.9</v>
      </c>
      <c r="Q476" s="397">
        <v>0.32430555555555601</v>
      </c>
      <c r="R476" s="396"/>
      <c r="S476" s="410"/>
      <c r="T476" s="409"/>
      <c r="U476" s="398" t="str">
        <f t="shared" si="20"/>
        <v/>
      </c>
      <c r="V476" s="400"/>
      <c r="W476" s="410">
        <f t="shared" si="19"/>
        <v>9.9</v>
      </c>
      <c r="X476" s="472" t="str">
        <f t="shared" si="21"/>
        <v/>
      </c>
      <c r="AT476" s="232"/>
      <c r="AV476" s="198"/>
      <c r="AW476" s="274"/>
    </row>
    <row r="477" spans="2:49" x14ac:dyDescent="0.25">
      <c r="B477" s="274">
        <v>10.9</v>
      </c>
      <c r="C477" s="274">
        <v>96</v>
      </c>
      <c r="D477" s="274">
        <v>10.9</v>
      </c>
      <c r="E477" s="274">
        <v>1.1000000000000001</v>
      </c>
      <c r="F477" s="274">
        <v>1.8</v>
      </c>
      <c r="G477" s="274">
        <v>9</v>
      </c>
      <c r="H477" s="274">
        <v>1023</v>
      </c>
      <c r="I477" s="274">
        <v>1643</v>
      </c>
      <c r="J477" s="274">
        <v>0</v>
      </c>
      <c r="K477" s="274">
        <v>0</v>
      </c>
      <c r="L477" s="274">
        <v>0</v>
      </c>
      <c r="M477" s="274">
        <v>65.3</v>
      </c>
      <c r="N477" s="396">
        <v>599.79999999999995</v>
      </c>
      <c r="O477" s="396">
        <v>9.8000000000000007</v>
      </c>
      <c r="P477" s="396">
        <v>9.9</v>
      </c>
      <c r="Q477" s="397">
        <v>0.32500000000000001</v>
      </c>
      <c r="R477" s="396"/>
      <c r="S477" s="410"/>
      <c r="T477" s="409"/>
      <c r="U477" s="398" t="str">
        <f t="shared" si="20"/>
        <v/>
      </c>
      <c r="V477" s="400"/>
      <c r="W477" s="410">
        <f t="shared" si="19"/>
        <v>9.9</v>
      </c>
      <c r="X477" s="472" t="str">
        <f t="shared" si="21"/>
        <v/>
      </c>
      <c r="AT477" s="232"/>
      <c r="AV477" s="198"/>
      <c r="AW477" s="274"/>
    </row>
    <row r="478" spans="2:49" x14ac:dyDescent="0.25">
      <c r="B478" s="274">
        <v>10.9</v>
      </c>
      <c r="C478" s="274">
        <v>96</v>
      </c>
      <c r="D478" s="274">
        <v>10.9</v>
      </c>
      <c r="E478" s="274">
        <v>1.1000000000000001</v>
      </c>
      <c r="F478" s="274">
        <v>1.8</v>
      </c>
      <c r="G478" s="274">
        <v>9</v>
      </c>
      <c r="H478" s="274">
        <v>1023</v>
      </c>
      <c r="I478" s="274">
        <v>1643</v>
      </c>
      <c r="J478" s="274">
        <v>0</v>
      </c>
      <c r="K478" s="274">
        <v>0</v>
      </c>
      <c r="L478" s="274">
        <v>0</v>
      </c>
      <c r="M478" s="274">
        <v>65.3</v>
      </c>
      <c r="N478" s="396">
        <v>599.79999999999995</v>
      </c>
      <c r="O478" s="396">
        <v>9.8000000000000007</v>
      </c>
      <c r="P478" s="396">
        <v>9.9</v>
      </c>
      <c r="Q478" s="397">
        <v>0.32569444444444401</v>
      </c>
      <c r="R478" s="396"/>
      <c r="S478" s="410"/>
      <c r="T478" s="409"/>
      <c r="U478" s="398" t="str">
        <f t="shared" si="20"/>
        <v/>
      </c>
      <c r="V478" s="400"/>
      <c r="W478" s="410">
        <f t="shared" si="19"/>
        <v>9.9</v>
      </c>
      <c r="X478" s="472" t="str">
        <f t="shared" si="21"/>
        <v/>
      </c>
      <c r="AT478" s="232"/>
      <c r="AV478" s="198"/>
      <c r="AW478" s="274"/>
    </row>
    <row r="479" spans="2:49" x14ac:dyDescent="0.25">
      <c r="B479" s="274">
        <v>10.9</v>
      </c>
      <c r="C479" s="274">
        <v>96</v>
      </c>
      <c r="D479" s="274">
        <v>10.9</v>
      </c>
      <c r="E479" s="274">
        <v>0.4</v>
      </c>
      <c r="F479" s="274">
        <v>1.8</v>
      </c>
      <c r="G479" s="274">
        <v>9</v>
      </c>
      <c r="H479" s="274">
        <v>1023.2</v>
      </c>
      <c r="I479" s="274">
        <v>1689</v>
      </c>
      <c r="J479" s="274">
        <v>0</v>
      </c>
      <c r="K479" s="274">
        <v>0</v>
      </c>
      <c r="L479" s="274">
        <v>0</v>
      </c>
      <c r="M479" s="274">
        <v>65.3</v>
      </c>
      <c r="N479" s="396">
        <v>599.79999999999995</v>
      </c>
      <c r="O479" s="396">
        <v>9.8000000000000007</v>
      </c>
      <c r="P479" s="396">
        <v>9.9</v>
      </c>
      <c r="Q479" s="397">
        <v>0.32638888888888901</v>
      </c>
      <c r="R479" s="396"/>
      <c r="S479" s="410"/>
      <c r="T479" s="409"/>
      <c r="U479" s="398" t="str">
        <f t="shared" si="20"/>
        <v/>
      </c>
      <c r="V479" s="400"/>
      <c r="W479" s="410">
        <f t="shared" si="19"/>
        <v>9.9</v>
      </c>
      <c r="X479" s="472" t="str">
        <f t="shared" si="21"/>
        <v/>
      </c>
      <c r="AT479" s="232"/>
      <c r="AV479" s="198"/>
      <c r="AW479" s="274"/>
    </row>
    <row r="480" spans="2:49" x14ac:dyDescent="0.25">
      <c r="B480" s="274">
        <v>10.9</v>
      </c>
      <c r="C480" s="274">
        <v>96</v>
      </c>
      <c r="D480" s="274">
        <v>10.9</v>
      </c>
      <c r="E480" s="274">
        <v>0</v>
      </c>
      <c r="F480" s="274">
        <v>0</v>
      </c>
      <c r="G480" s="274">
        <v>9</v>
      </c>
      <c r="H480" s="274">
        <v>1023.2</v>
      </c>
      <c r="I480" s="274">
        <v>1751</v>
      </c>
      <c r="J480" s="274">
        <v>0</v>
      </c>
      <c r="K480" s="274">
        <v>0</v>
      </c>
      <c r="L480" s="274">
        <v>0</v>
      </c>
      <c r="M480" s="274">
        <v>65.3</v>
      </c>
      <c r="N480" s="396">
        <v>599.79999999999995</v>
      </c>
      <c r="O480" s="396">
        <v>9.8000000000000007</v>
      </c>
      <c r="P480" s="396">
        <v>10</v>
      </c>
      <c r="Q480" s="397">
        <v>0.327083333333333</v>
      </c>
      <c r="R480" s="396"/>
      <c r="S480" s="410"/>
      <c r="T480" s="409"/>
      <c r="U480" s="398" t="str">
        <f t="shared" si="20"/>
        <v/>
      </c>
      <c r="V480" s="400"/>
      <c r="W480" s="410">
        <f t="shared" si="19"/>
        <v>10</v>
      </c>
      <c r="X480" s="472" t="str">
        <f t="shared" si="21"/>
        <v/>
      </c>
      <c r="AT480" s="232"/>
      <c r="AV480" s="198"/>
      <c r="AW480" s="274"/>
    </row>
    <row r="481" spans="2:49" x14ac:dyDescent="0.25">
      <c r="B481" s="274">
        <v>10.9</v>
      </c>
      <c r="C481" s="274">
        <v>96</v>
      </c>
      <c r="D481" s="274">
        <v>10.9</v>
      </c>
      <c r="E481" s="274">
        <v>0</v>
      </c>
      <c r="F481" s="274">
        <v>0</v>
      </c>
      <c r="G481" s="274">
        <v>9</v>
      </c>
      <c r="H481" s="274">
        <v>1023.2</v>
      </c>
      <c r="I481" s="274">
        <v>1860</v>
      </c>
      <c r="J481" s="274">
        <v>0</v>
      </c>
      <c r="K481" s="274">
        <v>0</v>
      </c>
      <c r="L481" s="274">
        <v>0</v>
      </c>
      <c r="M481" s="274">
        <v>65.3</v>
      </c>
      <c r="N481" s="396">
        <v>599.79999999999995</v>
      </c>
      <c r="O481" s="396">
        <v>9.9</v>
      </c>
      <c r="P481" s="396">
        <v>10</v>
      </c>
      <c r="Q481" s="397">
        <v>0.327777777777778</v>
      </c>
      <c r="R481" s="396"/>
      <c r="S481" s="410"/>
      <c r="T481" s="409"/>
      <c r="U481" s="398" t="str">
        <f t="shared" si="20"/>
        <v/>
      </c>
      <c r="V481" s="400"/>
      <c r="W481" s="410">
        <f t="shared" si="19"/>
        <v>10</v>
      </c>
      <c r="X481" s="472" t="str">
        <f t="shared" si="21"/>
        <v/>
      </c>
      <c r="AT481" s="232"/>
      <c r="AV481" s="198"/>
      <c r="AW481" s="274"/>
    </row>
    <row r="482" spans="2:49" x14ac:dyDescent="0.25">
      <c r="B482" s="274">
        <v>10.9</v>
      </c>
      <c r="C482" s="274">
        <v>96</v>
      </c>
      <c r="D482" s="274">
        <v>10.9</v>
      </c>
      <c r="E482" s="274">
        <v>0</v>
      </c>
      <c r="F482" s="274">
        <v>0</v>
      </c>
      <c r="G482" s="274">
        <v>9</v>
      </c>
      <c r="H482" s="274">
        <v>1023.1</v>
      </c>
      <c r="I482" s="274">
        <v>1689</v>
      </c>
      <c r="J482" s="274">
        <v>0</v>
      </c>
      <c r="K482" s="274">
        <v>0</v>
      </c>
      <c r="L482" s="274">
        <v>0</v>
      </c>
      <c r="M482" s="274">
        <v>65.3</v>
      </c>
      <c r="N482" s="396">
        <v>599.79999999999995</v>
      </c>
      <c r="O482" s="396">
        <v>9.9</v>
      </c>
      <c r="P482" s="396">
        <v>10</v>
      </c>
      <c r="Q482" s="397">
        <v>0.328472222222222</v>
      </c>
      <c r="R482" s="396"/>
      <c r="S482" s="410"/>
      <c r="T482" s="409"/>
      <c r="U482" s="398" t="str">
        <f t="shared" si="20"/>
        <v/>
      </c>
      <c r="V482" s="400"/>
      <c r="W482" s="410">
        <f t="shared" si="19"/>
        <v>10</v>
      </c>
      <c r="X482" s="472" t="str">
        <f t="shared" si="21"/>
        <v/>
      </c>
      <c r="AT482" s="232"/>
      <c r="AV482" s="198"/>
      <c r="AW482" s="274"/>
    </row>
    <row r="483" spans="2:49" x14ac:dyDescent="0.25">
      <c r="B483" s="274">
        <v>10.9</v>
      </c>
      <c r="C483" s="274">
        <v>96</v>
      </c>
      <c r="D483" s="274">
        <v>10.9</v>
      </c>
      <c r="E483" s="274">
        <v>0</v>
      </c>
      <c r="F483" s="274">
        <v>0</v>
      </c>
      <c r="G483" s="274">
        <v>9</v>
      </c>
      <c r="H483" s="274">
        <v>1023.1</v>
      </c>
      <c r="I483" s="274">
        <v>1860</v>
      </c>
      <c r="J483" s="274">
        <v>0</v>
      </c>
      <c r="K483" s="274">
        <v>0</v>
      </c>
      <c r="L483" s="274">
        <v>0</v>
      </c>
      <c r="M483" s="274">
        <v>65.3</v>
      </c>
      <c r="N483" s="396">
        <v>599.79999999999995</v>
      </c>
      <c r="O483" s="396">
        <v>10</v>
      </c>
      <c r="P483" s="396">
        <v>10</v>
      </c>
      <c r="Q483" s="397">
        <v>0.329166666666667</v>
      </c>
      <c r="R483" s="396"/>
      <c r="S483" s="410"/>
      <c r="T483" s="409"/>
      <c r="U483" s="398" t="str">
        <f t="shared" si="20"/>
        <v/>
      </c>
      <c r="V483" s="400"/>
      <c r="W483" s="410">
        <f t="shared" si="19"/>
        <v>10</v>
      </c>
      <c r="X483" s="472" t="str">
        <f t="shared" si="21"/>
        <v/>
      </c>
      <c r="AT483" s="232"/>
      <c r="AV483" s="198"/>
      <c r="AW483" s="274"/>
    </row>
    <row r="484" spans="2:49" x14ac:dyDescent="0.25">
      <c r="B484" s="274">
        <v>10.9</v>
      </c>
      <c r="C484" s="274">
        <v>96</v>
      </c>
      <c r="D484" s="274">
        <v>10.9</v>
      </c>
      <c r="E484" s="274">
        <v>0</v>
      </c>
      <c r="F484" s="274">
        <v>0</v>
      </c>
      <c r="G484" s="274">
        <v>9</v>
      </c>
      <c r="H484" s="274">
        <v>1023.2</v>
      </c>
      <c r="I484" s="274">
        <v>1922</v>
      </c>
      <c r="J484" s="274">
        <v>0</v>
      </c>
      <c r="K484" s="274">
        <v>0</v>
      </c>
      <c r="L484" s="274">
        <v>0</v>
      </c>
      <c r="M484" s="274">
        <v>65.3</v>
      </c>
      <c r="N484" s="396">
        <v>599.79999999999995</v>
      </c>
      <c r="O484" s="396">
        <v>10</v>
      </c>
      <c r="P484" s="396">
        <v>10.1</v>
      </c>
      <c r="Q484" s="397">
        <v>0.32986111111111099</v>
      </c>
      <c r="R484" s="396"/>
      <c r="S484" s="410"/>
      <c r="T484" s="409"/>
      <c r="U484" s="398" t="str">
        <f t="shared" si="20"/>
        <v/>
      </c>
      <c r="V484" s="400"/>
      <c r="W484" s="410">
        <f t="shared" si="19"/>
        <v>10.1</v>
      </c>
      <c r="X484" s="472" t="str">
        <f t="shared" si="21"/>
        <v/>
      </c>
      <c r="AT484" s="232"/>
      <c r="AV484" s="198"/>
      <c r="AW484" s="274"/>
    </row>
    <row r="485" spans="2:49" x14ac:dyDescent="0.25">
      <c r="B485" s="274">
        <v>10.9</v>
      </c>
      <c r="C485" s="274">
        <v>96</v>
      </c>
      <c r="D485" s="274">
        <v>10.9</v>
      </c>
      <c r="E485" s="274">
        <v>0</v>
      </c>
      <c r="F485" s="274">
        <v>0</v>
      </c>
      <c r="G485" s="274">
        <v>9</v>
      </c>
      <c r="H485" s="274">
        <v>1023.1</v>
      </c>
      <c r="I485" s="274">
        <v>1968</v>
      </c>
      <c r="J485" s="274">
        <v>0</v>
      </c>
      <c r="K485" s="274">
        <v>0</v>
      </c>
      <c r="L485" s="274">
        <v>0</v>
      </c>
      <c r="M485" s="274">
        <v>65.3</v>
      </c>
      <c r="N485" s="396">
        <v>599.79999999999995</v>
      </c>
      <c r="O485" s="396">
        <v>10</v>
      </c>
      <c r="P485" s="396">
        <v>10.1</v>
      </c>
      <c r="Q485" s="397">
        <v>0.33055555555555599</v>
      </c>
      <c r="R485" s="396"/>
      <c r="S485" s="410"/>
      <c r="T485" s="409"/>
      <c r="U485" s="398" t="str">
        <f t="shared" si="20"/>
        <v/>
      </c>
      <c r="V485" s="400"/>
      <c r="W485" s="410">
        <f t="shared" si="19"/>
        <v>10.1</v>
      </c>
      <c r="X485" s="472" t="str">
        <f t="shared" si="21"/>
        <v/>
      </c>
      <c r="AT485" s="232"/>
      <c r="AV485" s="198"/>
      <c r="AW485" s="274"/>
    </row>
    <row r="486" spans="2:49" x14ac:dyDescent="0.25">
      <c r="B486" s="274">
        <v>10.9</v>
      </c>
      <c r="C486" s="274">
        <v>96</v>
      </c>
      <c r="D486" s="274">
        <v>10.9</v>
      </c>
      <c r="E486" s="274">
        <v>0</v>
      </c>
      <c r="F486" s="274">
        <v>0</v>
      </c>
      <c r="G486" s="274">
        <v>9</v>
      </c>
      <c r="H486" s="274">
        <v>1023.2</v>
      </c>
      <c r="I486" s="274">
        <v>2077</v>
      </c>
      <c r="J486" s="274">
        <v>0</v>
      </c>
      <c r="K486" s="274">
        <v>0</v>
      </c>
      <c r="L486" s="274">
        <v>0</v>
      </c>
      <c r="M486" s="274">
        <v>65.3</v>
      </c>
      <c r="N486" s="396">
        <v>599.79999999999995</v>
      </c>
      <c r="O486" s="396">
        <v>10.1</v>
      </c>
      <c r="P486" s="396">
        <v>10.1</v>
      </c>
      <c r="Q486" s="397">
        <v>0.33124999999999999</v>
      </c>
      <c r="R486" s="396"/>
      <c r="S486" s="410"/>
      <c r="T486" s="409"/>
      <c r="U486" s="398" t="str">
        <f t="shared" si="20"/>
        <v/>
      </c>
      <c r="V486" s="400"/>
      <c r="W486" s="410">
        <f t="shared" si="19"/>
        <v>10.1</v>
      </c>
      <c r="X486" s="472" t="str">
        <f t="shared" si="21"/>
        <v/>
      </c>
      <c r="AT486" s="232"/>
      <c r="AV486" s="198"/>
      <c r="AW486" s="274"/>
    </row>
    <row r="487" spans="2:49" x14ac:dyDescent="0.25">
      <c r="B487" s="274">
        <v>10.9</v>
      </c>
      <c r="C487" s="274">
        <v>96</v>
      </c>
      <c r="D487" s="274">
        <v>10.9</v>
      </c>
      <c r="E487" s="274">
        <v>0</v>
      </c>
      <c r="F487" s="274">
        <v>0</v>
      </c>
      <c r="G487" s="274">
        <v>9</v>
      </c>
      <c r="H487" s="274">
        <v>1023</v>
      </c>
      <c r="I487" s="274">
        <v>2185</v>
      </c>
      <c r="J487" s="274">
        <v>0</v>
      </c>
      <c r="K487" s="274">
        <v>0</v>
      </c>
      <c r="L487" s="274">
        <v>0</v>
      </c>
      <c r="M487" s="274">
        <v>65.3</v>
      </c>
      <c r="N487" s="396">
        <v>599.79999999999995</v>
      </c>
      <c r="O487" s="396">
        <v>10.1</v>
      </c>
      <c r="P487" s="396">
        <v>10.1</v>
      </c>
      <c r="Q487" s="397">
        <v>0.33194444444444399</v>
      </c>
      <c r="R487" s="396"/>
      <c r="S487" s="410"/>
      <c r="T487" s="409"/>
      <c r="U487" s="398" t="str">
        <f t="shared" si="20"/>
        <v/>
      </c>
      <c r="V487" s="400"/>
      <c r="W487" s="410">
        <f t="shared" si="19"/>
        <v>10.1</v>
      </c>
      <c r="X487" s="472" t="str">
        <f t="shared" si="21"/>
        <v/>
      </c>
      <c r="AT487" s="232"/>
      <c r="AV487" s="198"/>
      <c r="AW487" s="274"/>
    </row>
    <row r="488" spans="2:49" x14ac:dyDescent="0.25">
      <c r="B488" s="274">
        <v>10.9</v>
      </c>
      <c r="C488" s="274">
        <v>96</v>
      </c>
      <c r="D488" s="274">
        <v>10.9</v>
      </c>
      <c r="E488" s="274">
        <v>0</v>
      </c>
      <c r="F488" s="274">
        <v>0</v>
      </c>
      <c r="G488" s="274">
        <v>9</v>
      </c>
      <c r="H488" s="274">
        <v>1023.4</v>
      </c>
      <c r="I488" s="274">
        <v>2077</v>
      </c>
      <c r="J488" s="274">
        <v>0</v>
      </c>
      <c r="K488" s="274">
        <v>0</v>
      </c>
      <c r="L488" s="274">
        <v>0</v>
      </c>
      <c r="M488" s="274">
        <v>65.3</v>
      </c>
      <c r="N488" s="396">
        <v>599.79999999999995</v>
      </c>
      <c r="O488" s="396">
        <v>10.199999999999999</v>
      </c>
      <c r="P488" s="396">
        <v>10.199999999999999</v>
      </c>
      <c r="Q488" s="397">
        <v>0.33263888888888898</v>
      </c>
      <c r="R488" s="396"/>
      <c r="S488" s="410"/>
      <c r="T488" s="409"/>
      <c r="U488" s="398" t="str">
        <f t="shared" si="20"/>
        <v/>
      </c>
      <c r="V488" s="400"/>
      <c r="W488" s="410">
        <f t="shared" si="19"/>
        <v>10.199999999999999</v>
      </c>
      <c r="X488" s="472" t="str">
        <f t="shared" si="21"/>
        <v/>
      </c>
      <c r="AT488" s="232"/>
      <c r="AV488" s="198"/>
      <c r="AW488" s="274"/>
    </row>
    <row r="489" spans="2:49" x14ac:dyDescent="0.25">
      <c r="B489" s="274">
        <v>10.9</v>
      </c>
      <c r="C489" s="274">
        <v>96</v>
      </c>
      <c r="D489" s="274">
        <v>10.9</v>
      </c>
      <c r="E489" s="274">
        <v>1.1000000000000001</v>
      </c>
      <c r="F489" s="274">
        <v>1.8</v>
      </c>
      <c r="G489" s="274">
        <v>9</v>
      </c>
      <c r="H489" s="274">
        <v>1023.3</v>
      </c>
      <c r="I489" s="274">
        <v>2139</v>
      </c>
      <c r="J489" s="274">
        <v>0</v>
      </c>
      <c r="K489" s="274">
        <v>0</v>
      </c>
      <c r="L489" s="274">
        <v>0</v>
      </c>
      <c r="M489" s="274">
        <v>65.3</v>
      </c>
      <c r="N489" s="396">
        <v>599.79999999999995</v>
      </c>
      <c r="O489" s="396">
        <v>10.199999999999999</v>
      </c>
      <c r="P489" s="396">
        <v>10.3</v>
      </c>
      <c r="Q489" s="397">
        <v>0.33333333333333298</v>
      </c>
      <c r="R489" s="396"/>
      <c r="S489" s="410"/>
      <c r="T489" s="409"/>
      <c r="U489" s="398" t="str">
        <f t="shared" si="20"/>
        <v/>
      </c>
      <c r="V489" s="400"/>
      <c r="W489" s="410">
        <f t="shared" si="19"/>
        <v>10.3</v>
      </c>
      <c r="X489" s="472" t="str">
        <f t="shared" si="21"/>
        <v/>
      </c>
      <c r="AT489" s="232"/>
      <c r="AV489" s="198"/>
      <c r="AW489" s="274"/>
    </row>
    <row r="490" spans="2:49" x14ac:dyDescent="0.25">
      <c r="B490" s="274">
        <v>10.9</v>
      </c>
      <c r="C490" s="274">
        <v>96</v>
      </c>
      <c r="D490" s="274">
        <v>10.9</v>
      </c>
      <c r="E490" s="274">
        <v>0.4</v>
      </c>
      <c r="F490" s="274">
        <v>1.8</v>
      </c>
      <c r="G490" s="274">
        <v>9</v>
      </c>
      <c r="H490" s="274">
        <v>1023.1</v>
      </c>
      <c r="I490" s="274">
        <v>2139</v>
      </c>
      <c r="J490" s="274">
        <v>0</v>
      </c>
      <c r="K490" s="274">
        <v>0</v>
      </c>
      <c r="L490" s="274">
        <v>0</v>
      </c>
      <c r="M490" s="274">
        <v>65.3</v>
      </c>
      <c r="N490" s="396">
        <v>599.79999999999995</v>
      </c>
      <c r="O490" s="396">
        <v>10.199999999999999</v>
      </c>
      <c r="P490" s="396">
        <v>10.4</v>
      </c>
      <c r="Q490" s="397">
        <v>0.33402777777777798</v>
      </c>
      <c r="R490" s="396"/>
      <c r="S490" s="410"/>
      <c r="T490" s="409"/>
      <c r="U490" s="398" t="str">
        <f t="shared" si="20"/>
        <v/>
      </c>
      <c r="V490" s="400"/>
      <c r="W490" s="410">
        <f t="shared" si="19"/>
        <v>10.4</v>
      </c>
      <c r="X490" s="472" t="str">
        <f t="shared" si="21"/>
        <v/>
      </c>
      <c r="AT490" s="232"/>
      <c r="AV490" s="198"/>
      <c r="AW490" s="274"/>
    </row>
    <row r="491" spans="2:49" x14ac:dyDescent="0.25">
      <c r="B491" s="274">
        <v>10.9</v>
      </c>
      <c r="C491" s="274">
        <v>96</v>
      </c>
      <c r="D491" s="274">
        <v>10.9</v>
      </c>
      <c r="E491" s="274">
        <v>0.7</v>
      </c>
      <c r="F491" s="274">
        <v>1.8</v>
      </c>
      <c r="G491" s="274">
        <v>9</v>
      </c>
      <c r="H491" s="274">
        <v>1023.1</v>
      </c>
      <c r="I491" s="274">
        <v>2185</v>
      </c>
      <c r="J491" s="274">
        <v>0</v>
      </c>
      <c r="K491" s="274">
        <v>0</v>
      </c>
      <c r="L491" s="274">
        <v>0</v>
      </c>
      <c r="M491" s="274">
        <v>65.3</v>
      </c>
      <c r="N491" s="396">
        <v>599.79999999999995</v>
      </c>
      <c r="O491" s="396">
        <v>10.199999999999999</v>
      </c>
      <c r="P491" s="396">
        <v>10.6</v>
      </c>
      <c r="Q491" s="397">
        <v>0.33472222222222198</v>
      </c>
      <c r="R491" s="396"/>
      <c r="S491" s="410"/>
      <c r="T491" s="409"/>
      <c r="U491" s="398" t="str">
        <f t="shared" si="20"/>
        <v/>
      </c>
      <c r="V491" s="400"/>
      <c r="W491" s="410">
        <f t="shared" si="19"/>
        <v>10.6</v>
      </c>
      <c r="X491" s="472" t="str">
        <f t="shared" si="21"/>
        <v/>
      </c>
      <c r="AT491" s="232"/>
      <c r="AV491" s="198"/>
      <c r="AW491" s="274"/>
    </row>
    <row r="492" spans="2:49" x14ac:dyDescent="0.25">
      <c r="B492" s="274">
        <v>11</v>
      </c>
      <c r="C492" s="274">
        <v>96</v>
      </c>
      <c r="D492" s="274">
        <v>11</v>
      </c>
      <c r="E492" s="274">
        <v>0</v>
      </c>
      <c r="F492" s="274">
        <v>0</v>
      </c>
      <c r="G492" s="274">
        <v>9</v>
      </c>
      <c r="H492" s="274">
        <v>1023.2</v>
      </c>
      <c r="I492" s="274">
        <v>2294</v>
      </c>
      <c r="J492" s="274">
        <v>0</v>
      </c>
      <c r="K492" s="274">
        <v>0</v>
      </c>
      <c r="L492" s="274">
        <v>0</v>
      </c>
      <c r="M492" s="274">
        <v>65.3</v>
      </c>
      <c r="N492" s="396">
        <v>599.79999999999995</v>
      </c>
      <c r="O492" s="396">
        <v>10.3</v>
      </c>
      <c r="P492" s="396">
        <v>10.7</v>
      </c>
      <c r="Q492" s="397">
        <v>0.33541666666666697</v>
      </c>
      <c r="R492" s="396"/>
      <c r="S492" s="410"/>
      <c r="T492" s="409"/>
      <c r="U492" s="398" t="str">
        <f t="shared" si="20"/>
        <v/>
      </c>
      <c r="V492" s="400"/>
      <c r="W492" s="410">
        <f t="shared" si="19"/>
        <v>10.7</v>
      </c>
      <c r="X492" s="472" t="str">
        <f t="shared" si="21"/>
        <v/>
      </c>
      <c r="AT492" s="232"/>
      <c r="AV492" s="198"/>
      <c r="AW492" s="274"/>
    </row>
    <row r="493" spans="2:49" x14ac:dyDescent="0.25">
      <c r="B493" s="274">
        <v>11</v>
      </c>
      <c r="C493" s="274">
        <v>96</v>
      </c>
      <c r="D493" s="274">
        <v>11</v>
      </c>
      <c r="E493" s="274">
        <v>0</v>
      </c>
      <c r="F493" s="274">
        <v>0</v>
      </c>
      <c r="G493" s="274">
        <v>9</v>
      </c>
      <c r="H493" s="274">
        <v>1023.1</v>
      </c>
      <c r="I493" s="274">
        <v>2418</v>
      </c>
      <c r="J493" s="274">
        <v>0</v>
      </c>
      <c r="K493" s="274">
        <v>0</v>
      </c>
      <c r="L493" s="274">
        <v>0</v>
      </c>
      <c r="M493" s="274">
        <v>65.3</v>
      </c>
      <c r="N493" s="396">
        <v>599.79999999999995</v>
      </c>
      <c r="O493" s="396">
        <v>10.3</v>
      </c>
      <c r="P493" s="396">
        <v>10.9</v>
      </c>
      <c r="Q493" s="397">
        <v>0.33611111111111103</v>
      </c>
      <c r="R493" s="396"/>
      <c r="S493" s="410"/>
      <c r="T493" s="409"/>
      <c r="U493" s="398" t="str">
        <f t="shared" si="20"/>
        <v/>
      </c>
      <c r="V493" s="400"/>
      <c r="W493" s="410">
        <f t="shared" si="19"/>
        <v>10.9</v>
      </c>
      <c r="X493" s="472" t="str">
        <f t="shared" si="21"/>
        <v/>
      </c>
      <c r="AT493" s="232"/>
      <c r="AV493" s="198"/>
      <c r="AW493" s="274"/>
    </row>
    <row r="494" spans="2:49" x14ac:dyDescent="0.25">
      <c r="B494" s="274">
        <v>11</v>
      </c>
      <c r="C494" s="274">
        <v>96</v>
      </c>
      <c r="D494" s="274">
        <v>11</v>
      </c>
      <c r="E494" s="274">
        <v>0</v>
      </c>
      <c r="F494" s="274">
        <v>0</v>
      </c>
      <c r="G494" s="274">
        <v>9</v>
      </c>
      <c r="H494" s="274">
        <v>1023.2</v>
      </c>
      <c r="I494" s="274">
        <v>2464</v>
      </c>
      <c r="J494" s="274">
        <v>0</v>
      </c>
      <c r="K494" s="274">
        <v>0</v>
      </c>
      <c r="L494" s="274">
        <v>0</v>
      </c>
      <c r="M494" s="274">
        <v>65.3</v>
      </c>
      <c r="N494" s="396">
        <v>599.79999999999995</v>
      </c>
      <c r="O494" s="396">
        <v>10.3</v>
      </c>
      <c r="P494" s="396">
        <v>11</v>
      </c>
      <c r="Q494" s="397">
        <v>0.33680555555555602</v>
      </c>
      <c r="R494" s="396"/>
      <c r="S494" s="410"/>
      <c r="T494" s="409"/>
      <c r="U494" s="398" t="str">
        <f t="shared" si="20"/>
        <v/>
      </c>
      <c r="V494" s="400"/>
      <c r="W494" s="410">
        <f t="shared" si="19"/>
        <v>11</v>
      </c>
      <c r="X494" s="472" t="str">
        <f t="shared" si="21"/>
        <v/>
      </c>
      <c r="AT494" s="232"/>
      <c r="AV494" s="198"/>
      <c r="AW494" s="274"/>
    </row>
    <row r="495" spans="2:49" x14ac:dyDescent="0.25">
      <c r="B495" s="274">
        <v>11.1</v>
      </c>
      <c r="C495" s="274">
        <v>96</v>
      </c>
      <c r="D495" s="274">
        <v>11.1</v>
      </c>
      <c r="E495" s="274">
        <v>0</v>
      </c>
      <c r="F495" s="274">
        <v>0</v>
      </c>
      <c r="G495" s="274">
        <v>9</v>
      </c>
      <c r="H495" s="274">
        <v>1023.2</v>
      </c>
      <c r="I495" s="274">
        <v>2526</v>
      </c>
      <c r="J495" s="274">
        <v>0</v>
      </c>
      <c r="K495" s="274">
        <v>0</v>
      </c>
      <c r="L495" s="274">
        <v>0</v>
      </c>
      <c r="M495" s="274">
        <v>65.3</v>
      </c>
      <c r="N495" s="396">
        <v>599.79999999999995</v>
      </c>
      <c r="O495" s="396">
        <v>10.3</v>
      </c>
      <c r="P495" s="396">
        <v>11.1</v>
      </c>
      <c r="Q495" s="397">
        <v>0.33750000000000002</v>
      </c>
      <c r="R495" s="396"/>
      <c r="S495" s="410"/>
      <c r="T495" s="409"/>
      <c r="U495" s="398" t="str">
        <f t="shared" si="20"/>
        <v/>
      </c>
      <c r="V495" s="400"/>
      <c r="W495" s="410">
        <f t="shared" si="19"/>
        <v>11.1</v>
      </c>
      <c r="X495" s="472" t="str">
        <f t="shared" si="21"/>
        <v/>
      </c>
      <c r="AT495" s="232"/>
      <c r="AV495" s="198"/>
      <c r="AW495" s="274"/>
    </row>
    <row r="496" spans="2:49" x14ac:dyDescent="0.25">
      <c r="B496" s="274">
        <v>11.1</v>
      </c>
      <c r="C496" s="274">
        <v>96</v>
      </c>
      <c r="D496" s="274">
        <v>11.1</v>
      </c>
      <c r="E496" s="274">
        <v>0</v>
      </c>
      <c r="F496" s="274">
        <v>0</v>
      </c>
      <c r="G496" s="274">
        <v>9</v>
      </c>
      <c r="H496" s="274">
        <v>1023.2</v>
      </c>
      <c r="I496" s="274">
        <v>2635</v>
      </c>
      <c r="J496" s="274">
        <v>0</v>
      </c>
      <c r="K496" s="274">
        <v>0</v>
      </c>
      <c r="L496" s="274">
        <v>0</v>
      </c>
      <c r="M496" s="274">
        <v>65.3</v>
      </c>
      <c r="N496" s="396">
        <v>599.79999999999995</v>
      </c>
      <c r="O496" s="396">
        <v>10.3</v>
      </c>
      <c r="P496" s="396">
        <v>11.3</v>
      </c>
      <c r="Q496" s="397">
        <v>0.33819444444444402</v>
      </c>
      <c r="R496" s="396"/>
      <c r="S496" s="410"/>
      <c r="T496" s="409"/>
      <c r="U496" s="398" t="str">
        <f t="shared" si="20"/>
        <v/>
      </c>
      <c r="V496" s="400"/>
      <c r="W496" s="410">
        <f t="shared" si="19"/>
        <v>11.3</v>
      </c>
      <c r="X496" s="472" t="str">
        <f t="shared" si="21"/>
        <v/>
      </c>
      <c r="AT496" s="232"/>
      <c r="AV496" s="198"/>
      <c r="AW496" s="274"/>
    </row>
    <row r="497" spans="2:49" x14ac:dyDescent="0.25">
      <c r="B497" s="274">
        <v>11.1</v>
      </c>
      <c r="C497" s="274">
        <v>96</v>
      </c>
      <c r="D497" s="274">
        <v>11.1</v>
      </c>
      <c r="E497" s="274">
        <v>0</v>
      </c>
      <c r="F497" s="274">
        <v>0</v>
      </c>
      <c r="G497" s="274">
        <v>9</v>
      </c>
      <c r="H497" s="274">
        <v>1023.2</v>
      </c>
      <c r="I497" s="274">
        <v>2573</v>
      </c>
      <c r="J497" s="274">
        <v>0</v>
      </c>
      <c r="K497" s="274">
        <v>0</v>
      </c>
      <c r="L497" s="274">
        <v>0</v>
      </c>
      <c r="M497" s="274">
        <v>65.3</v>
      </c>
      <c r="N497" s="396">
        <v>599.79999999999995</v>
      </c>
      <c r="O497" s="396">
        <v>10.4</v>
      </c>
      <c r="P497" s="396">
        <v>11.4</v>
      </c>
      <c r="Q497" s="397">
        <v>0.33888888888888902</v>
      </c>
      <c r="R497" s="396"/>
      <c r="S497" s="410"/>
      <c r="T497" s="409"/>
      <c r="U497" s="398" t="str">
        <f t="shared" si="20"/>
        <v/>
      </c>
      <c r="V497" s="400"/>
      <c r="W497" s="410">
        <f t="shared" si="19"/>
        <v>11.4</v>
      </c>
      <c r="X497" s="472" t="str">
        <f t="shared" si="21"/>
        <v/>
      </c>
      <c r="AT497" s="232"/>
      <c r="AV497" s="198"/>
      <c r="AW497" s="274"/>
    </row>
    <row r="498" spans="2:49" x14ac:dyDescent="0.25">
      <c r="B498" s="274">
        <v>11.1</v>
      </c>
      <c r="C498" s="274">
        <v>96</v>
      </c>
      <c r="D498" s="274">
        <v>11.1</v>
      </c>
      <c r="E498" s="274">
        <v>0</v>
      </c>
      <c r="F498" s="274">
        <v>0</v>
      </c>
      <c r="G498" s="274">
        <v>9</v>
      </c>
      <c r="H498" s="274">
        <v>1023.3</v>
      </c>
      <c r="I498" s="274">
        <v>2681</v>
      </c>
      <c r="J498" s="274">
        <v>0</v>
      </c>
      <c r="K498" s="274">
        <v>0</v>
      </c>
      <c r="L498" s="274">
        <v>0</v>
      </c>
      <c r="M498" s="274">
        <v>65.3</v>
      </c>
      <c r="N498" s="396">
        <v>599.79999999999995</v>
      </c>
      <c r="O498" s="396">
        <v>10.4</v>
      </c>
      <c r="P498" s="396">
        <v>11.6</v>
      </c>
      <c r="Q498" s="397">
        <v>0.33958333333333302</v>
      </c>
      <c r="R498" s="396"/>
      <c r="S498" s="410"/>
      <c r="T498" s="409"/>
      <c r="U498" s="398" t="str">
        <f t="shared" si="20"/>
        <v/>
      </c>
      <c r="V498" s="400"/>
      <c r="W498" s="410">
        <f t="shared" ref="W498:W561" si="22">MAX(O498:P498)</f>
        <v>11.6</v>
      </c>
      <c r="X498" s="472" t="str">
        <f t="shared" si="21"/>
        <v/>
      </c>
      <c r="AT498" s="232"/>
      <c r="AV498" s="198"/>
      <c r="AW498" s="274"/>
    </row>
    <row r="499" spans="2:49" x14ac:dyDescent="0.25">
      <c r="B499" s="274">
        <v>11.2</v>
      </c>
      <c r="C499" s="274">
        <v>96</v>
      </c>
      <c r="D499" s="274">
        <v>11.2</v>
      </c>
      <c r="E499" s="274">
        <v>0</v>
      </c>
      <c r="F499" s="274">
        <v>0</v>
      </c>
      <c r="G499" s="274">
        <v>9</v>
      </c>
      <c r="H499" s="274">
        <v>1023.4</v>
      </c>
      <c r="I499" s="274">
        <v>2635</v>
      </c>
      <c r="J499" s="274">
        <v>0</v>
      </c>
      <c r="K499" s="274">
        <v>0</v>
      </c>
      <c r="L499" s="274">
        <v>0</v>
      </c>
      <c r="M499" s="274">
        <v>65.3</v>
      </c>
      <c r="N499" s="396">
        <v>599.79999999999995</v>
      </c>
      <c r="O499" s="396">
        <v>10.4</v>
      </c>
      <c r="P499" s="396">
        <v>11.8</v>
      </c>
      <c r="Q499" s="397">
        <v>0.34027777777777801</v>
      </c>
      <c r="R499" s="396"/>
      <c r="S499" s="410"/>
      <c r="T499" s="409"/>
      <c r="U499" s="398" t="str">
        <f t="shared" si="20"/>
        <v/>
      </c>
      <c r="V499" s="400"/>
      <c r="W499" s="410">
        <f t="shared" si="22"/>
        <v>11.8</v>
      </c>
      <c r="X499" s="472" t="str">
        <f t="shared" si="21"/>
        <v/>
      </c>
      <c r="AT499" s="232"/>
      <c r="AV499" s="198"/>
      <c r="AW499" s="274"/>
    </row>
    <row r="500" spans="2:49" x14ac:dyDescent="0.25">
      <c r="B500" s="274">
        <v>11.2</v>
      </c>
      <c r="C500" s="274">
        <v>96</v>
      </c>
      <c r="D500" s="274">
        <v>11.2</v>
      </c>
      <c r="E500" s="274">
        <v>0</v>
      </c>
      <c r="F500" s="274">
        <v>0</v>
      </c>
      <c r="G500" s="274">
        <v>9</v>
      </c>
      <c r="H500" s="274">
        <v>1023.2</v>
      </c>
      <c r="I500" s="274">
        <v>2681</v>
      </c>
      <c r="J500" s="274">
        <v>0</v>
      </c>
      <c r="K500" s="274">
        <v>0</v>
      </c>
      <c r="L500" s="274">
        <v>0</v>
      </c>
      <c r="M500" s="274">
        <v>65.3</v>
      </c>
      <c r="N500" s="396">
        <v>599.79999999999995</v>
      </c>
      <c r="O500" s="396">
        <v>10.4</v>
      </c>
      <c r="P500" s="396">
        <v>12.1</v>
      </c>
      <c r="Q500" s="397">
        <v>0.34097222222222201</v>
      </c>
      <c r="R500" s="396"/>
      <c r="S500" s="410"/>
      <c r="T500" s="409"/>
      <c r="U500" s="398" t="str">
        <f t="shared" si="20"/>
        <v/>
      </c>
      <c r="V500" s="400"/>
      <c r="W500" s="410">
        <f t="shared" si="22"/>
        <v>12.1</v>
      </c>
      <c r="X500" s="472" t="str">
        <f t="shared" si="21"/>
        <v/>
      </c>
      <c r="AT500" s="232"/>
      <c r="AV500" s="198"/>
      <c r="AW500" s="274"/>
    </row>
    <row r="501" spans="2:49" x14ac:dyDescent="0.25">
      <c r="B501" s="274">
        <v>11.2</v>
      </c>
      <c r="C501" s="274">
        <v>96</v>
      </c>
      <c r="D501" s="274">
        <v>11.2</v>
      </c>
      <c r="E501" s="274">
        <v>0</v>
      </c>
      <c r="F501" s="274">
        <v>0</v>
      </c>
      <c r="G501" s="274">
        <v>9</v>
      </c>
      <c r="H501" s="274">
        <v>1023.2</v>
      </c>
      <c r="I501" s="274">
        <v>2743</v>
      </c>
      <c r="J501" s="274">
        <v>0</v>
      </c>
      <c r="K501" s="274">
        <v>0</v>
      </c>
      <c r="L501" s="274">
        <v>0</v>
      </c>
      <c r="M501" s="274">
        <v>65.3</v>
      </c>
      <c r="N501" s="396">
        <v>599.79999999999995</v>
      </c>
      <c r="O501" s="396">
        <v>10.4</v>
      </c>
      <c r="P501" s="396">
        <v>12.3</v>
      </c>
      <c r="Q501" s="397">
        <v>0.34166666666666701</v>
      </c>
      <c r="R501" s="396"/>
      <c r="S501" s="410"/>
      <c r="T501" s="409"/>
      <c r="U501" s="398" t="str">
        <f t="shared" si="20"/>
        <v/>
      </c>
      <c r="V501" s="400"/>
      <c r="W501" s="410">
        <f t="shared" si="22"/>
        <v>12.3</v>
      </c>
      <c r="X501" s="472" t="str">
        <f t="shared" si="21"/>
        <v/>
      </c>
      <c r="AT501" s="232"/>
      <c r="AV501" s="198"/>
      <c r="AW501" s="274"/>
    </row>
    <row r="502" spans="2:49" x14ac:dyDescent="0.25">
      <c r="B502" s="274">
        <v>11.2</v>
      </c>
      <c r="C502" s="274">
        <v>96</v>
      </c>
      <c r="D502" s="274">
        <v>11.2</v>
      </c>
      <c r="E502" s="274">
        <v>0</v>
      </c>
      <c r="F502" s="274">
        <v>0</v>
      </c>
      <c r="G502" s="274">
        <v>9</v>
      </c>
      <c r="H502" s="274">
        <v>1022.9</v>
      </c>
      <c r="I502" s="274">
        <v>2852</v>
      </c>
      <c r="J502" s="274">
        <v>0</v>
      </c>
      <c r="K502" s="274">
        <v>0</v>
      </c>
      <c r="L502" s="274">
        <v>0</v>
      </c>
      <c r="M502" s="274">
        <v>65.3</v>
      </c>
      <c r="N502" s="396">
        <v>599.79999999999995</v>
      </c>
      <c r="O502" s="396">
        <v>10.4</v>
      </c>
      <c r="P502" s="396">
        <v>12.5</v>
      </c>
      <c r="Q502" s="397">
        <v>0.34236111111111101</v>
      </c>
      <c r="R502" s="396"/>
      <c r="S502" s="410"/>
      <c r="T502" s="409"/>
      <c r="U502" s="398" t="str">
        <f t="shared" si="20"/>
        <v/>
      </c>
      <c r="V502" s="400"/>
      <c r="W502" s="410">
        <f t="shared" si="22"/>
        <v>12.5</v>
      </c>
      <c r="X502" s="472" t="str">
        <f t="shared" si="21"/>
        <v/>
      </c>
      <c r="AT502" s="232"/>
      <c r="AV502" s="198"/>
      <c r="AW502" s="274"/>
    </row>
    <row r="503" spans="2:49" x14ac:dyDescent="0.25">
      <c r="B503" s="274">
        <v>11.3</v>
      </c>
      <c r="C503" s="274">
        <v>96</v>
      </c>
      <c r="D503" s="274">
        <v>11.3</v>
      </c>
      <c r="E503" s="274">
        <v>0</v>
      </c>
      <c r="F503" s="274">
        <v>0</v>
      </c>
      <c r="G503" s="274">
        <v>9</v>
      </c>
      <c r="H503" s="274">
        <v>1023.4</v>
      </c>
      <c r="I503" s="274">
        <v>2852</v>
      </c>
      <c r="J503" s="274">
        <v>0</v>
      </c>
      <c r="K503" s="274">
        <v>0</v>
      </c>
      <c r="L503" s="274">
        <v>0</v>
      </c>
      <c r="M503" s="274">
        <v>65.3</v>
      </c>
      <c r="N503" s="396">
        <v>599.79999999999995</v>
      </c>
      <c r="O503" s="396">
        <v>10.4</v>
      </c>
      <c r="P503" s="396">
        <v>12.7</v>
      </c>
      <c r="Q503" s="397">
        <v>0.343055555555556</v>
      </c>
      <c r="R503" s="396"/>
      <c r="S503" s="410"/>
      <c r="T503" s="409"/>
      <c r="U503" s="398" t="str">
        <f t="shared" si="20"/>
        <v/>
      </c>
      <c r="V503" s="400"/>
      <c r="W503" s="410">
        <f t="shared" si="22"/>
        <v>12.7</v>
      </c>
      <c r="X503" s="472" t="str">
        <f t="shared" si="21"/>
        <v/>
      </c>
      <c r="AT503" s="232"/>
      <c r="AV503" s="198"/>
      <c r="AW503" s="274"/>
    </row>
    <row r="504" spans="2:49" x14ac:dyDescent="0.25">
      <c r="B504" s="274">
        <v>11.3</v>
      </c>
      <c r="C504" s="274">
        <v>96</v>
      </c>
      <c r="D504" s="274">
        <v>11.3</v>
      </c>
      <c r="E504" s="274">
        <v>0.4</v>
      </c>
      <c r="F504" s="274">
        <v>1.8</v>
      </c>
      <c r="G504" s="274">
        <v>9</v>
      </c>
      <c r="H504" s="274">
        <v>1023.2</v>
      </c>
      <c r="I504" s="274">
        <v>2898</v>
      </c>
      <c r="J504" s="274">
        <v>0</v>
      </c>
      <c r="K504" s="274">
        <v>0</v>
      </c>
      <c r="L504" s="274">
        <v>0</v>
      </c>
      <c r="M504" s="274">
        <v>65.3</v>
      </c>
      <c r="N504" s="396">
        <v>599.79999999999995</v>
      </c>
      <c r="O504" s="396">
        <v>10.5</v>
      </c>
      <c r="P504" s="396">
        <v>13</v>
      </c>
      <c r="Q504" s="397">
        <v>0.34375</v>
      </c>
      <c r="R504" s="396"/>
      <c r="S504" s="410"/>
      <c r="T504" s="409"/>
      <c r="U504" s="398" t="str">
        <f t="shared" si="20"/>
        <v/>
      </c>
      <c r="V504" s="400"/>
      <c r="W504" s="410">
        <f t="shared" si="22"/>
        <v>13</v>
      </c>
      <c r="X504" s="472" t="str">
        <f t="shared" si="21"/>
        <v/>
      </c>
      <c r="AT504" s="232"/>
      <c r="AV504" s="198"/>
      <c r="AW504" s="274"/>
    </row>
    <row r="505" spans="2:49" x14ac:dyDescent="0.25">
      <c r="B505" s="274">
        <v>11.4</v>
      </c>
      <c r="C505" s="274">
        <v>96</v>
      </c>
      <c r="D505" s="274">
        <v>11.4</v>
      </c>
      <c r="E505" s="274">
        <v>0</v>
      </c>
      <c r="F505" s="274">
        <v>0</v>
      </c>
      <c r="G505" s="274">
        <v>9</v>
      </c>
      <c r="H505" s="274">
        <v>1023.2</v>
      </c>
      <c r="I505" s="274">
        <v>2852</v>
      </c>
      <c r="J505" s="274">
        <v>0</v>
      </c>
      <c r="K505" s="274">
        <v>0</v>
      </c>
      <c r="L505" s="274">
        <v>0</v>
      </c>
      <c r="M505" s="274">
        <v>65.3</v>
      </c>
      <c r="N505" s="396">
        <v>599.79999999999995</v>
      </c>
      <c r="O505" s="396">
        <v>10.5</v>
      </c>
      <c r="P505" s="396">
        <v>13.2</v>
      </c>
      <c r="Q505" s="397">
        <v>0.344444444444444</v>
      </c>
      <c r="R505" s="396"/>
      <c r="S505" s="410"/>
      <c r="T505" s="409"/>
      <c r="U505" s="398" t="str">
        <f t="shared" si="20"/>
        <v/>
      </c>
      <c r="V505" s="400"/>
      <c r="W505" s="410">
        <f t="shared" si="22"/>
        <v>13.2</v>
      </c>
      <c r="X505" s="472" t="str">
        <f t="shared" si="21"/>
        <v/>
      </c>
      <c r="AT505" s="232"/>
      <c r="AV505" s="198"/>
      <c r="AW505" s="274"/>
    </row>
    <row r="506" spans="2:49" x14ac:dyDescent="0.25">
      <c r="B506" s="274">
        <v>11.4</v>
      </c>
      <c r="C506" s="274">
        <v>96</v>
      </c>
      <c r="D506" s="274">
        <v>11.4</v>
      </c>
      <c r="E506" s="274">
        <v>0.4</v>
      </c>
      <c r="F506" s="274">
        <v>1.8</v>
      </c>
      <c r="G506" s="274">
        <v>9</v>
      </c>
      <c r="H506" s="274">
        <v>1023.3</v>
      </c>
      <c r="I506" s="274">
        <v>2852</v>
      </c>
      <c r="J506" s="274">
        <v>0</v>
      </c>
      <c r="K506" s="274">
        <v>0</v>
      </c>
      <c r="L506" s="274">
        <v>0</v>
      </c>
      <c r="M506" s="274">
        <v>65.3</v>
      </c>
      <c r="N506" s="396">
        <v>599.79999999999995</v>
      </c>
      <c r="O506" s="396">
        <v>10.5</v>
      </c>
      <c r="P506" s="396">
        <v>13.4</v>
      </c>
      <c r="Q506" s="397">
        <v>0.34513888888888899</v>
      </c>
      <c r="R506" s="396"/>
      <c r="S506" s="410"/>
      <c r="T506" s="409"/>
      <c r="U506" s="398" t="str">
        <f t="shared" si="20"/>
        <v/>
      </c>
      <c r="V506" s="400"/>
      <c r="W506" s="410">
        <f t="shared" si="22"/>
        <v>13.4</v>
      </c>
      <c r="X506" s="472" t="str">
        <f t="shared" si="21"/>
        <v/>
      </c>
      <c r="AT506" s="232"/>
      <c r="AV506" s="198"/>
      <c r="AW506" s="274"/>
    </row>
    <row r="507" spans="2:49" x14ac:dyDescent="0.25">
      <c r="B507" s="274">
        <v>11.4</v>
      </c>
      <c r="C507" s="274">
        <v>96</v>
      </c>
      <c r="D507" s="274">
        <v>11.4</v>
      </c>
      <c r="E507" s="274">
        <v>0</v>
      </c>
      <c r="F507" s="274">
        <v>0</v>
      </c>
      <c r="G507" s="274">
        <v>9</v>
      </c>
      <c r="H507" s="274">
        <v>1023</v>
      </c>
      <c r="I507" s="274">
        <v>2743</v>
      </c>
      <c r="J507" s="274">
        <v>0</v>
      </c>
      <c r="K507" s="274">
        <v>0</v>
      </c>
      <c r="L507" s="274">
        <v>0</v>
      </c>
      <c r="M507" s="274">
        <v>65.3</v>
      </c>
      <c r="N507" s="396">
        <v>599.79999999999995</v>
      </c>
      <c r="O507" s="396">
        <v>10.6</v>
      </c>
      <c r="P507" s="396">
        <v>13.6</v>
      </c>
      <c r="Q507" s="397">
        <v>0.34583333333333299</v>
      </c>
      <c r="R507" s="396"/>
      <c r="S507" s="410"/>
      <c r="T507" s="409"/>
      <c r="U507" s="398" t="str">
        <f t="shared" si="20"/>
        <v/>
      </c>
      <c r="V507" s="400"/>
      <c r="W507" s="410">
        <f t="shared" si="22"/>
        <v>13.6</v>
      </c>
      <c r="X507" s="472" t="str">
        <f t="shared" si="21"/>
        <v/>
      </c>
      <c r="AT507" s="232"/>
      <c r="AV507" s="198"/>
      <c r="AW507" s="274"/>
    </row>
    <row r="508" spans="2:49" x14ac:dyDescent="0.25">
      <c r="B508" s="274">
        <v>11.4</v>
      </c>
      <c r="C508" s="274">
        <v>96</v>
      </c>
      <c r="D508" s="274">
        <v>11.4</v>
      </c>
      <c r="E508" s="274">
        <v>0</v>
      </c>
      <c r="F508" s="274">
        <v>0</v>
      </c>
      <c r="G508" s="274">
        <v>9</v>
      </c>
      <c r="H508" s="274">
        <v>1023.3</v>
      </c>
      <c r="I508" s="274">
        <v>2852</v>
      </c>
      <c r="J508" s="274">
        <v>0</v>
      </c>
      <c r="K508" s="274">
        <v>0</v>
      </c>
      <c r="L508" s="274">
        <v>0</v>
      </c>
      <c r="M508" s="274">
        <v>65.3</v>
      </c>
      <c r="N508" s="396">
        <v>599.79999999999995</v>
      </c>
      <c r="O508" s="396">
        <v>10.6</v>
      </c>
      <c r="P508" s="396">
        <v>13.7</v>
      </c>
      <c r="Q508" s="397">
        <v>0.34652777777777799</v>
      </c>
      <c r="R508" s="396"/>
      <c r="S508" s="410"/>
      <c r="T508" s="409"/>
      <c r="U508" s="398" t="str">
        <f t="shared" si="20"/>
        <v/>
      </c>
      <c r="V508" s="400"/>
      <c r="W508" s="410">
        <f t="shared" si="22"/>
        <v>13.7</v>
      </c>
      <c r="X508" s="472" t="str">
        <f t="shared" si="21"/>
        <v/>
      </c>
      <c r="AT508" s="232"/>
      <c r="AV508" s="198"/>
      <c r="AW508" s="274"/>
    </row>
    <row r="509" spans="2:49" x14ac:dyDescent="0.25">
      <c r="B509" s="274">
        <v>11.4</v>
      </c>
      <c r="C509" s="274">
        <v>96</v>
      </c>
      <c r="D509" s="274">
        <v>11.4</v>
      </c>
      <c r="E509" s="274">
        <v>0</v>
      </c>
      <c r="F509" s="274">
        <v>0</v>
      </c>
      <c r="G509" s="274">
        <v>9</v>
      </c>
      <c r="H509" s="274">
        <v>1023.3</v>
      </c>
      <c r="I509" s="274">
        <v>2852</v>
      </c>
      <c r="J509" s="274">
        <v>0</v>
      </c>
      <c r="K509" s="274">
        <v>0</v>
      </c>
      <c r="L509" s="274">
        <v>0</v>
      </c>
      <c r="M509" s="274">
        <v>65.3</v>
      </c>
      <c r="N509" s="396">
        <v>599.79999999999995</v>
      </c>
      <c r="O509" s="396">
        <v>10.6</v>
      </c>
      <c r="P509" s="396">
        <v>13.8</v>
      </c>
      <c r="Q509" s="397">
        <v>0.34722222222222199</v>
      </c>
      <c r="R509" s="396"/>
      <c r="S509" s="410"/>
      <c r="T509" s="409"/>
      <c r="U509" s="398" t="str">
        <f t="shared" si="20"/>
        <v/>
      </c>
      <c r="V509" s="400"/>
      <c r="W509" s="410">
        <f t="shared" si="22"/>
        <v>13.8</v>
      </c>
      <c r="X509" s="472" t="str">
        <f t="shared" si="21"/>
        <v/>
      </c>
      <c r="AT509" s="232"/>
      <c r="AV509" s="198"/>
      <c r="AW509" s="274"/>
    </row>
    <row r="510" spans="2:49" x14ac:dyDescent="0.25">
      <c r="B510" s="274">
        <v>11.4</v>
      </c>
      <c r="C510" s="274">
        <v>96</v>
      </c>
      <c r="D510" s="274">
        <v>11.4</v>
      </c>
      <c r="E510" s="274">
        <v>0</v>
      </c>
      <c r="F510" s="274">
        <v>0</v>
      </c>
      <c r="G510" s="274">
        <v>9</v>
      </c>
      <c r="H510" s="274">
        <v>1023.3</v>
      </c>
      <c r="I510" s="274">
        <v>2852</v>
      </c>
      <c r="J510" s="274">
        <v>0</v>
      </c>
      <c r="K510" s="274">
        <v>0</v>
      </c>
      <c r="L510" s="274">
        <v>0</v>
      </c>
      <c r="M510" s="274">
        <v>65.3</v>
      </c>
      <c r="N510" s="396">
        <v>599.79999999999995</v>
      </c>
      <c r="O510" s="396">
        <v>10.6</v>
      </c>
      <c r="P510" s="396">
        <v>13.9</v>
      </c>
      <c r="Q510" s="397">
        <v>0.34791666666666698</v>
      </c>
      <c r="R510" s="396"/>
      <c r="S510" s="410"/>
      <c r="T510" s="409"/>
      <c r="U510" s="398" t="str">
        <f t="shared" si="20"/>
        <v/>
      </c>
      <c r="V510" s="400"/>
      <c r="W510" s="410">
        <f t="shared" si="22"/>
        <v>13.9</v>
      </c>
      <c r="X510" s="472" t="str">
        <f t="shared" si="21"/>
        <v/>
      </c>
      <c r="AT510" s="232"/>
      <c r="AV510" s="198"/>
      <c r="AW510" s="274"/>
    </row>
    <row r="511" spans="2:49" x14ac:dyDescent="0.25">
      <c r="B511" s="274">
        <v>11.5</v>
      </c>
      <c r="C511" s="274">
        <v>96</v>
      </c>
      <c r="D511" s="274">
        <v>11.5</v>
      </c>
      <c r="E511" s="274">
        <v>0</v>
      </c>
      <c r="F511" s="274">
        <v>0</v>
      </c>
      <c r="G511" s="274">
        <v>9</v>
      </c>
      <c r="H511" s="274">
        <v>1023.3</v>
      </c>
      <c r="I511" s="274">
        <v>2960</v>
      </c>
      <c r="J511" s="274">
        <v>0</v>
      </c>
      <c r="K511" s="274">
        <v>0</v>
      </c>
      <c r="L511" s="274">
        <v>0</v>
      </c>
      <c r="M511" s="274">
        <v>65.3</v>
      </c>
      <c r="N511" s="396">
        <v>599.79999999999995</v>
      </c>
      <c r="O511" s="396">
        <v>10.6</v>
      </c>
      <c r="P511" s="396">
        <v>13.9</v>
      </c>
      <c r="Q511" s="397">
        <v>0.34861111111111098</v>
      </c>
      <c r="R511" s="396"/>
      <c r="S511" s="410"/>
      <c r="T511" s="409"/>
      <c r="U511" s="398" t="str">
        <f t="shared" si="20"/>
        <v/>
      </c>
      <c r="V511" s="400"/>
      <c r="W511" s="410">
        <f t="shared" si="22"/>
        <v>13.9</v>
      </c>
      <c r="X511" s="472" t="str">
        <f t="shared" si="21"/>
        <v/>
      </c>
      <c r="AT511" s="232"/>
      <c r="AV511" s="198"/>
      <c r="AW511" s="274"/>
    </row>
    <row r="512" spans="2:49" x14ac:dyDescent="0.25">
      <c r="B512" s="274">
        <v>11.5</v>
      </c>
      <c r="C512" s="274">
        <v>96</v>
      </c>
      <c r="D512" s="274">
        <v>11.5</v>
      </c>
      <c r="E512" s="274">
        <v>0</v>
      </c>
      <c r="F512" s="274">
        <v>0</v>
      </c>
      <c r="G512" s="274">
        <v>9</v>
      </c>
      <c r="H512" s="274">
        <v>1023.3</v>
      </c>
      <c r="I512" s="274">
        <v>3131</v>
      </c>
      <c r="J512" s="274">
        <v>0</v>
      </c>
      <c r="K512" s="274">
        <v>0</v>
      </c>
      <c r="L512" s="274">
        <v>0</v>
      </c>
      <c r="M512" s="274">
        <v>65.3</v>
      </c>
      <c r="N512" s="396">
        <v>599.79999999999995</v>
      </c>
      <c r="O512" s="396">
        <v>10.6</v>
      </c>
      <c r="P512" s="396">
        <v>13.9</v>
      </c>
      <c r="Q512" s="397">
        <v>0.34930555555555598</v>
      </c>
      <c r="R512" s="396"/>
      <c r="S512" s="410"/>
      <c r="T512" s="409"/>
      <c r="U512" s="398" t="str">
        <f t="shared" si="20"/>
        <v/>
      </c>
      <c r="V512" s="400"/>
      <c r="W512" s="410">
        <f t="shared" si="22"/>
        <v>13.9</v>
      </c>
      <c r="X512" s="472" t="str">
        <f t="shared" si="21"/>
        <v/>
      </c>
      <c r="AT512" s="232"/>
      <c r="AV512" s="198"/>
      <c r="AW512" s="274"/>
    </row>
    <row r="513" spans="2:49" x14ac:dyDescent="0.25">
      <c r="B513" s="274">
        <v>11.5</v>
      </c>
      <c r="C513" s="274">
        <v>96</v>
      </c>
      <c r="D513" s="274">
        <v>11.5</v>
      </c>
      <c r="E513" s="274">
        <v>0</v>
      </c>
      <c r="F513" s="274">
        <v>0</v>
      </c>
      <c r="G513" s="274">
        <v>9</v>
      </c>
      <c r="H513" s="274">
        <v>1023.4</v>
      </c>
      <c r="I513" s="274">
        <v>3286</v>
      </c>
      <c r="J513" s="274">
        <v>0</v>
      </c>
      <c r="K513" s="274">
        <v>0</v>
      </c>
      <c r="L513" s="274">
        <v>0</v>
      </c>
      <c r="M513" s="274">
        <v>65.3</v>
      </c>
      <c r="N513" s="396">
        <v>599.79999999999995</v>
      </c>
      <c r="O513" s="396">
        <v>10.7</v>
      </c>
      <c r="P513" s="396">
        <v>13.9</v>
      </c>
      <c r="Q513" s="397">
        <v>0.35</v>
      </c>
      <c r="R513" s="396"/>
      <c r="S513" s="410"/>
      <c r="T513" s="409"/>
      <c r="U513" s="398" t="str">
        <f t="shared" si="20"/>
        <v/>
      </c>
      <c r="V513" s="400"/>
      <c r="W513" s="410">
        <f t="shared" si="22"/>
        <v>13.9</v>
      </c>
      <c r="X513" s="472" t="str">
        <f t="shared" si="21"/>
        <v/>
      </c>
      <c r="AT513" s="232"/>
      <c r="AV513" s="198"/>
      <c r="AW513" s="274"/>
    </row>
    <row r="514" spans="2:49" x14ac:dyDescent="0.25">
      <c r="B514" s="274">
        <v>11.5</v>
      </c>
      <c r="C514" s="274">
        <v>96</v>
      </c>
      <c r="D514" s="274">
        <v>11.5</v>
      </c>
      <c r="E514" s="274">
        <v>0</v>
      </c>
      <c r="F514" s="274">
        <v>0</v>
      </c>
      <c r="G514" s="274">
        <v>9</v>
      </c>
      <c r="H514" s="274">
        <v>1023</v>
      </c>
      <c r="I514" s="274">
        <v>3394</v>
      </c>
      <c r="J514" s="274">
        <v>0</v>
      </c>
      <c r="K514" s="274">
        <v>0</v>
      </c>
      <c r="L514" s="274">
        <v>0</v>
      </c>
      <c r="M514" s="274">
        <v>65.3</v>
      </c>
      <c r="N514" s="396">
        <v>599.79999999999995</v>
      </c>
      <c r="O514" s="396">
        <v>10.7</v>
      </c>
      <c r="P514" s="396">
        <v>13.9</v>
      </c>
      <c r="Q514" s="397">
        <v>0.35069444444444398</v>
      </c>
      <c r="R514" s="396"/>
      <c r="S514" s="410"/>
      <c r="T514" s="409"/>
      <c r="U514" s="398" t="str">
        <f t="shared" si="20"/>
        <v/>
      </c>
      <c r="V514" s="400"/>
      <c r="W514" s="410">
        <f t="shared" si="22"/>
        <v>13.9</v>
      </c>
      <c r="X514" s="472" t="str">
        <f t="shared" si="21"/>
        <v/>
      </c>
      <c r="AT514" s="232"/>
      <c r="AV514" s="198"/>
      <c r="AW514" s="274"/>
    </row>
    <row r="515" spans="2:49" x14ac:dyDescent="0.25">
      <c r="B515" s="274">
        <v>11.6</v>
      </c>
      <c r="C515" s="274">
        <v>96</v>
      </c>
      <c r="D515" s="274">
        <v>11.6</v>
      </c>
      <c r="E515" s="274">
        <v>0</v>
      </c>
      <c r="F515" s="274">
        <v>0</v>
      </c>
      <c r="G515" s="274">
        <v>9</v>
      </c>
      <c r="H515" s="274">
        <v>1023.3</v>
      </c>
      <c r="I515" s="274">
        <v>3456</v>
      </c>
      <c r="J515" s="274">
        <v>0</v>
      </c>
      <c r="K515" s="274">
        <v>0</v>
      </c>
      <c r="L515" s="274">
        <v>0</v>
      </c>
      <c r="M515" s="274">
        <v>65.3</v>
      </c>
      <c r="N515" s="396">
        <v>599.79999999999995</v>
      </c>
      <c r="O515" s="396">
        <v>10.7</v>
      </c>
      <c r="P515" s="396">
        <v>14.1</v>
      </c>
      <c r="Q515" s="397">
        <v>0.35138888888888897</v>
      </c>
      <c r="R515" s="396"/>
      <c r="S515" s="410"/>
      <c r="T515" s="409"/>
      <c r="U515" s="398" t="str">
        <f t="shared" si="20"/>
        <v/>
      </c>
      <c r="V515" s="400"/>
      <c r="W515" s="410">
        <f t="shared" si="22"/>
        <v>14.1</v>
      </c>
      <c r="X515" s="472" t="str">
        <f t="shared" si="21"/>
        <v/>
      </c>
      <c r="AT515" s="232"/>
      <c r="AV515" s="198"/>
      <c r="AW515" s="274"/>
    </row>
    <row r="516" spans="2:49" x14ac:dyDescent="0.25">
      <c r="B516" s="274">
        <v>11.6</v>
      </c>
      <c r="C516" s="274">
        <v>96</v>
      </c>
      <c r="D516" s="274">
        <v>11.6</v>
      </c>
      <c r="E516" s="274">
        <v>0.4</v>
      </c>
      <c r="F516" s="274">
        <v>1.8</v>
      </c>
      <c r="G516" s="274">
        <v>9</v>
      </c>
      <c r="H516" s="274">
        <v>1023.3</v>
      </c>
      <c r="I516" s="274">
        <v>3565</v>
      </c>
      <c r="J516" s="274">
        <v>0</v>
      </c>
      <c r="K516" s="274">
        <v>0</v>
      </c>
      <c r="L516" s="274">
        <v>0</v>
      </c>
      <c r="M516" s="274">
        <v>65.3</v>
      </c>
      <c r="N516" s="396">
        <v>599.79999999999995</v>
      </c>
      <c r="O516" s="396">
        <v>10.7</v>
      </c>
      <c r="P516" s="396">
        <v>14.3</v>
      </c>
      <c r="Q516" s="397">
        <v>0.35208333333333303</v>
      </c>
      <c r="R516" s="396"/>
      <c r="S516" s="410"/>
      <c r="T516" s="409"/>
      <c r="U516" s="398" t="str">
        <f t="shared" si="20"/>
        <v/>
      </c>
      <c r="V516" s="400"/>
      <c r="W516" s="410">
        <f t="shared" si="22"/>
        <v>14.3</v>
      </c>
      <c r="X516" s="472" t="str">
        <f t="shared" si="21"/>
        <v/>
      </c>
      <c r="AT516" s="232"/>
      <c r="AV516" s="198"/>
      <c r="AW516" s="274"/>
    </row>
    <row r="517" spans="2:49" x14ac:dyDescent="0.25">
      <c r="B517" s="274">
        <v>11.6</v>
      </c>
      <c r="C517" s="274">
        <v>96</v>
      </c>
      <c r="D517" s="274">
        <v>11.6</v>
      </c>
      <c r="E517" s="274">
        <v>0</v>
      </c>
      <c r="F517" s="274">
        <v>0</v>
      </c>
      <c r="G517" s="274">
        <v>9</v>
      </c>
      <c r="H517" s="274">
        <v>1023.2</v>
      </c>
      <c r="I517" s="274">
        <v>3565</v>
      </c>
      <c r="J517" s="274">
        <v>0</v>
      </c>
      <c r="K517" s="274">
        <v>0</v>
      </c>
      <c r="L517" s="274">
        <v>0</v>
      </c>
      <c r="M517" s="274">
        <v>65.3</v>
      </c>
      <c r="N517" s="396">
        <v>599.79999999999995</v>
      </c>
      <c r="O517" s="396">
        <v>10.7</v>
      </c>
      <c r="P517" s="396">
        <v>14.3</v>
      </c>
      <c r="Q517" s="397">
        <v>0.35277777777777802</v>
      </c>
      <c r="R517" s="396"/>
      <c r="S517" s="410"/>
      <c r="T517" s="409"/>
      <c r="U517" s="398" t="str">
        <f t="shared" si="20"/>
        <v/>
      </c>
      <c r="V517" s="400"/>
      <c r="W517" s="410">
        <f t="shared" si="22"/>
        <v>14.3</v>
      </c>
      <c r="X517" s="472" t="str">
        <f t="shared" si="21"/>
        <v/>
      </c>
      <c r="AT517" s="232"/>
      <c r="AV517" s="198"/>
      <c r="AW517" s="274"/>
    </row>
    <row r="518" spans="2:49" x14ac:dyDescent="0.25">
      <c r="B518" s="274">
        <v>11.6</v>
      </c>
      <c r="C518" s="274">
        <v>96</v>
      </c>
      <c r="D518" s="274">
        <v>11.6</v>
      </c>
      <c r="E518" s="274">
        <v>0.4</v>
      </c>
      <c r="F518" s="274">
        <v>1.8</v>
      </c>
      <c r="G518" s="274">
        <v>9</v>
      </c>
      <c r="H518" s="274">
        <v>1023.4</v>
      </c>
      <c r="I518" s="274">
        <v>3673</v>
      </c>
      <c r="J518" s="274">
        <v>0</v>
      </c>
      <c r="K518" s="274">
        <v>0</v>
      </c>
      <c r="L518" s="274">
        <v>0</v>
      </c>
      <c r="M518" s="274">
        <v>65.3</v>
      </c>
      <c r="N518" s="396">
        <v>599.79999999999995</v>
      </c>
      <c r="O518" s="396">
        <v>10.8</v>
      </c>
      <c r="P518" s="396">
        <v>14.5</v>
      </c>
      <c r="Q518" s="397">
        <v>0.35347222222222202</v>
      </c>
      <c r="R518" s="396"/>
      <c r="S518" s="410"/>
      <c r="T518" s="409"/>
      <c r="U518" s="398" t="str">
        <f t="shared" si="20"/>
        <v/>
      </c>
      <c r="V518" s="400"/>
      <c r="W518" s="410">
        <f t="shared" si="22"/>
        <v>14.5</v>
      </c>
      <c r="X518" s="472" t="str">
        <f t="shared" si="21"/>
        <v/>
      </c>
      <c r="AT518" s="232"/>
      <c r="AV518" s="198"/>
      <c r="AW518" s="274"/>
    </row>
    <row r="519" spans="2:49" x14ac:dyDescent="0.25">
      <c r="B519" s="274">
        <v>11.6</v>
      </c>
      <c r="C519" s="274">
        <v>96</v>
      </c>
      <c r="D519" s="274">
        <v>11.6</v>
      </c>
      <c r="E519" s="274">
        <v>0.7</v>
      </c>
      <c r="F519" s="274">
        <v>1.8</v>
      </c>
      <c r="G519" s="274">
        <v>9</v>
      </c>
      <c r="H519" s="274">
        <v>1023.3</v>
      </c>
      <c r="I519" s="274">
        <v>3565</v>
      </c>
      <c r="J519" s="274">
        <v>0</v>
      </c>
      <c r="K519" s="274">
        <v>0</v>
      </c>
      <c r="L519" s="274">
        <v>0</v>
      </c>
      <c r="M519" s="274">
        <v>65.3</v>
      </c>
      <c r="N519" s="396">
        <v>599.79999999999995</v>
      </c>
      <c r="O519" s="396">
        <v>10.8</v>
      </c>
      <c r="P519" s="396">
        <v>14.5</v>
      </c>
      <c r="Q519" s="397">
        <v>0.35416666666666702</v>
      </c>
      <c r="R519" s="396"/>
      <c r="S519" s="410"/>
      <c r="T519" s="409"/>
      <c r="U519" s="398" t="str">
        <f t="shared" si="20"/>
        <v/>
      </c>
      <c r="V519" s="400"/>
      <c r="W519" s="410">
        <f t="shared" si="22"/>
        <v>14.5</v>
      </c>
      <c r="X519" s="472" t="str">
        <f t="shared" si="21"/>
        <v/>
      </c>
      <c r="AT519" s="232"/>
      <c r="AV519" s="198"/>
      <c r="AW519" s="274"/>
    </row>
    <row r="520" spans="2:49" x14ac:dyDescent="0.25">
      <c r="B520" s="274">
        <v>11.7</v>
      </c>
      <c r="C520" s="274">
        <v>96</v>
      </c>
      <c r="D520" s="274">
        <v>11.7</v>
      </c>
      <c r="E520" s="274">
        <v>0</v>
      </c>
      <c r="F520" s="274">
        <v>0</v>
      </c>
      <c r="G520" s="274">
        <v>9</v>
      </c>
      <c r="H520" s="274">
        <v>1023.3</v>
      </c>
      <c r="I520" s="274">
        <v>3673</v>
      </c>
      <c r="J520" s="274">
        <v>0</v>
      </c>
      <c r="K520" s="274">
        <v>0</v>
      </c>
      <c r="L520" s="274">
        <v>0</v>
      </c>
      <c r="M520" s="274">
        <v>65.3</v>
      </c>
      <c r="N520" s="396">
        <v>599.79999999999995</v>
      </c>
      <c r="O520" s="396">
        <v>10.9</v>
      </c>
      <c r="P520" s="396">
        <v>15.1</v>
      </c>
      <c r="Q520" s="397">
        <v>0.35486111111111102</v>
      </c>
      <c r="R520" s="396"/>
      <c r="S520" s="410"/>
      <c r="T520" s="409"/>
      <c r="U520" s="398" t="str">
        <f t="shared" si="20"/>
        <v/>
      </c>
      <c r="V520" s="400"/>
      <c r="W520" s="410">
        <f t="shared" si="22"/>
        <v>15.1</v>
      </c>
      <c r="X520" s="472">
        <f t="shared" si="21"/>
        <v>60</v>
      </c>
      <c r="AT520" s="232"/>
      <c r="AV520" s="198"/>
      <c r="AW520" s="274"/>
    </row>
    <row r="521" spans="2:49" x14ac:dyDescent="0.25">
      <c r="B521" s="274">
        <v>11.7</v>
      </c>
      <c r="C521" s="274">
        <v>96</v>
      </c>
      <c r="D521" s="274">
        <v>11.7</v>
      </c>
      <c r="E521" s="274">
        <v>0</v>
      </c>
      <c r="F521" s="274">
        <v>0</v>
      </c>
      <c r="G521" s="274">
        <v>9</v>
      </c>
      <c r="H521" s="274">
        <v>1023.3</v>
      </c>
      <c r="I521" s="274">
        <v>3782</v>
      </c>
      <c r="J521" s="274">
        <v>0</v>
      </c>
      <c r="K521" s="274">
        <v>0</v>
      </c>
      <c r="L521" s="274">
        <v>0</v>
      </c>
      <c r="M521" s="274">
        <v>65.3</v>
      </c>
      <c r="N521" s="396">
        <v>599.79999999999995</v>
      </c>
      <c r="O521" s="396">
        <v>10.9</v>
      </c>
      <c r="P521" s="396">
        <v>15.3</v>
      </c>
      <c r="Q521" s="397">
        <v>0.35555555555555601</v>
      </c>
      <c r="R521" s="396"/>
      <c r="S521" s="410"/>
      <c r="T521" s="409"/>
      <c r="U521" s="398" t="str">
        <f t="shared" si="20"/>
        <v/>
      </c>
      <c r="V521" s="400"/>
      <c r="W521" s="410">
        <f t="shared" si="22"/>
        <v>15.3</v>
      </c>
      <c r="X521" s="472">
        <f t="shared" si="21"/>
        <v>60</v>
      </c>
      <c r="AT521" s="232"/>
      <c r="AV521" s="198"/>
      <c r="AW521" s="274"/>
    </row>
    <row r="522" spans="2:49" x14ac:dyDescent="0.25">
      <c r="B522" s="274">
        <v>11.8</v>
      </c>
      <c r="C522" s="274">
        <v>96</v>
      </c>
      <c r="D522" s="274">
        <v>11.8</v>
      </c>
      <c r="E522" s="274">
        <v>0.4</v>
      </c>
      <c r="F522" s="274">
        <v>1.8</v>
      </c>
      <c r="G522" s="274">
        <v>9</v>
      </c>
      <c r="H522" s="274">
        <v>1023.4</v>
      </c>
      <c r="I522" s="274">
        <v>3735</v>
      </c>
      <c r="J522" s="274">
        <v>0</v>
      </c>
      <c r="K522" s="274">
        <v>0</v>
      </c>
      <c r="L522" s="274">
        <v>0</v>
      </c>
      <c r="M522" s="274">
        <v>65.3</v>
      </c>
      <c r="N522" s="396">
        <v>599.79999999999995</v>
      </c>
      <c r="O522" s="396">
        <v>10.9</v>
      </c>
      <c r="P522" s="396">
        <v>15.6</v>
      </c>
      <c r="Q522" s="397">
        <v>0.35625000000000001</v>
      </c>
      <c r="R522" s="396"/>
      <c r="S522" s="410"/>
      <c r="T522" s="409"/>
      <c r="U522" s="398" t="str">
        <f t="shared" si="20"/>
        <v/>
      </c>
      <c r="V522" s="400"/>
      <c r="W522" s="410">
        <f t="shared" si="22"/>
        <v>15.6</v>
      </c>
      <c r="X522" s="472">
        <f t="shared" si="21"/>
        <v>60</v>
      </c>
      <c r="AT522" s="232"/>
      <c r="AV522" s="198"/>
      <c r="AW522" s="274"/>
    </row>
    <row r="523" spans="2:49" x14ac:dyDescent="0.25">
      <c r="B523" s="274">
        <v>11.8</v>
      </c>
      <c r="C523" s="274">
        <v>96</v>
      </c>
      <c r="D523" s="274">
        <v>11.8</v>
      </c>
      <c r="E523" s="274">
        <v>0</v>
      </c>
      <c r="F523" s="274">
        <v>0</v>
      </c>
      <c r="G523" s="274">
        <v>9</v>
      </c>
      <c r="H523" s="274">
        <v>1023.1</v>
      </c>
      <c r="I523" s="274">
        <v>3782</v>
      </c>
      <c r="J523" s="274">
        <v>0</v>
      </c>
      <c r="K523" s="274">
        <v>0</v>
      </c>
      <c r="L523" s="274">
        <v>0</v>
      </c>
      <c r="M523" s="274">
        <v>65.3</v>
      </c>
      <c r="N523" s="396">
        <v>599.79999999999995</v>
      </c>
      <c r="O523" s="396">
        <v>11</v>
      </c>
      <c r="P523" s="396">
        <v>15.9</v>
      </c>
      <c r="Q523" s="397">
        <v>0.35694444444444401</v>
      </c>
      <c r="R523" s="396"/>
      <c r="S523" s="410"/>
      <c r="T523" s="409"/>
      <c r="U523" s="398" t="str">
        <f t="shared" ref="U523:U586" si="23">IF(J523&gt;0,60,"")</f>
        <v/>
      </c>
      <c r="V523" s="400"/>
      <c r="W523" s="410">
        <f t="shared" si="22"/>
        <v>15.9</v>
      </c>
      <c r="X523" s="472">
        <f t="shared" si="21"/>
        <v>60</v>
      </c>
      <c r="AT523" s="232"/>
      <c r="AV523" s="198"/>
      <c r="AW523" s="274"/>
    </row>
    <row r="524" spans="2:49" x14ac:dyDescent="0.25">
      <c r="B524" s="274">
        <v>11.8</v>
      </c>
      <c r="C524" s="274">
        <v>95</v>
      </c>
      <c r="D524" s="274">
        <v>11.8</v>
      </c>
      <c r="E524" s="274">
        <v>1.8</v>
      </c>
      <c r="F524" s="274">
        <v>1.8</v>
      </c>
      <c r="G524" s="274">
        <v>9</v>
      </c>
      <c r="H524" s="274">
        <v>1023.2</v>
      </c>
      <c r="I524" s="274">
        <v>3890</v>
      </c>
      <c r="J524" s="274">
        <v>0</v>
      </c>
      <c r="K524" s="274">
        <v>0</v>
      </c>
      <c r="L524" s="274">
        <v>0</v>
      </c>
      <c r="M524" s="274">
        <v>65.3</v>
      </c>
      <c r="N524" s="396">
        <v>599.79999999999995</v>
      </c>
      <c r="O524" s="396">
        <v>11</v>
      </c>
      <c r="P524" s="396">
        <v>16.100000000000001</v>
      </c>
      <c r="Q524" s="397">
        <v>0.35763888888888901</v>
      </c>
      <c r="R524" s="396"/>
      <c r="S524" s="410"/>
      <c r="T524" s="409"/>
      <c r="U524" s="398" t="str">
        <f t="shared" si="23"/>
        <v/>
      </c>
      <c r="V524" s="400"/>
      <c r="W524" s="410">
        <f t="shared" si="22"/>
        <v>16.100000000000001</v>
      </c>
      <c r="X524" s="472">
        <f t="shared" si="21"/>
        <v>60</v>
      </c>
      <c r="AT524" s="232"/>
      <c r="AV524" s="198"/>
      <c r="AW524" s="274"/>
    </row>
    <row r="525" spans="2:49" x14ac:dyDescent="0.25">
      <c r="B525" s="274">
        <v>11.8</v>
      </c>
      <c r="C525" s="274">
        <v>95</v>
      </c>
      <c r="D525" s="274">
        <v>11.8</v>
      </c>
      <c r="E525" s="274">
        <v>0.7</v>
      </c>
      <c r="F525" s="274">
        <v>1.8</v>
      </c>
      <c r="G525" s="274">
        <v>9</v>
      </c>
      <c r="H525" s="274">
        <v>1023.5</v>
      </c>
      <c r="I525" s="274">
        <v>3890</v>
      </c>
      <c r="J525" s="274">
        <v>0</v>
      </c>
      <c r="K525" s="274">
        <v>0</v>
      </c>
      <c r="L525" s="274">
        <v>0</v>
      </c>
      <c r="M525" s="274">
        <v>65.3</v>
      </c>
      <c r="N525" s="396">
        <v>599.79999999999995</v>
      </c>
      <c r="O525" s="396">
        <v>11.1</v>
      </c>
      <c r="P525" s="396">
        <v>16.3</v>
      </c>
      <c r="Q525" s="397">
        <v>0.358333333333333</v>
      </c>
      <c r="R525" s="396"/>
      <c r="S525" s="410"/>
      <c r="T525" s="409"/>
      <c r="U525" s="398" t="str">
        <f t="shared" si="23"/>
        <v/>
      </c>
      <c r="V525" s="400"/>
      <c r="W525" s="410">
        <f t="shared" si="22"/>
        <v>16.3</v>
      </c>
      <c r="X525" s="472">
        <f t="shared" si="21"/>
        <v>60</v>
      </c>
      <c r="AT525" s="232"/>
      <c r="AV525" s="198"/>
      <c r="AW525" s="274"/>
    </row>
    <row r="526" spans="2:49" x14ac:dyDescent="0.25">
      <c r="B526" s="274">
        <v>11.8</v>
      </c>
      <c r="C526" s="274">
        <v>95</v>
      </c>
      <c r="D526" s="274">
        <v>11.8</v>
      </c>
      <c r="E526" s="274">
        <v>1.8</v>
      </c>
      <c r="F526" s="274">
        <v>1.8</v>
      </c>
      <c r="G526" s="274">
        <v>9</v>
      </c>
      <c r="H526" s="274">
        <v>1023.4</v>
      </c>
      <c r="I526" s="274">
        <v>3999</v>
      </c>
      <c r="J526" s="274">
        <v>0</v>
      </c>
      <c r="K526" s="274">
        <v>0</v>
      </c>
      <c r="L526" s="274">
        <v>0</v>
      </c>
      <c r="M526" s="274">
        <v>65.3</v>
      </c>
      <c r="N526" s="396">
        <v>599.79999999999995</v>
      </c>
      <c r="O526" s="396">
        <v>11.1</v>
      </c>
      <c r="P526" s="396">
        <v>16.600000000000001</v>
      </c>
      <c r="Q526" s="397">
        <v>0.359027777777778</v>
      </c>
      <c r="R526" s="396"/>
      <c r="S526" s="410"/>
      <c r="T526" s="409"/>
      <c r="U526" s="398" t="str">
        <f t="shared" si="23"/>
        <v/>
      </c>
      <c r="V526" s="400"/>
      <c r="W526" s="410">
        <f t="shared" si="22"/>
        <v>16.600000000000001</v>
      </c>
      <c r="X526" s="472">
        <f t="shared" si="21"/>
        <v>60</v>
      </c>
      <c r="AT526" s="232"/>
      <c r="AV526" s="198"/>
      <c r="AW526" s="274"/>
    </row>
    <row r="527" spans="2:49" x14ac:dyDescent="0.25">
      <c r="B527" s="274">
        <v>11.8</v>
      </c>
      <c r="C527" s="274">
        <v>95</v>
      </c>
      <c r="D527" s="274">
        <v>11.8</v>
      </c>
      <c r="E527" s="274">
        <v>0.4</v>
      </c>
      <c r="F527" s="274">
        <v>1.8</v>
      </c>
      <c r="G527" s="274">
        <v>9</v>
      </c>
      <c r="H527" s="274">
        <v>1023.5</v>
      </c>
      <c r="I527" s="274">
        <v>3999</v>
      </c>
      <c r="J527" s="274">
        <v>0</v>
      </c>
      <c r="K527" s="274">
        <v>0</v>
      </c>
      <c r="L527" s="274">
        <v>0</v>
      </c>
      <c r="M527" s="274">
        <v>65.3</v>
      </c>
      <c r="N527" s="396">
        <v>599.79999999999995</v>
      </c>
      <c r="O527" s="396">
        <v>11.1</v>
      </c>
      <c r="P527" s="396">
        <v>16.8</v>
      </c>
      <c r="Q527" s="397">
        <v>0.359722222222222</v>
      </c>
      <c r="R527" s="396"/>
      <c r="S527" s="410"/>
      <c r="T527" s="409"/>
      <c r="U527" s="398" t="str">
        <f t="shared" si="23"/>
        <v/>
      </c>
      <c r="V527" s="400"/>
      <c r="W527" s="410">
        <f t="shared" si="22"/>
        <v>16.8</v>
      </c>
      <c r="X527" s="472">
        <f t="shared" si="21"/>
        <v>60</v>
      </c>
      <c r="AT527" s="232"/>
      <c r="AV527" s="198"/>
      <c r="AW527" s="274"/>
    </row>
    <row r="528" spans="2:49" x14ac:dyDescent="0.25">
      <c r="B528" s="274">
        <v>11.9</v>
      </c>
      <c r="C528" s="274">
        <v>95</v>
      </c>
      <c r="D528" s="274">
        <v>11.9</v>
      </c>
      <c r="E528" s="274">
        <v>0</v>
      </c>
      <c r="F528" s="274">
        <v>0</v>
      </c>
      <c r="G528" s="274">
        <v>9</v>
      </c>
      <c r="H528" s="274">
        <v>1023.1</v>
      </c>
      <c r="I528" s="274">
        <v>4061</v>
      </c>
      <c r="J528" s="274">
        <v>0</v>
      </c>
      <c r="K528" s="274">
        <v>0</v>
      </c>
      <c r="L528" s="274">
        <v>0</v>
      </c>
      <c r="M528" s="274">
        <v>65.3</v>
      </c>
      <c r="N528" s="396">
        <v>599.79999999999995</v>
      </c>
      <c r="O528" s="396">
        <v>11.2</v>
      </c>
      <c r="P528" s="396">
        <v>17</v>
      </c>
      <c r="Q528" s="397">
        <v>0.360416666666667</v>
      </c>
      <c r="R528" s="396"/>
      <c r="S528" s="410"/>
      <c r="T528" s="409"/>
      <c r="U528" s="398" t="str">
        <f t="shared" si="23"/>
        <v/>
      </c>
      <c r="V528" s="400"/>
      <c r="W528" s="410">
        <f t="shared" si="22"/>
        <v>17</v>
      </c>
      <c r="X528" s="472">
        <f t="shared" si="21"/>
        <v>60</v>
      </c>
      <c r="AT528" s="232"/>
      <c r="AV528" s="198"/>
      <c r="AW528" s="274"/>
    </row>
    <row r="529" spans="2:49" x14ac:dyDescent="0.25">
      <c r="B529" s="274">
        <v>11.9</v>
      </c>
      <c r="C529" s="274">
        <v>95</v>
      </c>
      <c r="D529" s="274">
        <v>11.9</v>
      </c>
      <c r="E529" s="274">
        <v>0</v>
      </c>
      <c r="F529" s="274">
        <v>0</v>
      </c>
      <c r="G529" s="274">
        <v>9</v>
      </c>
      <c r="H529" s="274">
        <v>1023.4</v>
      </c>
      <c r="I529" s="274">
        <v>4107</v>
      </c>
      <c r="J529" s="274">
        <v>0</v>
      </c>
      <c r="K529" s="274">
        <v>0</v>
      </c>
      <c r="L529" s="274">
        <v>0</v>
      </c>
      <c r="M529" s="274">
        <v>65.3</v>
      </c>
      <c r="N529" s="396">
        <v>599.79999999999995</v>
      </c>
      <c r="O529" s="396">
        <v>11.2</v>
      </c>
      <c r="P529" s="396">
        <v>17.3</v>
      </c>
      <c r="Q529" s="397">
        <v>0.36111111111111099</v>
      </c>
      <c r="R529" s="396"/>
      <c r="S529" s="410"/>
      <c r="T529" s="409"/>
      <c r="U529" s="398" t="str">
        <f t="shared" si="23"/>
        <v/>
      </c>
      <c r="V529" s="400"/>
      <c r="W529" s="410">
        <f t="shared" si="22"/>
        <v>17.3</v>
      </c>
      <c r="X529" s="472">
        <f t="shared" ref="X529:X592" si="24">IF(W529&gt;B529+3,60,"")</f>
        <v>60</v>
      </c>
      <c r="AT529" s="232"/>
      <c r="AV529" s="198"/>
      <c r="AW529" s="274"/>
    </row>
    <row r="530" spans="2:49" x14ac:dyDescent="0.25">
      <c r="B530" s="274">
        <v>12</v>
      </c>
      <c r="C530" s="274">
        <v>95</v>
      </c>
      <c r="D530" s="274">
        <v>12</v>
      </c>
      <c r="E530" s="274">
        <v>1.1000000000000001</v>
      </c>
      <c r="F530" s="274">
        <v>1.8</v>
      </c>
      <c r="G530" s="274">
        <v>9</v>
      </c>
      <c r="H530" s="274">
        <v>1023.3</v>
      </c>
      <c r="I530" s="274">
        <v>4169</v>
      </c>
      <c r="J530" s="274">
        <v>0</v>
      </c>
      <c r="K530" s="274">
        <v>0</v>
      </c>
      <c r="L530" s="274">
        <v>0</v>
      </c>
      <c r="M530" s="274">
        <v>65.3</v>
      </c>
      <c r="N530" s="396">
        <v>599.79999999999995</v>
      </c>
      <c r="O530" s="396">
        <v>11.3</v>
      </c>
      <c r="P530" s="396">
        <v>17.600000000000001</v>
      </c>
      <c r="Q530" s="397">
        <v>0.36180555555555599</v>
      </c>
      <c r="R530" s="396"/>
      <c r="S530" s="410"/>
      <c r="T530" s="409"/>
      <c r="U530" s="398" t="str">
        <f t="shared" si="23"/>
        <v/>
      </c>
      <c r="V530" s="400"/>
      <c r="W530" s="410">
        <f t="shared" si="22"/>
        <v>17.600000000000001</v>
      </c>
      <c r="X530" s="472">
        <f t="shared" si="24"/>
        <v>60</v>
      </c>
      <c r="AT530" s="232"/>
      <c r="AV530" s="198"/>
      <c r="AW530" s="274"/>
    </row>
    <row r="531" spans="2:49" x14ac:dyDescent="0.25">
      <c r="B531" s="274">
        <v>12</v>
      </c>
      <c r="C531" s="274">
        <v>95</v>
      </c>
      <c r="D531" s="274">
        <v>12</v>
      </c>
      <c r="E531" s="274">
        <v>1.1000000000000001</v>
      </c>
      <c r="F531" s="274">
        <v>1.8</v>
      </c>
      <c r="G531" s="274">
        <v>9</v>
      </c>
      <c r="H531" s="274">
        <v>1023.2</v>
      </c>
      <c r="I531" s="274">
        <v>4231</v>
      </c>
      <c r="J531" s="274">
        <v>0</v>
      </c>
      <c r="K531" s="274">
        <v>0</v>
      </c>
      <c r="L531" s="274">
        <v>0</v>
      </c>
      <c r="M531" s="274">
        <v>65.3</v>
      </c>
      <c r="N531" s="396">
        <v>599.79999999999995</v>
      </c>
      <c r="O531" s="396">
        <v>11.3</v>
      </c>
      <c r="P531" s="396">
        <v>17.8</v>
      </c>
      <c r="Q531" s="397">
        <v>0.36249999999999999</v>
      </c>
      <c r="R531" s="396"/>
      <c r="S531" s="410"/>
      <c r="T531" s="409"/>
      <c r="U531" s="398" t="str">
        <f t="shared" si="23"/>
        <v/>
      </c>
      <c r="V531" s="400"/>
      <c r="W531" s="410">
        <f t="shared" si="22"/>
        <v>17.8</v>
      </c>
      <c r="X531" s="472">
        <f t="shared" si="24"/>
        <v>60</v>
      </c>
      <c r="AT531" s="232"/>
      <c r="AV531" s="198"/>
      <c r="AW531" s="274"/>
    </row>
    <row r="532" spans="2:49" x14ac:dyDescent="0.25">
      <c r="B532" s="274">
        <v>12.1</v>
      </c>
      <c r="C532" s="274">
        <v>94</v>
      </c>
      <c r="D532" s="274">
        <v>12.1</v>
      </c>
      <c r="E532" s="274">
        <v>1.4</v>
      </c>
      <c r="F532" s="274">
        <v>1.8</v>
      </c>
      <c r="G532" s="274">
        <v>9</v>
      </c>
      <c r="H532" s="274">
        <v>1023.3</v>
      </c>
      <c r="I532" s="274">
        <v>4278</v>
      </c>
      <c r="J532" s="274">
        <v>0</v>
      </c>
      <c r="K532" s="274">
        <v>0</v>
      </c>
      <c r="L532" s="274">
        <v>0</v>
      </c>
      <c r="M532" s="274">
        <v>65.3</v>
      </c>
      <c r="N532" s="396">
        <v>599.79999999999995</v>
      </c>
      <c r="O532" s="396">
        <v>11.3</v>
      </c>
      <c r="P532" s="396">
        <v>18</v>
      </c>
      <c r="Q532" s="397">
        <v>0.36319444444444399</v>
      </c>
      <c r="R532" s="396"/>
      <c r="S532" s="410"/>
      <c r="T532" s="409"/>
      <c r="U532" s="398" t="str">
        <f t="shared" si="23"/>
        <v/>
      </c>
      <c r="V532" s="400"/>
      <c r="W532" s="410">
        <f t="shared" si="22"/>
        <v>18</v>
      </c>
      <c r="X532" s="472">
        <f t="shared" si="24"/>
        <v>60</v>
      </c>
      <c r="AT532" s="232"/>
      <c r="AV532" s="198"/>
      <c r="AW532" s="274"/>
    </row>
    <row r="533" spans="2:49" x14ac:dyDescent="0.25">
      <c r="B533" s="274">
        <v>12.1</v>
      </c>
      <c r="C533" s="274">
        <v>94</v>
      </c>
      <c r="D533" s="274">
        <v>12.1</v>
      </c>
      <c r="E533" s="274">
        <v>0</v>
      </c>
      <c r="F533" s="274">
        <v>0</v>
      </c>
      <c r="G533" s="274">
        <v>10</v>
      </c>
      <c r="H533" s="274">
        <v>1023.4</v>
      </c>
      <c r="I533" s="274">
        <v>4231</v>
      </c>
      <c r="J533" s="274">
        <v>0</v>
      </c>
      <c r="K533" s="274">
        <v>0</v>
      </c>
      <c r="L533" s="274">
        <v>0</v>
      </c>
      <c r="M533" s="274">
        <v>65.3</v>
      </c>
      <c r="N533" s="396">
        <v>599.79999999999995</v>
      </c>
      <c r="O533" s="396">
        <v>11.4</v>
      </c>
      <c r="P533" s="396">
        <v>18.2</v>
      </c>
      <c r="Q533" s="397">
        <v>0.36388888888888898</v>
      </c>
      <c r="R533" s="396"/>
      <c r="S533" s="410"/>
      <c r="T533" s="409"/>
      <c r="U533" s="398" t="str">
        <f t="shared" si="23"/>
        <v/>
      </c>
      <c r="V533" s="400"/>
      <c r="W533" s="410">
        <f t="shared" si="22"/>
        <v>18.2</v>
      </c>
      <c r="X533" s="472">
        <f t="shared" si="24"/>
        <v>60</v>
      </c>
      <c r="AT533" s="232"/>
      <c r="AV533" s="198"/>
      <c r="AW533" s="274"/>
    </row>
    <row r="534" spans="2:49" x14ac:dyDescent="0.25">
      <c r="B534" s="274">
        <v>12.2</v>
      </c>
      <c r="C534" s="274">
        <v>94</v>
      </c>
      <c r="D534" s="274">
        <v>12.2</v>
      </c>
      <c r="E534" s="274">
        <v>0</v>
      </c>
      <c r="F534" s="274">
        <v>0</v>
      </c>
      <c r="G534" s="274">
        <v>10</v>
      </c>
      <c r="H534" s="274">
        <v>1023.3</v>
      </c>
      <c r="I534" s="274">
        <v>4231</v>
      </c>
      <c r="J534" s="274">
        <v>0</v>
      </c>
      <c r="K534" s="274">
        <v>0</v>
      </c>
      <c r="L534" s="274">
        <v>0</v>
      </c>
      <c r="M534" s="274">
        <v>65.3</v>
      </c>
      <c r="N534" s="396">
        <v>599.79999999999995</v>
      </c>
      <c r="O534" s="396">
        <v>11.4</v>
      </c>
      <c r="P534" s="396">
        <v>18.3</v>
      </c>
      <c r="Q534" s="397">
        <v>0.36458333333333298</v>
      </c>
      <c r="R534" s="396"/>
      <c r="S534" s="410"/>
      <c r="T534" s="409"/>
      <c r="U534" s="398" t="str">
        <f t="shared" si="23"/>
        <v/>
      </c>
      <c r="V534" s="400"/>
      <c r="W534" s="410">
        <f t="shared" si="22"/>
        <v>18.3</v>
      </c>
      <c r="X534" s="472">
        <f t="shared" si="24"/>
        <v>60</v>
      </c>
      <c r="AT534" s="232"/>
      <c r="AV534" s="198"/>
      <c r="AW534" s="274"/>
    </row>
    <row r="535" spans="2:49" x14ac:dyDescent="0.25">
      <c r="B535" s="274">
        <v>12.2</v>
      </c>
      <c r="C535" s="274">
        <v>94</v>
      </c>
      <c r="D535" s="274">
        <v>12.2</v>
      </c>
      <c r="E535" s="274">
        <v>1.1000000000000001</v>
      </c>
      <c r="F535" s="274">
        <v>1.8</v>
      </c>
      <c r="G535" s="274">
        <v>11</v>
      </c>
      <c r="H535" s="274">
        <v>1023.3</v>
      </c>
      <c r="I535" s="274">
        <v>4340</v>
      </c>
      <c r="J535" s="274">
        <v>0</v>
      </c>
      <c r="K535" s="274">
        <v>0</v>
      </c>
      <c r="L535" s="274">
        <v>0</v>
      </c>
      <c r="M535" s="274">
        <v>65.3</v>
      </c>
      <c r="N535" s="396">
        <v>599.79999999999995</v>
      </c>
      <c r="O535" s="396">
        <v>11.4</v>
      </c>
      <c r="P535" s="396">
        <v>18.5</v>
      </c>
      <c r="Q535" s="397">
        <v>0.36527777777777798</v>
      </c>
      <c r="R535" s="396"/>
      <c r="S535" s="410"/>
      <c r="T535" s="409"/>
      <c r="U535" s="398" t="str">
        <f t="shared" si="23"/>
        <v/>
      </c>
      <c r="V535" s="400"/>
      <c r="W535" s="410">
        <f t="shared" si="22"/>
        <v>18.5</v>
      </c>
      <c r="X535" s="472">
        <f t="shared" si="24"/>
        <v>60</v>
      </c>
      <c r="AT535" s="232"/>
      <c r="AV535" s="198"/>
      <c r="AW535" s="274"/>
    </row>
    <row r="536" spans="2:49" x14ac:dyDescent="0.25">
      <c r="B536" s="274">
        <v>12.3</v>
      </c>
      <c r="C536" s="274">
        <v>94</v>
      </c>
      <c r="D536" s="274">
        <v>12.3</v>
      </c>
      <c r="E536" s="274">
        <v>0</v>
      </c>
      <c r="F536" s="274">
        <v>0</v>
      </c>
      <c r="G536" s="274">
        <v>11</v>
      </c>
      <c r="H536" s="274">
        <v>1023.4</v>
      </c>
      <c r="I536" s="274">
        <v>4340</v>
      </c>
      <c r="J536" s="274">
        <v>0</v>
      </c>
      <c r="K536" s="274">
        <v>0</v>
      </c>
      <c r="L536" s="274">
        <v>0</v>
      </c>
      <c r="M536" s="274">
        <v>65.3</v>
      </c>
      <c r="N536" s="396">
        <v>599.79999999999995</v>
      </c>
      <c r="O536" s="396">
        <v>11.5</v>
      </c>
      <c r="P536" s="396">
        <v>18.7</v>
      </c>
      <c r="Q536" s="397">
        <v>0.36597222222222198</v>
      </c>
      <c r="R536" s="396"/>
      <c r="S536" s="410"/>
      <c r="T536" s="409"/>
      <c r="U536" s="398" t="str">
        <f t="shared" si="23"/>
        <v/>
      </c>
      <c r="V536" s="400"/>
      <c r="W536" s="410">
        <f t="shared" si="22"/>
        <v>18.7</v>
      </c>
      <c r="X536" s="472">
        <f t="shared" si="24"/>
        <v>60</v>
      </c>
      <c r="AT536" s="232"/>
      <c r="AV536" s="198"/>
      <c r="AW536" s="274"/>
    </row>
    <row r="537" spans="2:49" x14ac:dyDescent="0.25">
      <c r="B537" s="274">
        <v>12.3</v>
      </c>
      <c r="C537" s="274">
        <v>94</v>
      </c>
      <c r="D537" s="274">
        <v>12.3</v>
      </c>
      <c r="E537" s="274">
        <v>0.7</v>
      </c>
      <c r="F537" s="274">
        <v>1.8</v>
      </c>
      <c r="G537" s="274">
        <v>11</v>
      </c>
      <c r="H537" s="274">
        <v>1023.2</v>
      </c>
      <c r="I537" s="274">
        <v>4448</v>
      </c>
      <c r="J537" s="274">
        <v>0</v>
      </c>
      <c r="K537" s="274">
        <v>0</v>
      </c>
      <c r="L537" s="274">
        <v>0</v>
      </c>
      <c r="M537" s="274">
        <v>65.3</v>
      </c>
      <c r="N537" s="396">
        <v>599.79999999999995</v>
      </c>
      <c r="O537" s="396">
        <v>11.5</v>
      </c>
      <c r="P537" s="396">
        <v>18.899999999999999</v>
      </c>
      <c r="Q537" s="397">
        <v>0.36666666666666697</v>
      </c>
      <c r="R537" s="396"/>
      <c r="S537" s="410"/>
      <c r="T537" s="409"/>
      <c r="U537" s="398" t="str">
        <f t="shared" si="23"/>
        <v/>
      </c>
      <c r="V537" s="400"/>
      <c r="W537" s="410">
        <f t="shared" si="22"/>
        <v>18.899999999999999</v>
      </c>
      <c r="X537" s="472">
        <f t="shared" si="24"/>
        <v>60</v>
      </c>
      <c r="AT537" s="232"/>
      <c r="AV537" s="198"/>
      <c r="AW537" s="274"/>
    </row>
    <row r="538" spans="2:49" x14ac:dyDescent="0.25">
      <c r="B538" s="274">
        <v>12.3</v>
      </c>
      <c r="C538" s="274">
        <v>94</v>
      </c>
      <c r="D538" s="274">
        <v>12.3</v>
      </c>
      <c r="E538" s="274">
        <v>1.8</v>
      </c>
      <c r="F538" s="274">
        <v>3.6</v>
      </c>
      <c r="G538" s="274">
        <v>13</v>
      </c>
      <c r="H538" s="274">
        <v>1023.2</v>
      </c>
      <c r="I538" s="274">
        <v>4495</v>
      </c>
      <c r="J538" s="274">
        <v>0</v>
      </c>
      <c r="K538" s="274">
        <v>0</v>
      </c>
      <c r="L538" s="274">
        <v>0</v>
      </c>
      <c r="M538" s="274">
        <v>65.3</v>
      </c>
      <c r="N538" s="396">
        <v>599.79999999999995</v>
      </c>
      <c r="O538" s="396">
        <v>11.5</v>
      </c>
      <c r="P538" s="396">
        <v>19.100000000000001</v>
      </c>
      <c r="Q538" s="397">
        <v>0.36736111111111103</v>
      </c>
      <c r="R538" s="396"/>
      <c r="S538" s="410"/>
      <c r="T538" s="409"/>
      <c r="U538" s="398" t="str">
        <f t="shared" si="23"/>
        <v/>
      </c>
      <c r="V538" s="400"/>
      <c r="W538" s="410">
        <f t="shared" si="22"/>
        <v>19.100000000000001</v>
      </c>
      <c r="X538" s="472">
        <f t="shared" si="24"/>
        <v>60</v>
      </c>
      <c r="AT538" s="232"/>
      <c r="AV538" s="198"/>
      <c r="AW538" s="274"/>
    </row>
    <row r="539" spans="2:49" x14ac:dyDescent="0.25">
      <c r="B539" s="274">
        <v>12.4</v>
      </c>
      <c r="C539" s="274">
        <v>94</v>
      </c>
      <c r="D539" s="274">
        <v>12.4</v>
      </c>
      <c r="E539" s="274">
        <v>1.8</v>
      </c>
      <c r="F539" s="274">
        <v>1.8</v>
      </c>
      <c r="G539" s="274">
        <v>13</v>
      </c>
      <c r="H539" s="274">
        <v>1023.1</v>
      </c>
      <c r="I539" s="274">
        <v>4448</v>
      </c>
      <c r="J539" s="274">
        <v>0</v>
      </c>
      <c r="K539" s="274">
        <v>0</v>
      </c>
      <c r="L539" s="274">
        <v>0</v>
      </c>
      <c r="M539" s="274">
        <v>65.3</v>
      </c>
      <c r="N539" s="396">
        <v>599.79999999999995</v>
      </c>
      <c r="O539" s="396">
        <v>11.6</v>
      </c>
      <c r="P539" s="396">
        <v>19.3</v>
      </c>
      <c r="Q539" s="397">
        <v>0.36805555555555602</v>
      </c>
      <c r="R539" s="396"/>
      <c r="S539" s="410"/>
      <c r="T539" s="409"/>
      <c r="U539" s="398" t="str">
        <f t="shared" si="23"/>
        <v/>
      </c>
      <c r="V539" s="400"/>
      <c r="W539" s="410">
        <f t="shared" si="22"/>
        <v>19.3</v>
      </c>
      <c r="X539" s="472">
        <f t="shared" si="24"/>
        <v>60</v>
      </c>
      <c r="AT539" s="232"/>
      <c r="AV539" s="198"/>
      <c r="AW539" s="274"/>
    </row>
    <row r="540" spans="2:49" x14ac:dyDescent="0.25">
      <c r="B540" s="274">
        <v>12.5</v>
      </c>
      <c r="C540" s="274">
        <v>93</v>
      </c>
      <c r="D540" s="274">
        <v>12.5</v>
      </c>
      <c r="E540" s="274">
        <v>0.7</v>
      </c>
      <c r="F540" s="274">
        <v>1.8</v>
      </c>
      <c r="G540" s="274">
        <v>24</v>
      </c>
      <c r="H540" s="274">
        <v>1023.5</v>
      </c>
      <c r="I540" s="274">
        <v>4557</v>
      </c>
      <c r="J540" s="274">
        <v>0</v>
      </c>
      <c r="K540" s="274">
        <v>0</v>
      </c>
      <c r="L540" s="274">
        <v>0</v>
      </c>
      <c r="M540" s="274">
        <v>65.3</v>
      </c>
      <c r="N540" s="396">
        <v>599.79999999999995</v>
      </c>
      <c r="O540" s="396">
        <v>11.7</v>
      </c>
      <c r="P540" s="396">
        <v>19.5</v>
      </c>
      <c r="Q540" s="397">
        <v>0.36875000000000002</v>
      </c>
      <c r="R540" s="396"/>
      <c r="S540" s="410"/>
      <c r="T540" s="409"/>
      <c r="U540" s="398" t="str">
        <f t="shared" si="23"/>
        <v/>
      </c>
      <c r="V540" s="400"/>
      <c r="W540" s="410">
        <f t="shared" si="22"/>
        <v>19.5</v>
      </c>
      <c r="X540" s="472">
        <f t="shared" si="24"/>
        <v>60</v>
      </c>
      <c r="AT540" s="232"/>
      <c r="AV540" s="198"/>
      <c r="AW540" s="274"/>
    </row>
    <row r="541" spans="2:49" x14ac:dyDescent="0.25">
      <c r="B541" s="274">
        <v>12.6</v>
      </c>
      <c r="C541" s="274">
        <v>93</v>
      </c>
      <c r="D541" s="274">
        <v>12.6</v>
      </c>
      <c r="E541" s="274">
        <v>2.2000000000000002</v>
      </c>
      <c r="F541" s="274">
        <v>3.6</v>
      </c>
      <c r="G541" s="274">
        <v>24</v>
      </c>
      <c r="H541" s="274">
        <v>1023.3</v>
      </c>
      <c r="I541" s="274">
        <v>4557</v>
      </c>
      <c r="J541" s="274">
        <v>0</v>
      </c>
      <c r="K541" s="274">
        <v>0</v>
      </c>
      <c r="L541" s="274">
        <v>0</v>
      </c>
      <c r="M541" s="274">
        <v>65.3</v>
      </c>
      <c r="N541" s="396">
        <v>599.79999999999995</v>
      </c>
      <c r="O541" s="396">
        <v>11.7</v>
      </c>
      <c r="P541" s="396">
        <v>19.7</v>
      </c>
      <c r="Q541" s="397">
        <v>0.36944444444444402</v>
      </c>
      <c r="R541" s="396"/>
      <c r="S541" s="410"/>
      <c r="T541" s="409"/>
      <c r="U541" s="398" t="str">
        <f t="shared" si="23"/>
        <v/>
      </c>
      <c r="V541" s="400"/>
      <c r="W541" s="410">
        <f t="shared" si="22"/>
        <v>19.7</v>
      </c>
      <c r="X541" s="472">
        <f t="shared" si="24"/>
        <v>60</v>
      </c>
      <c r="AT541" s="232"/>
      <c r="AV541" s="198"/>
      <c r="AW541" s="274"/>
    </row>
    <row r="542" spans="2:49" x14ac:dyDescent="0.25">
      <c r="B542" s="274">
        <v>12.6</v>
      </c>
      <c r="C542" s="274">
        <v>93</v>
      </c>
      <c r="D542" s="274">
        <v>12.6</v>
      </c>
      <c r="E542" s="274">
        <v>1.8</v>
      </c>
      <c r="F542" s="274">
        <v>1.8</v>
      </c>
      <c r="G542" s="274">
        <v>24</v>
      </c>
      <c r="H542" s="274">
        <v>1023.1</v>
      </c>
      <c r="I542" s="274">
        <v>4557</v>
      </c>
      <c r="J542" s="274">
        <v>0</v>
      </c>
      <c r="K542" s="274">
        <v>0</v>
      </c>
      <c r="L542" s="274">
        <v>0</v>
      </c>
      <c r="M542" s="274">
        <v>65.3</v>
      </c>
      <c r="N542" s="396">
        <v>599.79999999999995</v>
      </c>
      <c r="O542" s="396">
        <v>11.7</v>
      </c>
      <c r="P542" s="396">
        <v>19.8</v>
      </c>
      <c r="Q542" s="397">
        <v>0.37013888888888902</v>
      </c>
      <c r="R542" s="396"/>
      <c r="S542" s="410"/>
      <c r="T542" s="409"/>
      <c r="U542" s="398" t="str">
        <f t="shared" si="23"/>
        <v/>
      </c>
      <c r="V542" s="400"/>
      <c r="W542" s="410">
        <f t="shared" si="22"/>
        <v>19.8</v>
      </c>
      <c r="X542" s="472">
        <f t="shared" si="24"/>
        <v>60</v>
      </c>
      <c r="AT542" s="232"/>
      <c r="AV542" s="198"/>
      <c r="AW542" s="274"/>
    </row>
    <row r="543" spans="2:49" x14ac:dyDescent="0.25">
      <c r="B543" s="274">
        <v>12.7</v>
      </c>
      <c r="C543" s="274">
        <v>93</v>
      </c>
      <c r="D543" s="274">
        <v>12.7</v>
      </c>
      <c r="E543" s="274">
        <v>0</v>
      </c>
      <c r="F543" s="274">
        <v>0</v>
      </c>
      <c r="G543" s="274">
        <v>24</v>
      </c>
      <c r="H543" s="274">
        <v>1023.4</v>
      </c>
      <c r="I543" s="274">
        <v>4603</v>
      </c>
      <c r="J543" s="274">
        <v>0</v>
      </c>
      <c r="K543" s="274">
        <v>0</v>
      </c>
      <c r="L543" s="274">
        <v>0</v>
      </c>
      <c r="M543" s="274">
        <v>65.3</v>
      </c>
      <c r="N543" s="396">
        <v>599.79999999999995</v>
      </c>
      <c r="O543" s="396">
        <v>11.8</v>
      </c>
      <c r="P543" s="396">
        <v>20</v>
      </c>
      <c r="Q543" s="397">
        <v>0.37083333333333302</v>
      </c>
      <c r="R543" s="396"/>
      <c r="S543" s="410"/>
      <c r="T543" s="409"/>
      <c r="U543" s="398" t="str">
        <f t="shared" si="23"/>
        <v/>
      </c>
      <c r="V543" s="400"/>
      <c r="W543" s="410">
        <f t="shared" si="22"/>
        <v>20</v>
      </c>
      <c r="X543" s="472">
        <f t="shared" si="24"/>
        <v>60</v>
      </c>
      <c r="AT543" s="232"/>
      <c r="AV543" s="198"/>
      <c r="AW543" s="274"/>
    </row>
    <row r="544" spans="2:49" x14ac:dyDescent="0.25">
      <c r="B544" s="274">
        <v>12.7</v>
      </c>
      <c r="C544" s="274">
        <v>93</v>
      </c>
      <c r="D544" s="274">
        <v>12.7</v>
      </c>
      <c r="E544" s="274">
        <v>0.4</v>
      </c>
      <c r="F544" s="274">
        <v>1.8</v>
      </c>
      <c r="G544" s="274">
        <v>24</v>
      </c>
      <c r="H544" s="274">
        <v>1023.2</v>
      </c>
      <c r="I544" s="274">
        <v>4557</v>
      </c>
      <c r="J544" s="274">
        <v>0</v>
      </c>
      <c r="K544" s="274">
        <v>0</v>
      </c>
      <c r="L544" s="274">
        <v>0</v>
      </c>
      <c r="M544" s="274">
        <v>65.3</v>
      </c>
      <c r="N544" s="396">
        <v>599.79999999999995</v>
      </c>
      <c r="O544" s="396">
        <v>11.8</v>
      </c>
      <c r="P544" s="396">
        <v>20.100000000000001</v>
      </c>
      <c r="Q544" s="397">
        <v>0.37152777777777801</v>
      </c>
      <c r="R544" s="396"/>
      <c r="S544" s="410"/>
      <c r="T544" s="409"/>
      <c r="U544" s="398" t="str">
        <f t="shared" si="23"/>
        <v/>
      </c>
      <c r="V544" s="400"/>
      <c r="W544" s="410">
        <f t="shared" si="22"/>
        <v>20.100000000000001</v>
      </c>
      <c r="X544" s="472">
        <f t="shared" si="24"/>
        <v>60</v>
      </c>
      <c r="AT544" s="232"/>
      <c r="AV544" s="198"/>
      <c r="AW544" s="274"/>
    </row>
    <row r="545" spans="2:49" x14ac:dyDescent="0.25">
      <c r="B545" s="274">
        <v>12.8</v>
      </c>
      <c r="C545" s="274">
        <v>93</v>
      </c>
      <c r="D545" s="274">
        <v>12.8</v>
      </c>
      <c r="E545" s="274">
        <v>3.6</v>
      </c>
      <c r="F545" s="274">
        <v>3.6</v>
      </c>
      <c r="G545" s="274">
        <v>3</v>
      </c>
      <c r="H545" s="274">
        <v>1023.4</v>
      </c>
      <c r="I545" s="274">
        <v>4712</v>
      </c>
      <c r="J545" s="274">
        <v>0</v>
      </c>
      <c r="K545" s="274">
        <v>0</v>
      </c>
      <c r="L545" s="274">
        <v>0</v>
      </c>
      <c r="M545" s="274">
        <v>65.3</v>
      </c>
      <c r="N545" s="396">
        <v>599.79999999999995</v>
      </c>
      <c r="O545" s="396">
        <v>11.9</v>
      </c>
      <c r="P545" s="396">
        <v>20.2</v>
      </c>
      <c r="Q545" s="397">
        <v>0.37222222222222201</v>
      </c>
      <c r="R545" s="396"/>
      <c r="S545" s="410"/>
      <c r="T545" s="409"/>
      <c r="U545" s="398" t="str">
        <f t="shared" si="23"/>
        <v/>
      </c>
      <c r="V545" s="400"/>
      <c r="W545" s="410">
        <f t="shared" si="22"/>
        <v>20.2</v>
      </c>
      <c r="X545" s="472">
        <f t="shared" si="24"/>
        <v>60</v>
      </c>
      <c r="AT545" s="232"/>
      <c r="AV545" s="198"/>
      <c r="AW545" s="274"/>
    </row>
    <row r="546" spans="2:49" x14ac:dyDescent="0.25">
      <c r="B546" s="274">
        <v>12.8</v>
      </c>
      <c r="C546" s="274">
        <v>93</v>
      </c>
      <c r="D546" s="274">
        <v>12.8</v>
      </c>
      <c r="E546" s="274">
        <v>3.2</v>
      </c>
      <c r="F546" s="274">
        <v>3.6</v>
      </c>
      <c r="G546" s="274">
        <v>20</v>
      </c>
      <c r="H546" s="274">
        <v>1023.2</v>
      </c>
      <c r="I546" s="274">
        <v>4712</v>
      </c>
      <c r="J546" s="274">
        <v>0</v>
      </c>
      <c r="K546" s="274">
        <v>0</v>
      </c>
      <c r="L546" s="274">
        <v>0</v>
      </c>
      <c r="M546" s="274">
        <v>65.3</v>
      </c>
      <c r="N546" s="396">
        <v>599.79999999999995</v>
      </c>
      <c r="O546" s="396">
        <v>11.9</v>
      </c>
      <c r="P546" s="396">
        <v>20.399999999999999</v>
      </c>
      <c r="Q546" s="397">
        <v>0.37291666666666701</v>
      </c>
      <c r="R546" s="396"/>
      <c r="S546" s="410"/>
      <c r="T546" s="409"/>
      <c r="U546" s="398" t="str">
        <f t="shared" si="23"/>
        <v/>
      </c>
      <c r="V546" s="400"/>
      <c r="W546" s="410">
        <f t="shared" si="22"/>
        <v>20.399999999999999</v>
      </c>
      <c r="X546" s="472">
        <f t="shared" si="24"/>
        <v>60</v>
      </c>
      <c r="AT546" s="232"/>
      <c r="AV546" s="198"/>
      <c r="AW546" s="274"/>
    </row>
    <row r="547" spans="2:49" x14ac:dyDescent="0.25">
      <c r="B547" s="274">
        <v>12.9</v>
      </c>
      <c r="C547" s="274">
        <v>93</v>
      </c>
      <c r="D547" s="274">
        <v>12.9</v>
      </c>
      <c r="E547" s="274">
        <v>2.2000000000000002</v>
      </c>
      <c r="F547" s="274">
        <v>3.6</v>
      </c>
      <c r="G547" s="274">
        <v>19</v>
      </c>
      <c r="H547" s="274">
        <v>1023.4</v>
      </c>
      <c r="I547" s="274">
        <v>4774</v>
      </c>
      <c r="J547" s="274">
        <v>0</v>
      </c>
      <c r="K547" s="274">
        <v>0</v>
      </c>
      <c r="L547" s="274">
        <v>0</v>
      </c>
      <c r="M547" s="274">
        <v>65.3</v>
      </c>
      <c r="N547" s="396">
        <v>599.79999999999995</v>
      </c>
      <c r="O547" s="396">
        <v>12</v>
      </c>
      <c r="P547" s="396">
        <v>20.5</v>
      </c>
      <c r="Q547" s="397">
        <v>0.37361111111111101</v>
      </c>
      <c r="R547" s="396"/>
      <c r="S547" s="410"/>
      <c r="T547" s="409"/>
      <c r="U547" s="398" t="str">
        <f t="shared" si="23"/>
        <v/>
      </c>
      <c r="V547" s="400"/>
      <c r="W547" s="410">
        <f t="shared" si="22"/>
        <v>20.5</v>
      </c>
      <c r="X547" s="472">
        <f t="shared" si="24"/>
        <v>60</v>
      </c>
      <c r="AT547" s="232"/>
      <c r="AV547" s="198"/>
      <c r="AW547" s="274"/>
    </row>
    <row r="548" spans="2:49" x14ac:dyDescent="0.25">
      <c r="B548" s="274">
        <v>13</v>
      </c>
      <c r="C548" s="274">
        <v>92</v>
      </c>
      <c r="D548" s="274">
        <v>13</v>
      </c>
      <c r="E548" s="274">
        <v>4</v>
      </c>
      <c r="F548" s="274">
        <v>5.4</v>
      </c>
      <c r="G548" s="274">
        <v>21</v>
      </c>
      <c r="H548" s="274">
        <v>1023.4</v>
      </c>
      <c r="I548" s="274">
        <v>4712</v>
      </c>
      <c r="J548" s="274">
        <v>0</v>
      </c>
      <c r="K548" s="274">
        <v>0</v>
      </c>
      <c r="L548" s="274">
        <v>0</v>
      </c>
      <c r="M548" s="274">
        <v>65.3</v>
      </c>
      <c r="N548" s="396">
        <v>599.79999999999995</v>
      </c>
      <c r="O548" s="396">
        <v>12</v>
      </c>
      <c r="P548" s="396">
        <v>20.5</v>
      </c>
      <c r="Q548" s="397">
        <v>0.374305555555556</v>
      </c>
      <c r="R548" s="396"/>
      <c r="S548" s="410"/>
      <c r="T548" s="409"/>
      <c r="U548" s="398" t="str">
        <f t="shared" si="23"/>
        <v/>
      </c>
      <c r="V548" s="400"/>
      <c r="W548" s="410">
        <f t="shared" si="22"/>
        <v>20.5</v>
      </c>
      <c r="X548" s="472">
        <f t="shared" si="24"/>
        <v>60</v>
      </c>
      <c r="AT548" s="232"/>
      <c r="AV548" s="198"/>
      <c r="AW548" s="274"/>
    </row>
    <row r="549" spans="2:49" x14ac:dyDescent="0.25">
      <c r="B549" s="274">
        <v>13</v>
      </c>
      <c r="C549" s="274">
        <v>92</v>
      </c>
      <c r="D549" s="274">
        <v>13</v>
      </c>
      <c r="E549" s="274">
        <v>1.1000000000000001</v>
      </c>
      <c r="F549" s="274">
        <v>1.8</v>
      </c>
      <c r="G549" s="274">
        <v>21</v>
      </c>
      <c r="H549" s="274">
        <v>1023.5</v>
      </c>
      <c r="I549" s="274">
        <v>4882</v>
      </c>
      <c r="J549" s="274">
        <v>0</v>
      </c>
      <c r="K549" s="274">
        <v>0</v>
      </c>
      <c r="L549" s="274">
        <v>0</v>
      </c>
      <c r="M549" s="274">
        <v>65.3</v>
      </c>
      <c r="N549" s="396">
        <v>599.79999999999995</v>
      </c>
      <c r="O549" s="396">
        <v>12.1</v>
      </c>
      <c r="P549" s="396">
        <v>20.6</v>
      </c>
      <c r="Q549" s="397">
        <v>0.375</v>
      </c>
      <c r="R549" s="396"/>
      <c r="S549" s="410"/>
      <c r="T549" s="409"/>
      <c r="U549" s="398" t="str">
        <f t="shared" si="23"/>
        <v/>
      </c>
      <c r="V549" s="400"/>
      <c r="W549" s="410">
        <f t="shared" si="22"/>
        <v>20.6</v>
      </c>
      <c r="X549" s="472">
        <f t="shared" si="24"/>
        <v>60</v>
      </c>
      <c r="AT549" s="232"/>
      <c r="AV549" s="198"/>
      <c r="AW549" s="274"/>
    </row>
    <row r="550" spans="2:49" x14ac:dyDescent="0.25">
      <c r="B550" s="274">
        <v>13.1</v>
      </c>
      <c r="C550" s="274">
        <v>92</v>
      </c>
      <c r="D550" s="274">
        <v>13.1</v>
      </c>
      <c r="E550" s="274">
        <v>1.8</v>
      </c>
      <c r="F550" s="274">
        <v>1.8</v>
      </c>
      <c r="G550" s="274">
        <v>21</v>
      </c>
      <c r="H550" s="274">
        <v>1023.2</v>
      </c>
      <c r="I550" s="274">
        <v>4882</v>
      </c>
      <c r="J550" s="274">
        <v>0</v>
      </c>
      <c r="K550" s="274">
        <v>0</v>
      </c>
      <c r="L550" s="274">
        <v>0</v>
      </c>
      <c r="M550" s="274">
        <v>65.3</v>
      </c>
      <c r="N550" s="396">
        <v>599.79999999999995</v>
      </c>
      <c r="O550" s="396">
        <v>12.1</v>
      </c>
      <c r="P550" s="396">
        <v>20.8</v>
      </c>
      <c r="Q550" s="397">
        <v>0.375694444444444</v>
      </c>
      <c r="R550" s="396"/>
      <c r="S550" s="410"/>
      <c r="T550" s="409"/>
      <c r="U550" s="398" t="str">
        <f t="shared" si="23"/>
        <v/>
      </c>
      <c r="V550" s="400"/>
      <c r="W550" s="410">
        <f t="shared" si="22"/>
        <v>20.8</v>
      </c>
      <c r="X550" s="472">
        <f t="shared" si="24"/>
        <v>60</v>
      </c>
      <c r="AT550" s="232"/>
      <c r="AV550" s="198"/>
      <c r="AW550" s="274"/>
    </row>
    <row r="551" spans="2:49" x14ac:dyDescent="0.25">
      <c r="B551" s="274">
        <v>13.1</v>
      </c>
      <c r="C551" s="274">
        <v>92</v>
      </c>
      <c r="D551" s="274">
        <v>13.1</v>
      </c>
      <c r="E551" s="274">
        <v>2.5</v>
      </c>
      <c r="F551" s="274">
        <v>3.6</v>
      </c>
      <c r="G551" s="274">
        <v>20</v>
      </c>
      <c r="H551" s="274">
        <v>1023.3</v>
      </c>
      <c r="I551" s="274">
        <v>4836</v>
      </c>
      <c r="J551" s="274">
        <v>0</v>
      </c>
      <c r="K551" s="274">
        <v>0</v>
      </c>
      <c r="L551" s="274">
        <v>0</v>
      </c>
      <c r="M551" s="274">
        <v>65.3</v>
      </c>
      <c r="N551" s="396">
        <v>599.79999999999995</v>
      </c>
      <c r="O551" s="396">
        <v>12.2</v>
      </c>
      <c r="P551" s="396">
        <v>20.9</v>
      </c>
      <c r="Q551" s="397">
        <v>0.37638888888888899</v>
      </c>
      <c r="R551" s="396"/>
      <c r="S551" s="410"/>
      <c r="T551" s="409"/>
      <c r="U551" s="398" t="str">
        <f t="shared" si="23"/>
        <v/>
      </c>
      <c r="V551" s="400"/>
      <c r="W551" s="410">
        <f t="shared" si="22"/>
        <v>20.9</v>
      </c>
      <c r="X551" s="472">
        <f t="shared" si="24"/>
        <v>60</v>
      </c>
      <c r="AT551" s="232"/>
      <c r="AV551" s="198"/>
      <c r="AW551" s="274"/>
    </row>
    <row r="552" spans="2:49" x14ac:dyDescent="0.25">
      <c r="B552" s="274">
        <v>13.2</v>
      </c>
      <c r="C552" s="274">
        <v>92</v>
      </c>
      <c r="D552" s="274">
        <v>13.2</v>
      </c>
      <c r="E552" s="274">
        <v>4.3</v>
      </c>
      <c r="F552" s="274">
        <v>5.4</v>
      </c>
      <c r="G552" s="274">
        <v>13</v>
      </c>
      <c r="H552" s="274">
        <v>1023.3</v>
      </c>
      <c r="I552" s="274">
        <v>4944</v>
      </c>
      <c r="J552" s="274">
        <v>0</v>
      </c>
      <c r="K552" s="274">
        <v>0</v>
      </c>
      <c r="L552" s="274">
        <v>0</v>
      </c>
      <c r="M552" s="274">
        <v>65.3</v>
      </c>
      <c r="N552" s="396">
        <v>599.79999999999995</v>
      </c>
      <c r="O552" s="396">
        <v>12.3</v>
      </c>
      <c r="P552" s="396">
        <v>21.1</v>
      </c>
      <c r="Q552" s="397">
        <v>0.37708333333333299</v>
      </c>
      <c r="R552" s="396"/>
      <c r="S552" s="410"/>
      <c r="T552" s="409"/>
      <c r="U552" s="398" t="str">
        <f t="shared" si="23"/>
        <v/>
      </c>
      <c r="V552" s="400"/>
      <c r="W552" s="410">
        <f t="shared" si="22"/>
        <v>21.1</v>
      </c>
      <c r="X552" s="472">
        <f t="shared" si="24"/>
        <v>60</v>
      </c>
      <c r="AT552" s="232"/>
      <c r="AV552" s="198"/>
      <c r="AW552" s="274"/>
    </row>
    <row r="553" spans="2:49" x14ac:dyDescent="0.25">
      <c r="B553" s="274">
        <v>13.3</v>
      </c>
      <c r="C553" s="274">
        <v>92</v>
      </c>
      <c r="D553" s="274">
        <v>13.3</v>
      </c>
      <c r="E553" s="274">
        <v>3.6</v>
      </c>
      <c r="F553" s="274">
        <v>7.2</v>
      </c>
      <c r="G553" s="274">
        <v>3</v>
      </c>
      <c r="H553" s="274">
        <v>1023.4</v>
      </c>
      <c r="I553" s="274">
        <v>5161</v>
      </c>
      <c r="J553" s="274">
        <v>0</v>
      </c>
      <c r="K553" s="274">
        <v>0</v>
      </c>
      <c r="L553" s="274">
        <v>0</v>
      </c>
      <c r="M553" s="274">
        <v>65.3</v>
      </c>
      <c r="N553" s="396">
        <v>599.79999999999995</v>
      </c>
      <c r="O553" s="396">
        <v>12.3</v>
      </c>
      <c r="P553" s="396">
        <v>21.3</v>
      </c>
      <c r="Q553" s="397">
        <v>0.37777777777777799</v>
      </c>
      <c r="R553" s="396"/>
      <c r="S553" s="410"/>
      <c r="T553" s="409"/>
      <c r="U553" s="398" t="str">
        <f t="shared" si="23"/>
        <v/>
      </c>
      <c r="V553" s="400"/>
      <c r="W553" s="410">
        <f t="shared" si="22"/>
        <v>21.3</v>
      </c>
      <c r="X553" s="472">
        <f t="shared" si="24"/>
        <v>60</v>
      </c>
      <c r="AT553" s="232"/>
      <c r="AV553" s="198"/>
      <c r="AW553" s="274"/>
    </row>
    <row r="554" spans="2:49" x14ac:dyDescent="0.25">
      <c r="B554" s="274">
        <v>13.3</v>
      </c>
      <c r="C554" s="274">
        <v>91</v>
      </c>
      <c r="D554" s="274">
        <v>13.3</v>
      </c>
      <c r="E554" s="274">
        <v>4</v>
      </c>
      <c r="F554" s="274">
        <v>5.4</v>
      </c>
      <c r="G554" s="274">
        <v>19</v>
      </c>
      <c r="H554" s="274">
        <v>1023.5</v>
      </c>
      <c r="I554" s="274">
        <v>5053</v>
      </c>
      <c r="J554" s="274">
        <v>0</v>
      </c>
      <c r="K554" s="274">
        <v>0</v>
      </c>
      <c r="L554" s="274">
        <v>0</v>
      </c>
      <c r="M554" s="274">
        <v>65.3</v>
      </c>
      <c r="N554" s="396">
        <v>599.79999999999995</v>
      </c>
      <c r="O554" s="396">
        <v>12.4</v>
      </c>
      <c r="P554" s="396">
        <v>21.4</v>
      </c>
      <c r="Q554" s="397">
        <v>0.37847222222222199</v>
      </c>
      <c r="R554" s="396"/>
      <c r="S554" s="410"/>
      <c r="T554" s="409"/>
      <c r="U554" s="398" t="str">
        <f t="shared" si="23"/>
        <v/>
      </c>
      <c r="V554" s="400"/>
      <c r="W554" s="410">
        <f t="shared" si="22"/>
        <v>21.4</v>
      </c>
      <c r="X554" s="472">
        <f t="shared" si="24"/>
        <v>60</v>
      </c>
      <c r="AT554" s="232"/>
      <c r="AV554" s="198"/>
      <c r="AW554" s="274"/>
    </row>
    <row r="555" spans="2:49" x14ac:dyDescent="0.25">
      <c r="B555" s="274">
        <v>13.4</v>
      </c>
      <c r="C555" s="274">
        <v>91</v>
      </c>
      <c r="D555" s="274">
        <v>13.4</v>
      </c>
      <c r="E555" s="274">
        <v>4.7</v>
      </c>
      <c r="F555" s="274">
        <v>7.2</v>
      </c>
      <c r="G555" s="274">
        <v>7</v>
      </c>
      <c r="H555" s="274">
        <v>1023.5</v>
      </c>
      <c r="I555" s="274">
        <v>5099</v>
      </c>
      <c r="J555" s="274">
        <v>0</v>
      </c>
      <c r="K555" s="274">
        <v>0</v>
      </c>
      <c r="L555" s="274">
        <v>0</v>
      </c>
      <c r="M555" s="274">
        <v>65.3</v>
      </c>
      <c r="N555" s="396">
        <v>599.79999999999995</v>
      </c>
      <c r="O555" s="396">
        <v>12.4</v>
      </c>
      <c r="P555" s="396">
        <v>21.4</v>
      </c>
      <c r="Q555" s="397">
        <v>0.37916666666666698</v>
      </c>
      <c r="R555" s="396"/>
      <c r="S555" s="410"/>
      <c r="T555" s="409"/>
      <c r="U555" s="398" t="str">
        <f t="shared" si="23"/>
        <v/>
      </c>
      <c r="V555" s="400"/>
      <c r="W555" s="410">
        <f t="shared" si="22"/>
        <v>21.4</v>
      </c>
      <c r="X555" s="472">
        <f t="shared" si="24"/>
        <v>60</v>
      </c>
      <c r="AT555" s="232"/>
      <c r="AV555" s="198"/>
      <c r="AW555" s="274"/>
    </row>
    <row r="556" spans="2:49" x14ac:dyDescent="0.25">
      <c r="B556" s="274">
        <v>13.4</v>
      </c>
      <c r="C556" s="274">
        <v>91</v>
      </c>
      <c r="D556" s="274">
        <v>13.4</v>
      </c>
      <c r="E556" s="274">
        <v>2.9</v>
      </c>
      <c r="F556" s="274">
        <v>3.6</v>
      </c>
      <c r="G556" s="274">
        <v>29</v>
      </c>
      <c r="H556" s="274">
        <v>1023.6</v>
      </c>
      <c r="I556" s="274">
        <v>5053</v>
      </c>
      <c r="J556" s="274">
        <v>0</v>
      </c>
      <c r="K556" s="274">
        <v>0</v>
      </c>
      <c r="L556" s="274">
        <v>0</v>
      </c>
      <c r="M556" s="274">
        <v>65.3</v>
      </c>
      <c r="N556" s="396">
        <v>599.79999999999995</v>
      </c>
      <c r="O556" s="396">
        <v>12.5</v>
      </c>
      <c r="P556" s="396">
        <v>21.5</v>
      </c>
      <c r="Q556" s="397">
        <v>0.37986111111111098</v>
      </c>
      <c r="R556" s="396"/>
      <c r="S556" s="410"/>
      <c r="T556" s="409"/>
      <c r="U556" s="398" t="str">
        <f t="shared" si="23"/>
        <v/>
      </c>
      <c r="V556" s="400"/>
      <c r="W556" s="410">
        <f t="shared" si="22"/>
        <v>21.5</v>
      </c>
      <c r="X556" s="472">
        <f t="shared" si="24"/>
        <v>60</v>
      </c>
      <c r="AT556" s="232"/>
      <c r="AV556" s="198"/>
      <c r="AW556" s="274"/>
    </row>
    <row r="557" spans="2:49" x14ac:dyDescent="0.25">
      <c r="B557" s="274">
        <v>13.5</v>
      </c>
      <c r="C557" s="274">
        <v>91</v>
      </c>
      <c r="D557" s="274">
        <v>13.5</v>
      </c>
      <c r="E557" s="274">
        <v>2.2000000000000002</v>
      </c>
      <c r="F557" s="274">
        <v>3.6</v>
      </c>
      <c r="G557" s="274">
        <v>31</v>
      </c>
      <c r="H557" s="274">
        <v>1023.6</v>
      </c>
      <c r="I557" s="274">
        <v>5099</v>
      </c>
      <c r="J557" s="274">
        <v>0</v>
      </c>
      <c r="K557" s="274">
        <v>0</v>
      </c>
      <c r="L557" s="274">
        <v>0</v>
      </c>
      <c r="M557" s="274">
        <v>65.3</v>
      </c>
      <c r="N557" s="396">
        <v>599.79999999999995</v>
      </c>
      <c r="O557" s="396">
        <v>12.5</v>
      </c>
      <c r="P557" s="396">
        <v>21.5</v>
      </c>
      <c r="Q557" s="397">
        <v>0.38055555555555598</v>
      </c>
      <c r="R557" s="396"/>
      <c r="S557" s="410"/>
      <c r="T557" s="409"/>
      <c r="U557" s="398" t="str">
        <f t="shared" si="23"/>
        <v/>
      </c>
      <c r="V557" s="400"/>
      <c r="W557" s="410">
        <f t="shared" si="22"/>
        <v>21.5</v>
      </c>
      <c r="X557" s="472">
        <f t="shared" si="24"/>
        <v>60</v>
      </c>
      <c r="AT557" s="232"/>
      <c r="AV557" s="198"/>
      <c r="AW557" s="274"/>
    </row>
    <row r="558" spans="2:49" x14ac:dyDescent="0.25">
      <c r="B558" s="274">
        <v>13.6</v>
      </c>
      <c r="C558" s="274">
        <v>91</v>
      </c>
      <c r="D558" s="274">
        <v>13.6</v>
      </c>
      <c r="E558" s="274">
        <v>3.2</v>
      </c>
      <c r="F558" s="274">
        <v>3.6</v>
      </c>
      <c r="G558" s="274">
        <v>20</v>
      </c>
      <c r="H558" s="274">
        <v>1023.4</v>
      </c>
      <c r="I558" s="274">
        <v>5270</v>
      </c>
      <c r="J558" s="274">
        <v>0</v>
      </c>
      <c r="K558" s="274">
        <v>0</v>
      </c>
      <c r="L558" s="274">
        <v>0</v>
      </c>
      <c r="M558" s="274">
        <v>65.3</v>
      </c>
      <c r="N558" s="396">
        <v>599.79999999999995</v>
      </c>
      <c r="O558" s="396">
        <v>12.6</v>
      </c>
      <c r="P558" s="396">
        <v>21.6</v>
      </c>
      <c r="Q558" s="397">
        <v>0.38124999999999998</v>
      </c>
      <c r="R558" s="396"/>
      <c r="S558" s="410"/>
      <c r="T558" s="409"/>
      <c r="U558" s="398" t="str">
        <f t="shared" si="23"/>
        <v/>
      </c>
      <c r="V558" s="400"/>
      <c r="W558" s="410">
        <f t="shared" si="22"/>
        <v>21.6</v>
      </c>
      <c r="X558" s="472">
        <f t="shared" si="24"/>
        <v>60</v>
      </c>
      <c r="AT558" s="232"/>
      <c r="AV558" s="198"/>
      <c r="AW558" s="274"/>
    </row>
    <row r="559" spans="2:49" x14ac:dyDescent="0.25">
      <c r="B559" s="274">
        <v>13.7</v>
      </c>
      <c r="C559" s="274">
        <v>91</v>
      </c>
      <c r="D559" s="274">
        <v>13.7</v>
      </c>
      <c r="E559" s="274">
        <v>4</v>
      </c>
      <c r="F559" s="274">
        <v>5.4</v>
      </c>
      <c r="G559" s="274">
        <v>17</v>
      </c>
      <c r="H559" s="274">
        <v>1023.4</v>
      </c>
      <c r="I559" s="274">
        <v>5270</v>
      </c>
      <c r="J559" s="274">
        <v>0</v>
      </c>
      <c r="K559" s="274">
        <v>0</v>
      </c>
      <c r="L559" s="274">
        <v>0</v>
      </c>
      <c r="M559" s="274">
        <v>65.3</v>
      </c>
      <c r="N559" s="396">
        <v>599.79999999999995</v>
      </c>
      <c r="O559" s="396">
        <v>12.6</v>
      </c>
      <c r="P559" s="396">
        <v>21.7</v>
      </c>
      <c r="Q559" s="397">
        <v>0.38194444444444398</v>
      </c>
      <c r="R559" s="396"/>
      <c r="S559" s="410"/>
      <c r="T559" s="409"/>
      <c r="U559" s="398" t="str">
        <f t="shared" si="23"/>
        <v/>
      </c>
      <c r="V559" s="400"/>
      <c r="W559" s="410">
        <f t="shared" si="22"/>
        <v>21.7</v>
      </c>
      <c r="X559" s="472">
        <f t="shared" si="24"/>
        <v>60</v>
      </c>
      <c r="Z559" s="197"/>
      <c r="AA559" s="197"/>
      <c r="AB559" s="197"/>
      <c r="AT559" s="232"/>
      <c r="AV559" s="198"/>
      <c r="AW559" s="274"/>
    </row>
    <row r="560" spans="2:49" x14ac:dyDescent="0.25">
      <c r="B560" s="274">
        <v>13.7</v>
      </c>
      <c r="C560" s="274">
        <v>91</v>
      </c>
      <c r="D560" s="274">
        <v>13.7</v>
      </c>
      <c r="E560" s="274">
        <v>2.9</v>
      </c>
      <c r="F560" s="274">
        <v>3.6</v>
      </c>
      <c r="G560" s="274">
        <v>19</v>
      </c>
      <c r="H560" s="274">
        <v>1023.6</v>
      </c>
      <c r="I560" s="274">
        <v>5316</v>
      </c>
      <c r="J560" s="274">
        <v>0</v>
      </c>
      <c r="K560" s="274">
        <v>0</v>
      </c>
      <c r="L560" s="274">
        <v>0</v>
      </c>
      <c r="M560" s="274">
        <v>65.3</v>
      </c>
      <c r="N560" s="396">
        <v>599.79999999999995</v>
      </c>
      <c r="O560" s="396">
        <v>12.6</v>
      </c>
      <c r="P560" s="396">
        <v>21.8</v>
      </c>
      <c r="Q560" s="397">
        <v>0.38263888888888897</v>
      </c>
      <c r="R560" s="396"/>
      <c r="S560" s="410"/>
      <c r="T560" s="409"/>
      <c r="U560" s="398" t="str">
        <f t="shared" si="23"/>
        <v/>
      </c>
      <c r="V560" s="400"/>
      <c r="W560" s="410">
        <f t="shared" si="22"/>
        <v>21.8</v>
      </c>
      <c r="X560" s="472">
        <f t="shared" si="24"/>
        <v>60</v>
      </c>
      <c r="Z560" s="197"/>
      <c r="AA560" s="197"/>
      <c r="AB560" s="197"/>
      <c r="AT560" s="232"/>
      <c r="AV560" s="198"/>
      <c r="AW560" s="274"/>
    </row>
    <row r="561" spans="2:49" x14ac:dyDescent="0.25">
      <c r="B561" s="274">
        <v>13.7</v>
      </c>
      <c r="C561" s="274">
        <v>91</v>
      </c>
      <c r="D561" s="274">
        <v>13.7</v>
      </c>
      <c r="E561" s="274">
        <v>4.7</v>
      </c>
      <c r="F561" s="274">
        <v>5.4</v>
      </c>
      <c r="G561" s="274">
        <v>11</v>
      </c>
      <c r="H561" s="274">
        <v>1023.6</v>
      </c>
      <c r="I561" s="274">
        <v>5378</v>
      </c>
      <c r="J561" s="274">
        <v>0</v>
      </c>
      <c r="K561" s="274">
        <v>0</v>
      </c>
      <c r="L561" s="274">
        <v>0</v>
      </c>
      <c r="M561" s="274">
        <v>65.3</v>
      </c>
      <c r="N561" s="396">
        <v>599.79999999999995</v>
      </c>
      <c r="O561" s="396">
        <v>12.8</v>
      </c>
      <c r="P561" s="396">
        <v>21.8</v>
      </c>
      <c r="Q561" s="397">
        <v>0.38333333333333303</v>
      </c>
      <c r="R561" s="396"/>
      <c r="S561" s="410"/>
      <c r="T561" s="409"/>
      <c r="U561" s="398" t="str">
        <f t="shared" si="23"/>
        <v/>
      </c>
      <c r="V561" s="400"/>
      <c r="W561" s="410">
        <f t="shared" si="22"/>
        <v>21.8</v>
      </c>
      <c r="X561" s="472">
        <f t="shared" si="24"/>
        <v>60</v>
      </c>
      <c r="Z561" s="197"/>
      <c r="AA561" s="197"/>
      <c r="AB561" s="197"/>
      <c r="AT561" s="232"/>
      <c r="AV561" s="198"/>
      <c r="AW561" s="274"/>
    </row>
    <row r="562" spans="2:49" x14ac:dyDescent="0.25">
      <c r="B562" s="274">
        <v>13.7</v>
      </c>
      <c r="C562" s="274">
        <v>90</v>
      </c>
      <c r="D562" s="274">
        <v>13.7</v>
      </c>
      <c r="E562" s="274">
        <v>3.6</v>
      </c>
      <c r="F562" s="274">
        <v>5.4</v>
      </c>
      <c r="G562" s="274">
        <v>9</v>
      </c>
      <c r="H562" s="274">
        <v>1023.6</v>
      </c>
      <c r="I562" s="274">
        <v>5440</v>
      </c>
      <c r="J562" s="274">
        <v>0</v>
      </c>
      <c r="K562" s="274">
        <v>0</v>
      </c>
      <c r="L562" s="274">
        <v>0</v>
      </c>
      <c r="M562" s="274">
        <v>65.3</v>
      </c>
      <c r="N562" s="396">
        <v>599.79999999999995</v>
      </c>
      <c r="O562" s="396">
        <v>12.8</v>
      </c>
      <c r="P562" s="396">
        <v>21.8</v>
      </c>
      <c r="Q562" s="397">
        <v>0.38402777777777802</v>
      </c>
      <c r="R562" s="396"/>
      <c r="S562" s="410"/>
      <c r="T562" s="409"/>
      <c r="U562" s="398" t="str">
        <f t="shared" si="23"/>
        <v/>
      </c>
      <c r="V562" s="400"/>
      <c r="W562" s="410">
        <f t="shared" ref="W562:W625" si="25">MAX(O562:P562)</f>
        <v>21.8</v>
      </c>
      <c r="X562" s="472">
        <f t="shared" si="24"/>
        <v>60</v>
      </c>
      <c r="Z562" s="197"/>
      <c r="AA562" s="197"/>
      <c r="AB562" s="197"/>
      <c r="AT562" s="232"/>
      <c r="AV562" s="198"/>
      <c r="AW562" s="274"/>
    </row>
    <row r="563" spans="2:49" x14ac:dyDescent="0.25">
      <c r="B563" s="274">
        <v>13.8</v>
      </c>
      <c r="C563" s="274">
        <v>91</v>
      </c>
      <c r="D563" s="274">
        <v>13.8</v>
      </c>
      <c r="E563" s="274">
        <v>3.6</v>
      </c>
      <c r="F563" s="274">
        <v>3.6</v>
      </c>
      <c r="G563" s="274">
        <v>35</v>
      </c>
      <c r="H563" s="274">
        <v>1023.6</v>
      </c>
      <c r="I563" s="274">
        <v>5440</v>
      </c>
      <c r="J563" s="274">
        <v>0</v>
      </c>
      <c r="K563" s="274">
        <v>0</v>
      </c>
      <c r="L563" s="274">
        <v>0</v>
      </c>
      <c r="M563" s="274">
        <v>65.3</v>
      </c>
      <c r="N563" s="396">
        <v>599.79999999999995</v>
      </c>
      <c r="O563" s="396">
        <v>12.9</v>
      </c>
      <c r="P563" s="396">
        <v>21.9</v>
      </c>
      <c r="Q563" s="397">
        <v>0.38472222222222202</v>
      </c>
      <c r="R563" s="396"/>
      <c r="S563" s="410"/>
      <c r="T563" s="409"/>
      <c r="U563" s="398" t="str">
        <f t="shared" si="23"/>
        <v/>
      </c>
      <c r="V563" s="400"/>
      <c r="W563" s="410">
        <f t="shared" si="25"/>
        <v>21.9</v>
      </c>
      <c r="X563" s="472">
        <f t="shared" si="24"/>
        <v>60</v>
      </c>
      <c r="Z563" s="197"/>
      <c r="AA563" s="197"/>
      <c r="AB563" s="197"/>
      <c r="AT563" s="232"/>
      <c r="AV563" s="198"/>
      <c r="AW563" s="274"/>
    </row>
    <row r="564" spans="2:49" x14ac:dyDescent="0.25">
      <c r="B564" s="274">
        <v>13.8</v>
      </c>
      <c r="C564" s="274">
        <v>91</v>
      </c>
      <c r="D564" s="274">
        <v>13.8</v>
      </c>
      <c r="E564" s="274">
        <v>1.4</v>
      </c>
      <c r="F564" s="274">
        <v>1.8</v>
      </c>
      <c r="G564" s="274">
        <v>37</v>
      </c>
      <c r="H564" s="274">
        <v>1023.5</v>
      </c>
      <c r="I564" s="274">
        <v>5487</v>
      </c>
      <c r="J564" s="274">
        <v>0</v>
      </c>
      <c r="K564" s="274">
        <v>0</v>
      </c>
      <c r="L564" s="274">
        <v>0</v>
      </c>
      <c r="M564" s="274">
        <v>65.3</v>
      </c>
      <c r="N564" s="396">
        <v>599.79999999999995</v>
      </c>
      <c r="O564" s="396">
        <v>12.9</v>
      </c>
      <c r="P564" s="396">
        <v>21.9</v>
      </c>
      <c r="Q564" s="397">
        <v>0.38541666666666702</v>
      </c>
      <c r="R564" s="396"/>
      <c r="S564" s="410"/>
      <c r="T564" s="409"/>
      <c r="U564" s="398" t="str">
        <f t="shared" si="23"/>
        <v/>
      </c>
      <c r="V564" s="400"/>
      <c r="W564" s="410">
        <f t="shared" si="25"/>
        <v>21.9</v>
      </c>
      <c r="X564" s="472">
        <f t="shared" si="24"/>
        <v>60</v>
      </c>
      <c r="Z564" s="197"/>
      <c r="AA564" s="197"/>
      <c r="AB564" s="197"/>
      <c r="AT564" s="232"/>
      <c r="AV564" s="198"/>
      <c r="AW564" s="274"/>
    </row>
    <row r="565" spans="2:49" x14ac:dyDescent="0.25">
      <c r="B565" s="274">
        <v>13.9</v>
      </c>
      <c r="C565" s="274">
        <v>90</v>
      </c>
      <c r="D565" s="274">
        <v>13.9</v>
      </c>
      <c r="E565" s="274">
        <v>2.2000000000000002</v>
      </c>
      <c r="F565" s="274">
        <v>3.6</v>
      </c>
      <c r="G565" s="274">
        <v>36</v>
      </c>
      <c r="H565" s="274">
        <v>1023.5</v>
      </c>
      <c r="I565" s="274">
        <v>5487</v>
      </c>
      <c r="J565" s="274">
        <v>0</v>
      </c>
      <c r="K565" s="274">
        <v>0</v>
      </c>
      <c r="L565" s="274">
        <v>0</v>
      </c>
      <c r="M565" s="274">
        <v>65.3</v>
      </c>
      <c r="N565" s="396">
        <v>599.79999999999995</v>
      </c>
      <c r="O565" s="396">
        <v>13</v>
      </c>
      <c r="P565" s="396">
        <v>22</v>
      </c>
      <c r="Q565" s="397">
        <v>0.38611111111111102</v>
      </c>
      <c r="R565" s="396"/>
      <c r="S565" s="410"/>
      <c r="T565" s="409"/>
      <c r="U565" s="398" t="str">
        <f t="shared" si="23"/>
        <v/>
      </c>
      <c r="V565" s="400"/>
      <c r="W565" s="410">
        <f t="shared" si="25"/>
        <v>22</v>
      </c>
      <c r="X565" s="472">
        <f t="shared" si="24"/>
        <v>60</v>
      </c>
      <c r="Z565" s="197"/>
      <c r="AA565" s="197"/>
      <c r="AB565" s="197"/>
      <c r="AT565" s="232"/>
      <c r="AV565" s="198"/>
      <c r="AW565" s="274"/>
    </row>
    <row r="566" spans="2:49" x14ac:dyDescent="0.25">
      <c r="B566" s="274">
        <v>14</v>
      </c>
      <c r="C566" s="274">
        <v>90</v>
      </c>
      <c r="D566" s="274">
        <v>14</v>
      </c>
      <c r="E566" s="274">
        <v>2.9</v>
      </c>
      <c r="F566" s="274">
        <v>3.6</v>
      </c>
      <c r="G566" s="274">
        <v>30</v>
      </c>
      <c r="H566" s="274">
        <v>1023.7</v>
      </c>
      <c r="I566" s="274">
        <v>5595</v>
      </c>
      <c r="J566" s="274">
        <v>0</v>
      </c>
      <c r="K566" s="274">
        <v>0</v>
      </c>
      <c r="L566" s="274">
        <v>0</v>
      </c>
      <c r="M566" s="274">
        <v>65.3</v>
      </c>
      <c r="N566" s="396">
        <v>599.79999999999995</v>
      </c>
      <c r="O566" s="396">
        <v>13</v>
      </c>
      <c r="P566" s="396">
        <v>22.2</v>
      </c>
      <c r="Q566" s="397">
        <v>0.38680555555555601</v>
      </c>
      <c r="R566" s="396"/>
      <c r="S566" s="410"/>
      <c r="T566" s="409"/>
      <c r="U566" s="398" t="str">
        <f t="shared" si="23"/>
        <v/>
      </c>
      <c r="V566" s="400"/>
      <c r="W566" s="410">
        <f t="shared" si="25"/>
        <v>22.2</v>
      </c>
      <c r="X566" s="472">
        <f t="shared" si="24"/>
        <v>60</v>
      </c>
      <c r="Z566" s="197"/>
      <c r="AA566" s="197"/>
      <c r="AB566" s="197"/>
      <c r="AT566" s="232"/>
      <c r="AV566" s="198"/>
      <c r="AW566" s="274"/>
    </row>
    <row r="567" spans="2:49" x14ac:dyDescent="0.25">
      <c r="B567" s="274">
        <v>14</v>
      </c>
      <c r="C567" s="274">
        <v>90</v>
      </c>
      <c r="D567" s="274">
        <v>14</v>
      </c>
      <c r="E567" s="274">
        <v>5</v>
      </c>
      <c r="F567" s="274">
        <v>5.4</v>
      </c>
      <c r="G567" s="274">
        <v>17</v>
      </c>
      <c r="H567" s="274">
        <v>1023.4</v>
      </c>
      <c r="I567" s="274">
        <v>5704</v>
      </c>
      <c r="J567" s="274">
        <v>0</v>
      </c>
      <c r="K567" s="274">
        <v>0</v>
      </c>
      <c r="L567" s="274">
        <v>0</v>
      </c>
      <c r="M567" s="274">
        <v>65.3</v>
      </c>
      <c r="N567" s="396">
        <v>599.79999999999995</v>
      </c>
      <c r="O567" s="396">
        <v>13.1</v>
      </c>
      <c r="P567" s="396">
        <v>22.3</v>
      </c>
      <c r="Q567" s="397">
        <v>0.38750000000000001</v>
      </c>
      <c r="R567" s="396"/>
      <c r="S567" s="410"/>
      <c r="T567" s="409"/>
      <c r="U567" s="398" t="str">
        <f t="shared" si="23"/>
        <v/>
      </c>
      <c r="V567" s="400"/>
      <c r="W567" s="410">
        <f t="shared" si="25"/>
        <v>22.3</v>
      </c>
      <c r="X567" s="472">
        <f t="shared" si="24"/>
        <v>60</v>
      </c>
      <c r="Z567" s="197"/>
      <c r="AA567" s="197"/>
      <c r="AB567" s="197"/>
      <c r="AT567" s="232"/>
      <c r="AV567" s="198"/>
      <c r="AW567" s="274"/>
    </row>
    <row r="568" spans="2:49" x14ac:dyDescent="0.25">
      <c r="B568" s="274">
        <v>14</v>
      </c>
      <c r="C568" s="274">
        <v>90</v>
      </c>
      <c r="D568" s="274">
        <v>14</v>
      </c>
      <c r="E568" s="274">
        <v>2.2000000000000002</v>
      </c>
      <c r="F568" s="274">
        <v>3.6</v>
      </c>
      <c r="G568" s="274">
        <v>33</v>
      </c>
      <c r="H568" s="274">
        <v>1023.5</v>
      </c>
      <c r="I568" s="274">
        <v>6045</v>
      </c>
      <c r="J568" s="274">
        <v>0</v>
      </c>
      <c r="K568" s="274">
        <v>0</v>
      </c>
      <c r="L568" s="274">
        <v>0</v>
      </c>
      <c r="M568" s="274">
        <v>65.3</v>
      </c>
      <c r="N568" s="396">
        <v>599.79999999999995</v>
      </c>
      <c r="O568" s="396">
        <v>13.2</v>
      </c>
      <c r="P568" s="396">
        <v>22.4</v>
      </c>
      <c r="Q568" s="397">
        <v>0.38819444444444401</v>
      </c>
      <c r="R568" s="396"/>
      <c r="S568" s="410"/>
      <c r="T568" s="409"/>
      <c r="U568" s="398" t="str">
        <f t="shared" si="23"/>
        <v/>
      </c>
      <c r="V568" s="400"/>
      <c r="W568" s="410">
        <f t="shared" si="25"/>
        <v>22.4</v>
      </c>
      <c r="X568" s="472">
        <f t="shared" si="24"/>
        <v>60</v>
      </c>
      <c r="Z568" s="197"/>
      <c r="AA568" s="197"/>
      <c r="AB568" s="197"/>
      <c r="AT568" s="232"/>
      <c r="AV568" s="198"/>
      <c r="AW568" s="274"/>
    </row>
    <row r="569" spans="2:49" x14ac:dyDescent="0.25">
      <c r="B569" s="274">
        <v>14.1</v>
      </c>
      <c r="C569" s="274">
        <v>90</v>
      </c>
      <c r="D569" s="274">
        <v>14.1</v>
      </c>
      <c r="E569" s="274">
        <v>2.2000000000000002</v>
      </c>
      <c r="F569" s="274">
        <v>3.6</v>
      </c>
      <c r="G569" s="274">
        <v>34</v>
      </c>
      <c r="H569" s="274">
        <v>1023.4</v>
      </c>
      <c r="I569" s="274">
        <v>6525</v>
      </c>
      <c r="J569" s="274">
        <v>0</v>
      </c>
      <c r="K569" s="274">
        <v>0</v>
      </c>
      <c r="L569" s="274">
        <v>0</v>
      </c>
      <c r="M569" s="274">
        <v>65.3</v>
      </c>
      <c r="N569" s="396">
        <v>599.79999999999995</v>
      </c>
      <c r="O569" s="396">
        <v>13.2</v>
      </c>
      <c r="P569" s="396">
        <v>22.5</v>
      </c>
      <c r="Q569" s="397">
        <v>0.38888888888888901</v>
      </c>
      <c r="R569" s="396"/>
      <c r="S569" s="410"/>
      <c r="T569" s="409"/>
      <c r="U569" s="398" t="str">
        <f t="shared" si="23"/>
        <v/>
      </c>
      <c r="V569" s="400"/>
      <c r="W569" s="410">
        <f t="shared" si="25"/>
        <v>22.5</v>
      </c>
      <c r="X569" s="472">
        <f t="shared" si="24"/>
        <v>60</v>
      </c>
      <c r="Z569" s="197"/>
      <c r="AA569" s="197"/>
      <c r="AB569" s="197"/>
      <c r="AT569" s="232"/>
      <c r="AV569" s="198"/>
      <c r="AW569" s="274"/>
    </row>
    <row r="570" spans="2:49" x14ac:dyDescent="0.25">
      <c r="B570" s="274">
        <v>14.1</v>
      </c>
      <c r="C570" s="274">
        <v>90</v>
      </c>
      <c r="D570" s="274">
        <v>14.1</v>
      </c>
      <c r="E570" s="274">
        <v>0.7</v>
      </c>
      <c r="F570" s="274">
        <v>1.8</v>
      </c>
      <c r="G570" s="274">
        <v>36</v>
      </c>
      <c r="H570" s="274">
        <v>1023.4</v>
      </c>
      <c r="I570" s="274">
        <v>6479</v>
      </c>
      <c r="J570" s="274">
        <v>0</v>
      </c>
      <c r="K570" s="274">
        <v>0</v>
      </c>
      <c r="L570" s="274">
        <v>0</v>
      </c>
      <c r="M570" s="274">
        <v>65.3</v>
      </c>
      <c r="N570" s="396">
        <v>599.79999999999995</v>
      </c>
      <c r="O570" s="396">
        <v>13.3</v>
      </c>
      <c r="P570" s="396">
        <v>22.6</v>
      </c>
      <c r="Q570" s="397">
        <v>0.389583333333333</v>
      </c>
      <c r="R570" s="396"/>
      <c r="S570" s="410"/>
      <c r="T570" s="409"/>
      <c r="U570" s="398" t="str">
        <f t="shared" si="23"/>
        <v/>
      </c>
      <c r="V570" s="400"/>
      <c r="W570" s="410">
        <f t="shared" si="25"/>
        <v>22.6</v>
      </c>
      <c r="X570" s="472">
        <f t="shared" si="24"/>
        <v>60</v>
      </c>
      <c r="Z570" s="197"/>
      <c r="AA570" s="197"/>
      <c r="AB570" s="197"/>
      <c r="AT570" s="232"/>
      <c r="AV570" s="198"/>
      <c r="AW570" s="274"/>
    </row>
    <row r="571" spans="2:49" x14ac:dyDescent="0.25">
      <c r="B571" s="274">
        <v>14.1</v>
      </c>
      <c r="C571" s="274">
        <v>90</v>
      </c>
      <c r="D571" s="274">
        <v>14.1</v>
      </c>
      <c r="E571" s="274">
        <v>4</v>
      </c>
      <c r="F571" s="274">
        <v>5.4</v>
      </c>
      <c r="G571" s="274">
        <v>37</v>
      </c>
      <c r="H571" s="274">
        <v>1023.5</v>
      </c>
      <c r="I571" s="274">
        <v>8075</v>
      </c>
      <c r="J571" s="274">
        <v>0</v>
      </c>
      <c r="K571" s="274">
        <v>0</v>
      </c>
      <c r="L571" s="274">
        <v>0</v>
      </c>
      <c r="M571" s="274">
        <v>65.3</v>
      </c>
      <c r="N571" s="396">
        <v>599.79999999999995</v>
      </c>
      <c r="O571" s="396">
        <v>13.3</v>
      </c>
      <c r="P571" s="396">
        <v>22.7</v>
      </c>
      <c r="Q571" s="397">
        <v>0.390277777777778</v>
      </c>
      <c r="R571" s="396"/>
      <c r="S571" s="410"/>
      <c r="T571" s="409"/>
      <c r="U571" s="398" t="str">
        <f t="shared" si="23"/>
        <v/>
      </c>
      <c r="V571" s="400"/>
      <c r="W571" s="410">
        <f t="shared" si="25"/>
        <v>22.7</v>
      </c>
      <c r="X571" s="472">
        <f t="shared" si="24"/>
        <v>60</v>
      </c>
      <c r="Z571" s="197"/>
      <c r="AA571" s="197"/>
      <c r="AB571" s="197"/>
      <c r="AT571" s="232"/>
      <c r="AV571" s="198"/>
      <c r="AW571" s="274"/>
    </row>
    <row r="572" spans="2:49" x14ac:dyDescent="0.25">
      <c r="B572" s="274">
        <v>14.2</v>
      </c>
      <c r="C572" s="274">
        <v>89</v>
      </c>
      <c r="D572" s="274">
        <v>14.2</v>
      </c>
      <c r="E572" s="274">
        <v>2.2000000000000002</v>
      </c>
      <c r="F572" s="274">
        <v>3.6</v>
      </c>
      <c r="G572" s="274">
        <v>38</v>
      </c>
      <c r="H572" s="274">
        <v>1023.4</v>
      </c>
      <c r="I572" s="274">
        <v>12694</v>
      </c>
      <c r="J572" s="274">
        <v>0</v>
      </c>
      <c r="K572" s="274">
        <v>0</v>
      </c>
      <c r="L572" s="274">
        <v>0</v>
      </c>
      <c r="M572" s="274">
        <v>65.3</v>
      </c>
      <c r="N572" s="396">
        <v>599.79999999999995</v>
      </c>
      <c r="O572" s="396">
        <v>13.4</v>
      </c>
      <c r="P572" s="396">
        <v>22.9</v>
      </c>
      <c r="Q572" s="397">
        <v>0.390972222222222</v>
      </c>
      <c r="R572" s="396"/>
      <c r="S572" s="410"/>
      <c r="T572" s="409"/>
      <c r="U572" s="398" t="str">
        <f t="shared" si="23"/>
        <v/>
      </c>
      <c r="V572" s="400"/>
      <c r="W572" s="410">
        <f t="shared" si="25"/>
        <v>22.9</v>
      </c>
      <c r="X572" s="472">
        <f t="shared" si="24"/>
        <v>60</v>
      </c>
      <c r="Z572" s="197"/>
      <c r="AA572" s="197"/>
      <c r="AB572" s="197"/>
      <c r="AT572" s="232"/>
      <c r="AV572" s="198"/>
      <c r="AW572" s="274"/>
    </row>
    <row r="573" spans="2:49" x14ac:dyDescent="0.25">
      <c r="B573" s="274">
        <v>14.2</v>
      </c>
      <c r="C573" s="274">
        <v>89</v>
      </c>
      <c r="D573" s="274">
        <v>14.2</v>
      </c>
      <c r="E573" s="274">
        <v>0</v>
      </c>
      <c r="F573" s="274">
        <v>0</v>
      </c>
      <c r="G573" s="274">
        <v>37</v>
      </c>
      <c r="H573" s="274">
        <v>1023.5</v>
      </c>
      <c r="I573" s="274">
        <v>17639</v>
      </c>
      <c r="J573" s="274">
        <v>0</v>
      </c>
      <c r="K573" s="274">
        <v>0</v>
      </c>
      <c r="L573" s="274">
        <v>0</v>
      </c>
      <c r="M573" s="274">
        <v>65.3</v>
      </c>
      <c r="N573" s="396">
        <v>599.79999999999995</v>
      </c>
      <c r="O573" s="396">
        <v>13.5</v>
      </c>
      <c r="P573" s="396">
        <v>23</v>
      </c>
      <c r="Q573" s="397">
        <v>0.391666666666667</v>
      </c>
      <c r="R573" s="396"/>
      <c r="S573" s="410"/>
      <c r="T573" s="409"/>
      <c r="U573" s="398" t="str">
        <f t="shared" si="23"/>
        <v/>
      </c>
      <c r="V573" s="400"/>
      <c r="W573" s="410">
        <f t="shared" si="25"/>
        <v>23</v>
      </c>
      <c r="X573" s="472">
        <f t="shared" si="24"/>
        <v>60</v>
      </c>
      <c r="Z573" s="197"/>
      <c r="AA573" s="197"/>
      <c r="AB573" s="197"/>
      <c r="AT573" s="232"/>
      <c r="AV573" s="198"/>
      <c r="AW573" s="274"/>
    </row>
    <row r="574" spans="2:49" x14ac:dyDescent="0.25">
      <c r="B574" s="274">
        <v>14.3</v>
      </c>
      <c r="C574" s="274">
        <v>89</v>
      </c>
      <c r="D574" s="274">
        <v>14.3</v>
      </c>
      <c r="E574" s="274">
        <v>2.5</v>
      </c>
      <c r="F574" s="274">
        <v>3.6</v>
      </c>
      <c r="G574" s="274">
        <v>38</v>
      </c>
      <c r="H574" s="274">
        <v>1023.6</v>
      </c>
      <c r="I574" s="274">
        <v>18569</v>
      </c>
      <c r="J574" s="274">
        <v>0</v>
      </c>
      <c r="K574" s="274">
        <v>0</v>
      </c>
      <c r="L574" s="274">
        <v>0</v>
      </c>
      <c r="M574" s="274">
        <v>65.3</v>
      </c>
      <c r="N574" s="396">
        <v>599.79999999999995</v>
      </c>
      <c r="O574" s="396">
        <v>13.7</v>
      </c>
      <c r="P574" s="396">
        <v>23.1</v>
      </c>
      <c r="Q574" s="397">
        <v>0.39236111111111099</v>
      </c>
      <c r="R574" s="396"/>
      <c r="S574" s="410"/>
      <c r="T574" s="409"/>
      <c r="U574" s="398" t="str">
        <f t="shared" si="23"/>
        <v/>
      </c>
      <c r="V574" s="400"/>
      <c r="W574" s="410">
        <f t="shared" si="25"/>
        <v>23.1</v>
      </c>
      <c r="X574" s="472">
        <f t="shared" si="24"/>
        <v>60</v>
      </c>
      <c r="Z574" s="197"/>
      <c r="AA574" s="197"/>
      <c r="AB574" s="197"/>
      <c r="AT574" s="232"/>
      <c r="AV574" s="198"/>
      <c r="AW574" s="274"/>
    </row>
    <row r="575" spans="2:49" x14ac:dyDescent="0.25">
      <c r="B575" s="274">
        <v>14.4</v>
      </c>
      <c r="C575" s="274">
        <v>89</v>
      </c>
      <c r="D575" s="274">
        <v>14.4</v>
      </c>
      <c r="E575" s="274">
        <v>1.4</v>
      </c>
      <c r="F575" s="274">
        <v>1.8</v>
      </c>
      <c r="G575" s="274">
        <v>38</v>
      </c>
      <c r="H575" s="274">
        <v>1023.5</v>
      </c>
      <c r="I575" s="274">
        <v>18522</v>
      </c>
      <c r="J575" s="274">
        <v>0</v>
      </c>
      <c r="K575" s="274">
        <v>0</v>
      </c>
      <c r="L575" s="274">
        <v>0</v>
      </c>
      <c r="M575" s="274">
        <v>65.3</v>
      </c>
      <c r="N575" s="396">
        <v>599.79999999999995</v>
      </c>
      <c r="O575" s="396">
        <v>13.8</v>
      </c>
      <c r="P575" s="396">
        <v>23.2</v>
      </c>
      <c r="Q575" s="397">
        <v>0.39305555555555599</v>
      </c>
      <c r="R575" s="396"/>
      <c r="S575" s="410"/>
      <c r="T575" s="409"/>
      <c r="U575" s="398" t="str">
        <f t="shared" si="23"/>
        <v/>
      </c>
      <c r="V575" s="400"/>
      <c r="W575" s="410">
        <f t="shared" si="25"/>
        <v>23.2</v>
      </c>
      <c r="X575" s="472">
        <f t="shared" si="24"/>
        <v>60</v>
      </c>
      <c r="Z575" s="197"/>
      <c r="AA575" s="197"/>
      <c r="AB575" s="197"/>
      <c r="AT575" s="232"/>
      <c r="AV575" s="198"/>
      <c r="AW575" s="274"/>
    </row>
    <row r="576" spans="2:49" x14ac:dyDescent="0.25">
      <c r="B576" s="274">
        <v>14.4</v>
      </c>
      <c r="C576" s="274">
        <v>88</v>
      </c>
      <c r="D576" s="274">
        <v>14.4</v>
      </c>
      <c r="E576" s="274">
        <v>0.4</v>
      </c>
      <c r="F576" s="274">
        <v>1.8</v>
      </c>
      <c r="G576" s="274">
        <v>38</v>
      </c>
      <c r="H576" s="274">
        <v>1023.5</v>
      </c>
      <c r="I576" s="274">
        <v>18460</v>
      </c>
      <c r="J576" s="274">
        <v>0</v>
      </c>
      <c r="K576" s="274">
        <v>0</v>
      </c>
      <c r="L576" s="274">
        <v>0</v>
      </c>
      <c r="M576" s="274">
        <v>65.3</v>
      </c>
      <c r="N576" s="396">
        <v>599.79999999999995</v>
      </c>
      <c r="O576" s="396">
        <v>14.1</v>
      </c>
      <c r="P576" s="396">
        <v>23.3</v>
      </c>
      <c r="Q576" s="397">
        <v>0.39374999999999999</v>
      </c>
      <c r="R576" s="396"/>
      <c r="S576" s="410"/>
      <c r="T576" s="409"/>
      <c r="U576" s="398" t="str">
        <f t="shared" si="23"/>
        <v/>
      </c>
      <c r="V576" s="400"/>
      <c r="W576" s="410">
        <f t="shared" si="25"/>
        <v>23.3</v>
      </c>
      <c r="X576" s="472">
        <f t="shared" si="24"/>
        <v>60</v>
      </c>
      <c r="Z576" s="197"/>
      <c r="AA576" s="197"/>
      <c r="AB576" s="197"/>
      <c r="AT576" s="232"/>
      <c r="AV576" s="198"/>
      <c r="AW576" s="274"/>
    </row>
    <row r="577" spans="2:49" x14ac:dyDescent="0.25">
      <c r="B577" s="274">
        <v>14.6</v>
      </c>
      <c r="C577" s="274">
        <v>88</v>
      </c>
      <c r="D577" s="274">
        <v>14.6</v>
      </c>
      <c r="E577" s="274">
        <v>2.9</v>
      </c>
      <c r="F577" s="274">
        <v>5.4</v>
      </c>
      <c r="G577" s="274">
        <v>5</v>
      </c>
      <c r="H577" s="274">
        <v>1023.7</v>
      </c>
      <c r="I577" s="274">
        <v>18569</v>
      </c>
      <c r="J577" s="274">
        <v>0</v>
      </c>
      <c r="K577" s="274">
        <v>0</v>
      </c>
      <c r="L577" s="274">
        <v>0</v>
      </c>
      <c r="M577" s="274">
        <v>65.3</v>
      </c>
      <c r="N577" s="396">
        <v>599.79999999999995</v>
      </c>
      <c r="O577" s="396">
        <v>14.1</v>
      </c>
      <c r="P577" s="396">
        <v>23.5</v>
      </c>
      <c r="Q577" s="397">
        <v>0.39444444444444399</v>
      </c>
      <c r="R577" s="396"/>
      <c r="S577" s="410"/>
      <c r="T577" s="409"/>
      <c r="U577" s="398" t="str">
        <f t="shared" si="23"/>
        <v/>
      </c>
      <c r="V577" s="400"/>
      <c r="W577" s="410">
        <f t="shared" si="25"/>
        <v>23.5</v>
      </c>
      <c r="X577" s="472">
        <f t="shared" si="24"/>
        <v>60</v>
      </c>
      <c r="Z577" s="197"/>
      <c r="AA577" s="197"/>
      <c r="AB577" s="197"/>
      <c r="AT577" s="232"/>
      <c r="AV577" s="198"/>
      <c r="AW577" s="274"/>
    </row>
    <row r="578" spans="2:49" x14ac:dyDescent="0.25">
      <c r="B578" s="274">
        <v>14.7</v>
      </c>
      <c r="C578" s="274">
        <v>87</v>
      </c>
      <c r="D578" s="274">
        <v>14.7</v>
      </c>
      <c r="E578" s="274">
        <v>2.5</v>
      </c>
      <c r="F578" s="274">
        <v>3.6</v>
      </c>
      <c r="G578" s="274">
        <v>39</v>
      </c>
      <c r="H578" s="274">
        <v>1023.6</v>
      </c>
      <c r="I578" s="274">
        <v>18631</v>
      </c>
      <c r="J578" s="274">
        <v>0</v>
      </c>
      <c r="K578" s="274">
        <v>0</v>
      </c>
      <c r="L578" s="274">
        <v>0</v>
      </c>
      <c r="M578" s="274">
        <v>65.3</v>
      </c>
      <c r="N578" s="396">
        <v>599.79999999999995</v>
      </c>
      <c r="O578" s="396">
        <v>14.5</v>
      </c>
      <c r="P578" s="396">
        <v>23.6</v>
      </c>
      <c r="Q578" s="397">
        <v>0.39513888888888898</v>
      </c>
      <c r="R578" s="396"/>
      <c r="S578" s="410"/>
      <c r="T578" s="409"/>
      <c r="U578" s="398" t="str">
        <f t="shared" si="23"/>
        <v/>
      </c>
      <c r="V578" s="400"/>
      <c r="W578" s="410">
        <f t="shared" si="25"/>
        <v>23.6</v>
      </c>
      <c r="X578" s="472">
        <f t="shared" si="24"/>
        <v>60</v>
      </c>
      <c r="Z578" s="197"/>
      <c r="AA578" s="197"/>
      <c r="AB578" s="197"/>
      <c r="AT578" s="232"/>
      <c r="AV578" s="198"/>
      <c r="AW578" s="274"/>
    </row>
    <row r="579" spans="2:49" x14ac:dyDescent="0.25">
      <c r="B579" s="274">
        <v>14.8</v>
      </c>
      <c r="C579" s="274">
        <v>87</v>
      </c>
      <c r="D579" s="274">
        <v>14.8</v>
      </c>
      <c r="E579" s="274">
        <v>0.4</v>
      </c>
      <c r="F579" s="274">
        <v>1.8</v>
      </c>
      <c r="G579" s="274">
        <v>44</v>
      </c>
      <c r="H579" s="274">
        <v>1023.6</v>
      </c>
      <c r="I579" s="274">
        <v>18739</v>
      </c>
      <c r="J579" s="274">
        <v>0</v>
      </c>
      <c r="K579" s="274">
        <v>0</v>
      </c>
      <c r="L579" s="274">
        <v>0</v>
      </c>
      <c r="M579" s="274">
        <v>65.3</v>
      </c>
      <c r="N579" s="396">
        <v>599.79999999999995</v>
      </c>
      <c r="O579" s="396">
        <v>15</v>
      </c>
      <c r="P579" s="396">
        <v>23.6</v>
      </c>
      <c r="Q579" s="397">
        <v>0.39583333333333298</v>
      </c>
      <c r="R579" s="396"/>
      <c r="S579" s="410"/>
      <c r="T579" s="409"/>
      <c r="U579" s="398" t="str">
        <f t="shared" si="23"/>
        <v/>
      </c>
      <c r="V579" s="400"/>
      <c r="W579" s="410">
        <f t="shared" si="25"/>
        <v>23.6</v>
      </c>
      <c r="X579" s="472">
        <f t="shared" si="24"/>
        <v>60</v>
      </c>
      <c r="Z579" s="197"/>
      <c r="AA579" s="197"/>
      <c r="AB579" s="197"/>
      <c r="AT579" s="232"/>
      <c r="AV579" s="198"/>
      <c r="AW579" s="274"/>
    </row>
    <row r="580" spans="2:49" x14ac:dyDescent="0.25">
      <c r="B580" s="274">
        <v>14.9</v>
      </c>
      <c r="C580" s="274">
        <v>86</v>
      </c>
      <c r="D580" s="274">
        <v>14.9</v>
      </c>
      <c r="E580" s="274">
        <v>2.2000000000000002</v>
      </c>
      <c r="F580" s="274">
        <v>3.6</v>
      </c>
      <c r="G580" s="274">
        <v>39</v>
      </c>
      <c r="H580" s="274">
        <v>1023.4</v>
      </c>
      <c r="I580" s="274">
        <v>18786</v>
      </c>
      <c r="J580" s="274">
        <v>0</v>
      </c>
      <c r="K580" s="274">
        <v>0</v>
      </c>
      <c r="L580" s="274">
        <v>0</v>
      </c>
      <c r="M580" s="274">
        <v>65.3</v>
      </c>
      <c r="N580" s="396">
        <v>599.79999999999995</v>
      </c>
      <c r="O580" s="396">
        <v>15.4</v>
      </c>
      <c r="P580" s="396">
        <v>23.8</v>
      </c>
      <c r="Q580" s="397">
        <v>0.39652777777777798</v>
      </c>
      <c r="R580" s="396"/>
      <c r="S580" s="410"/>
      <c r="T580" s="409"/>
      <c r="U580" s="398" t="str">
        <f t="shared" si="23"/>
        <v/>
      </c>
      <c r="V580" s="400"/>
      <c r="W580" s="410">
        <f t="shared" si="25"/>
        <v>23.8</v>
      </c>
      <c r="X580" s="472">
        <f t="shared" si="24"/>
        <v>60</v>
      </c>
      <c r="Z580" s="197"/>
      <c r="AA580" s="197"/>
      <c r="AB580" s="197"/>
      <c r="AT580" s="232"/>
      <c r="AV580" s="198"/>
      <c r="AW580" s="274"/>
    </row>
    <row r="581" spans="2:49" x14ac:dyDescent="0.25">
      <c r="B581" s="274">
        <v>15.1</v>
      </c>
      <c r="C581" s="274">
        <v>86</v>
      </c>
      <c r="D581" s="274">
        <v>15.1</v>
      </c>
      <c r="E581" s="274">
        <v>1.1000000000000001</v>
      </c>
      <c r="F581" s="274">
        <v>1.8</v>
      </c>
      <c r="G581" s="274">
        <v>44</v>
      </c>
      <c r="H581" s="274">
        <v>1023.4</v>
      </c>
      <c r="I581" s="274">
        <v>18786</v>
      </c>
      <c r="J581" s="274">
        <v>0</v>
      </c>
      <c r="K581" s="274">
        <v>0</v>
      </c>
      <c r="L581" s="274">
        <v>0</v>
      </c>
      <c r="M581" s="274">
        <v>65.3</v>
      </c>
      <c r="N581" s="396">
        <v>599.79999999999995</v>
      </c>
      <c r="O581" s="396">
        <v>15.9</v>
      </c>
      <c r="P581" s="396">
        <v>23.9</v>
      </c>
      <c r="Q581" s="397">
        <v>0.39722222222222198</v>
      </c>
      <c r="R581" s="396"/>
      <c r="S581" s="410"/>
      <c r="T581" s="409"/>
      <c r="U581" s="398" t="str">
        <f t="shared" si="23"/>
        <v/>
      </c>
      <c r="V581" s="400"/>
      <c r="W581" s="410">
        <f t="shared" si="25"/>
        <v>23.9</v>
      </c>
      <c r="X581" s="472">
        <f t="shared" si="24"/>
        <v>60</v>
      </c>
      <c r="Z581" s="197"/>
      <c r="AA581" s="197"/>
      <c r="AB581" s="197"/>
      <c r="AT581" s="232"/>
      <c r="AV581" s="198"/>
      <c r="AW581" s="274"/>
    </row>
    <row r="582" spans="2:49" x14ac:dyDescent="0.25">
      <c r="B582" s="274">
        <v>15.2</v>
      </c>
      <c r="C582" s="274">
        <v>84</v>
      </c>
      <c r="D582" s="274">
        <v>15.2</v>
      </c>
      <c r="E582" s="274">
        <v>4.7</v>
      </c>
      <c r="F582" s="274">
        <v>5.4</v>
      </c>
      <c r="G582" s="274">
        <v>38</v>
      </c>
      <c r="H582" s="274">
        <v>1023.5</v>
      </c>
      <c r="I582" s="274">
        <v>19173</v>
      </c>
      <c r="J582" s="274">
        <v>0</v>
      </c>
      <c r="K582" s="274">
        <v>0</v>
      </c>
      <c r="L582" s="274">
        <v>0</v>
      </c>
      <c r="M582" s="274">
        <v>65.3</v>
      </c>
      <c r="N582" s="396">
        <v>599.79999999999995</v>
      </c>
      <c r="O582" s="396">
        <v>16.399999999999999</v>
      </c>
      <c r="P582" s="396">
        <v>24</v>
      </c>
      <c r="Q582" s="397">
        <v>0.39791666666666697</v>
      </c>
      <c r="R582" s="396"/>
      <c r="S582" s="410"/>
      <c r="T582" s="409"/>
      <c r="U582" s="398" t="str">
        <f t="shared" si="23"/>
        <v/>
      </c>
      <c r="V582" s="400"/>
      <c r="W582" s="410">
        <f t="shared" si="25"/>
        <v>24</v>
      </c>
      <c r="X582" s="472">
        <f t="shared" si="24"/>
        <v>60</v>
      </c>
      <c r="Z582" s="197"/>
      <c r="AA582" s="197"/>
      <c r="AB582" s="197"/>
      <c r="AT582" s="232"/>
      <c r="AV582" s="198"/>
      <c r="AW582" s="274"/>
    </row>
    <row r="583" spans="2:49" x14ac:dyDescent="0.25">
      <c r="B583" s="274">
        <v>15.2</v>
      </c>
      <c r="C583" s="274">
        <v>85</v>
      </c>
      <c r="D583" s="274">
        <v>15.2</v>
      </c>
      <c r="E583" s="274">
        <v>2.9</v>
      </c>
      <c r="F583" s="274">
        <v>3.6</v>
      </c>
      <c r="G583" s="274">
        <v>37</v>
      </c>
      <c r="H583" s="274">
        <v>1023.7</v>
      </c>
      <c r="I583" s="274">
        <v>19235</v>
      </c>
      <c r="J583" s="274">
        <v>0</v>
      </c>
      <c r="K583" s="274">
        <v>0</v>
      </c>
      <c r="L583" s="274">
        <v>0</v>
      </c>
      <c r="M583" s="274">
        <v>65.3</v>
      </c>
      <c r="N583" s="396">
        <v>599.79999999999995</v>
      </c>
      <c r="O583" s="396">
        <v>16.899999999999999</v>
      </c>
      <c r="P583" s="396">
        <v>24.1</v>
      </c>
      <c r="Q583" s="397">
        <v>0.39861111111111103</v>
      </c>
      <c r="R583" s="396"/>
      <c r="S583" s="410"/>
      <c r="T583" s="409"/>
      <c r="U583" s="398" t="str">
        <f t="shared" si="23"/>
        <v/>
      </c>
      <c r="V583" s="400"/>
      <c r="W583" s="410">
        <f t="shared" si="25"/>
        <v>24.1</v>
      </c>
      <c r="X583" s="472">
        <f t="shared" si="24"/>
        <v>60</v>
      </c>
      <c r="Z583" s="197"/>
      <c r="AA583" s="197"/>
      <c r="AB583" s="197"/>
      <c r="AT583" s="232"/>
      <c r="AV583" s="198"/>
      <c r="AW583" s="274"/>
    </row>
    <row r="584" spans="2:49" x14ac:dyDescent="0.25">
      <c r="B584" s="274">
        <v>15.1</v>
      </c>
      <c r="C584" s="274">
        <v>85</v>
      </c>
      <c r="D584" s="274">
        <v>15.1</v>
      </c>
      <c r="E584" s="274">
        <v>2.5</v>
      </c>
      <c r="F584" s="274">
        <v>3.6</v>
      </c>
      <c r="G584" s="274">
        <v>45</v>
      </c>
      <c r="H584" s="274">
        <v>1023.3</v>
      </c>
      <c r="I584" s="274">
        <v>19065</v>
      </c>
      <c r="J584" s="274">
        <v>0</v>
      </c>
      <c r="K584" s="274">
        <v>0</v>
      </c>
      <c r="L584" s="274">
        <v>0</v>
      </c>
      <c r="M584" s="274">
        <v>65.3</v>
      </c>
      <c r="N584" s="396">
        <v>599.79999999999995</v>
      </c>
      <c r="O584" s="396">
        <v>17.3</v>
      </c>
      <c r="P584" s="396">
        <v>24.2</v>
      </c>
      <c r="Q584" s="397">
        <v>0.39930555555555602</v>
      </c>
      <c r="R584" s="396"/>
      <c r="S584" s="410"/>
      <c r="T584" s="409"/>
      <c r="U584" s="398" t="str">
        <f t="shared" si="23"/>
        <v/>
      </c>
      <c r="V584" s="400"/>
      <c r="W584" s="410">
        <f t="shared" si="25"/>
        <v>24.2</v>
      </c>
      <c r="X584" s="472">
        <f t="shared" si="24"/>
        <v>60</v>
      </c>
      <c r="Z584" s="197"/>
      <c r="AA584" s="197"/>
      <c r="AB584" s="197"/>
      <c r="AT584" s="232"/>
      <c r="AV584" s="198"/>
      <c r="AW584" s="274"/>
    </row>
    <row r="585" spans="2:49" x14ac:dyDescent="0.25">
      <c r="B585" s="274">
        <v>15.1</v>
      </c>
      <c r="C585" s="274">
        <v>85</v>
      </c>
      <c r="D585" s="274">
        <v>15.1</v>
      </c>
      <c r="E585" s="274">
        <v>0.4</v>
      </c>
      <c r="F585" s="274">
        <v>1.8</v>
      </c>
      <c r="G585" s="274">
        <v>45</v>
      </c>
      <c r="H585" s="274">
        <v>1023.5</v>
      </c>
      <c r="I585" s="274">
        <v>19235</v>
      </c>
      <c r="J585" s="274">
        <v>0</v>
      </c>
      <c r="K585" s="274">
        <v>0</v>
      </c>
      <c r="L585" s="274">
        <v>0</v>
      </c>
      <c r="M585" s="274">
        <v>65.3</v>
      </c>
      <c r="N585" s="396">
        <v>599.79999999999995</v>
      </c>
      <c r="O585" s="396">
        <v>17.7</v>
      </c>
      <c r="P585" s="396">
        <v>24.2</v>
      </c>
      <c r="Q585" s="397">
        <v>0.4</v>
      </c>
      <c r="R585" s="396"/>
      <c r="S585" s="410"/>
      <c r="T585" s="409"/>
      <c r="U585" s="398" t="str">
        <f t="shared" si="23"/>
        <v/>
      </c>
      <c r="V585" s="400"/>
      <c r="W585" s="410">
        <f t="shared" si="25"/>
        <v>24.2</v>
      </c>
      <c r="X585" s="472">
        <f t="shared" si="24"/>
        <v>60</v>
      </c>
      <c r="Z585" s="197"/>
      <c r="AA585" s="197"/>
      <c r="AB585" s="197"/>
      <c r="AT585" s="232"/>
      <c r="AV585" s="198"/>
      <c r="AW585" s="274"/>
    </row>
    <row r="586" spans="2:49" x14ac:dyDescent="0.25">
      <c r="B586" s="274">
        <v>15.2</v>
      </c>
      <c r="C586" s="274">
        <v>84</v>
      </c>
      <c r="D586" s="274">
        <v>15.2</v>
      </c>
      <c r="E586" s="274">
        <v>1.4</v>
      </c>
      <c r="F586" s="274">
        <v>1.8</v>
      </c>
      <c r="G586" s="274">
        <v>45</v>
      </c>
      <c r="H586" s="274">
        <v>1023.4</v>
      </c>
      <c r="I586" s="274">
        <v>19282</v>
      </c>
      <c r="J586" s="274">
        <v>0</v>
      </c>
      <c r="K586" s="274">
        <v>0</v>
      </c>
      <c r="L586" s="274">
        <v>0</v>
      </c>
      <c r="M586" s="274">
        <v>65.3</v>
      </c>
      <c r="N586" s="396">
        <v>599.79999999999995</v>
      </c>
      <c r="O586" s="396">
        <v>18</v>
      </c>
      <c r="P586" s="396">
        <v>24.3</v>
      </c>
      <c r="Q586" s="397">
        <v>0.40069444444444402</v>
      </c>
      <c r="R586" s="396"/>
      <c r="S586" s="410"/>
      <c r="T586" s="409"/>
      <c r="U586" s="398" t="str">
        <f t="shared" si="23"/>
        <v/>
      </c>
      <c r="V586" s="400"/>
      <c r="W586" s="410">
        <f t="shared" si="25"/>
        <v>24.3</v>
      </c>
      <c r="X586" s="472">
        <f t="shared" si="24"/>
        <v>60</v>
      </c>
      <c r="Z586" s="197"/>
      <c r="AA586" s="197"/>
      <c r="AB586" s="197"/>
      <c r="AT586" s="232"/>
      <c r="AV586" s="198"/>
      <c r="AW586" s="274"/>
    </row>
    <row r="587" spans="2:49" x14ac:dyDescent="0.25">
      <c r="B587" s="274">
        <v>15.3</v>
      </c>
      <c r="C587" s="274">
        <v>84</v>
      </c>
      <c r="D587" s="274">
        <v>15.3</v>
      </c>
      <c r="E587" s="274">
        <v>1.8</v>
      </c>
      <c r="F587" s="274">
        <v>1.8</v>
      </c>
      <c r="G587" s="274">
        <v>38</v>
      </c>
      <c r="H587" s="274">
        <v>1023.5</v>
      </c>
      <c r="I587" s="274">
        <v>19127</v>
      </c>
      <c r="J587" s="274">
        <v>0</v>
      </c>
      <c r="K587" s="274">
        <v>0</v>
      </c>
      <c r="L587" s="274">
        <v>0</v>
      </c>
      <c r="M587" s="274">
        <v>65.3</v>
      </c>
      <c r="N587" s="396">
        <v>599.79999999999995</v>
      </c>
      <c r="O587" s="396">
        <v>18.399999999999999</v>
      </c>
      <c r="P587" s="396">
        <v>24.4</v>
      </c>
      <c r="Q587" s="397">
        <v>0.40138888888888902</v>
      </c>
      <c r="R587" s="396"/>
      <c r="S587" s="410"/>
      <c r="T587" s="409"/>
      <c r="U587" s="398" t="str">
        <f t="shared" ref="U587:U650" si="26">IF(J587&gt;0,60,"")</f>
        <v/>
      </c>
      <c r="V587" s="400"/>
      <c r="W587" s="410">
        <f t="shared" si="25"/>
        <v>24.4</v>
      </c>
      <c r="X587" s="472">
        <f t="shared" si="24"/>
        <v>60</v>
      </c>
      <c r="Z587" s="197"/>
      <c r="AA587" s="197"/>
      <c r="AB587" s="197"/>
      <c r="AT587" s="232"/>
      <c r="AV587" s="198"/>
      <c r="AW587" s="274"/>
    </row>
    <row r="588" spans="2:49" x14ac:dyDescent="0.25">
      <c r="B588" s="274">
        <v>15.4</v>
      </c>
      <c r="C588" s="274">
        <v>84</v>
      </c>
      <c r="D588" s="274">
        <v>15.4</v>
      </c>
      <c r="E588" s="274">
        <v>2.9</v>
      </c>
      <c r="F588" s="274">
        <v>3.6</v>
      </c>
      <c r="G588" s="274">
        <v>6</v>
      </c>
      <c r="H588" s="274">
        <v>1023.6</v>
      </c>
      <c r="I588" s="274">
        <v>19127</v>
      </c>
      <c r="J588" s="274">
        <v>0</v>
      </c>
      <c r="K588" s="274">
        <v>0</v>
      </c>
      <c r="L588" s="274">
        <v>0</v>
      </c>
      <c r="M588" s="274">
        <v>65.3</v>
      </c>
      <c r="N588" s="396">
        <v>599.79999999999995</v>
      </c>
      <c r="O588" s="396">
        <v>18.8</v>
      </c>
      <c r="P588" s="396">
        <v>24.5</v>
      </c>
      <c r="Q588" s="397">
        <v>0.40208333333333302</v>
      </c>
      <c r="R588" s="396"/>
      <c r="S588" s="410"/>
      <c r="T588" s="409"/>
      <c r="U588" s="398" t="str">
        <f t="shared" si="26"/>
        <v/>
      </c>
      <c r="V588" s="400"/>
      <c r="W588" s="410">
        <f t="shared" si="25"/>
        <v>24.5</v>
      </c>
      <c r="X588" s="472">
        <f t="shared" si="24"/>
        <v>60</v>
      </c>
      <c r="Z588" s="197"/>
      <c r="AA588" s="197"/>
      <c r="AB588" s="197"/>
      <c r="AT588" s="232"/>
      <c r="AV588" s="198"/>
      <c r="AW588" s="274"/>
    </row>
    <row r="589" spans="2:49" x14ac:dyDescent="0.25">
      <c r="B589" s="274">
        <v>15.4</v>
      </c>
      <c r="C589" s="274">
        <v>83</v>
      </c>
      <c r="D589" s="274">
        <v>15.4</v>
      </c>
      <c r="E589" s="274">
        <v>1.8</v>
      </c>
      <c r="F589" s="274">
        <v>3.6</v>
      </c>
      <c r="G589" s="274">
        <v>50</v>
      </c>
      <c r="H589" s="274">
        <v>1023.5</v>
      </c>
      <c r="I589" s="274">
        <v>19235</v>
      </c>
      <c r="J589" s="274">
        <v>0</v>
      </c>
      <c r="K589" s="274">
        <v>0</v>
      </c>
      <c r="L589" s="274">
        <v>0</v>
      </c>
      <c r="M589" s="274">
        <v>65.3</v>
      </c>
      <c r="N589" s="396">
        <v>599.79999999999995</v>
      </c>
      <c r="O589" s="396">
        <v>19.3</v>
      </c>
      <c r="P589" s="396">
        <v>24.6</v>
      </c>
      <c r="Q589" s="397">
        <v>0.40277777777777801</v>
      </c>
      <c r="R589" s="396"/>
      <c r="S589" s="410"/>
      <c r="T589" s="409"/>
      <c r="U589" s="398" t="str">
        <f t="shared" si="26"/>
        <v/>
      </c>
      <c r="V589" s="400"/>
      <c r="W589" s="410">
        <f t="shared" si="25"/>
        <v>24.6</v>
      </c>
      <c r="X589" s="472">
        <f t="shared" si="24"/>
        <v>60</v>
      </c>
      <c r="Z589" s="197"/>
      <c r="AA589" s="197"/>
      <c r="AB589" s="197"/>
      <c r="AT589" s="232"/>
      <c r="AV589" s="198"/>
      <c r="AW589" s="274"/>
    </row>
    <row r="590" spans="2:49" x14ac:dyDescent="0.25">
      <c r="B590" s="274">
        <v>15.6</v>
      </c>
      <c r="C590" s="274">
        <v>83</v>
      </c>
      <c r="D590" s="274">
        <v>15.6</v>
      </c>
      <c r="E590" s="274">
        <v>3.2</v>
      </c>
      <c r="F590" s="274">
        <v>3.6</v>
      </c>
      <c r="G590" s="274">
        <v>60</v>
      </c>
      <c r="H590" s="274">
        <v>1023.5</v>
      </c>
      <c r="I590" s="274">
        <v>19344</v>
      </c>
      <c r="J590" s="274">
        <v>0</v>
      </c>
      <c r="K590" s="274">
        <v>0</v>
      </c>
      <c r="L590" s="274">
        <v>0</v>
      </c>
      <c r="M590" s="274">
        <v>65.3</v>
      </c>
      <c r="N590" s="396">
        <v>599.79999999999995</v>
      </c>
      <c r="O590" s="396">
        <v>19.600000000000001</v>
      </c>
      <c r="P590" s="396">
        <v>24.8</v>
      </c>
      <c r="Q590" s="397">
        <v>0.40347222222222201</v>
      </c>
      <c r="R590" s="396"/>
      <c r="S590" s="410"/>
      <c r="T590" s="409"/>
      <c r="U590" s="398" t="str">
        <f t="shared" si="26"/>
        <v/>
      </c>
      <c r="V590" s="400"/>
      <c r="W590" s="410">
        <f t="shared" si="25"/>
        <v>24.8</v>
      </c>
      <c r="X590" s="472">
        <f t="shared" si="24"/>
        <v>60</v>
      </c>
      <c r="Z590" s="197"/>
      <c r="AA590" s="197"/>
      <c r="AB590" s="197"/>
      <c r="AT590" s="232"/>
      <c r="AV590" s="198"/>
      <c r="AW590" s="274"/>
    </row>
    <row r="591" spans="2:49" x14ac:dyDescent="0.25">
      <c r="B591" s="274">
        <v>15.7</v>
      </c>
      <c r="C591" s="274">
        <v>82</v>
      </c>
      <c r="D591" s="274">
        <v>15.7</v>
      </c>
      <c r="E591" s="274">
        <v>4</v>
      </c>
      <c r="F591" s="274">
        <v>5.4</v>
      </c>
      <c r="G591" s="274">
        <v>87</v>
      </c>
      <c r="H591" s="274">
        <v>1023.5</v>
      </c>
      <c r="I591" s="274">
        <v>19344</v>
      </c>
      <c r="J591" s="274">
        <v>0</v>
      </c>
      <c r="K591" s="274">
        <v>0</v>
      </c>
      <c r="L591" s="274">
        <v>0</v>
      </c>
      <c r="M591" s="274">
        <v>65.3</v>
      </c>
      <c r="N591" s="396">
        <v>599.79999999999995</v>
      </c>
      <c r="O591" s="396">
        <v>20</v>
      </c>
      <c r="P591" s="396">
        <v>24.9</v>
      </c>
      <c r="Q591" s="397">
        <v>0.40416666666666701</v>
      </c>
      <c r="R591" s="396"/>
      <c r="S591" s="410"/>
      <c r="T591" s="409"/>
      <c r="U591" s="398" t="str">
        <f t="shared" si="26"/>
        <v/>
      </c>
      <c r="V591" s="400"/>
      <c r="W591" s="410">
        <f t="shared" si="25"/>
        <v>24.9</v>
      </c>
      <c r="X591" s="472">
        <f t="shared" si="24"/>
        <v>60</v>
      </c>
      <c r="Z591" s="197"/>
      <c r="AA591" s="197"/>
      <c r="AB591" s="197"/>
      <c r="AT591" s="232"/>
      <c r="AV591" s="198"/>
      <c r="AW591" s="274"/>
    </row>
    <row r="592" spans="2:49" x14ac:dyDescent="0.25">
      <c r="B592" s="274">
        <v>15.9</v>
      </c>
      <c r="C592" s="274">
        <v>82</v>
      </c>
      <c r="D592" s="274">
        <v>15.9</v>
      </c>
      <c r="E592" s="274">
        <v>1.1000000000000001</v>
      </c>
      <c r="F592" s="274">
        <v>3.6</v>
      </c>
      <c r="G592" s="274">
        <v>69</v>
      </c>
      <c r="H592" s="274">
        <v>1023.6</v>
      </c>
      <c r="I592" s="274">
        <v>19282</v>
      </c>
      <c r="J592" s="274">
        <v>0</v>
      </c>
      <c r="K592" s="274">
        <v>0</v>
      </c>
      <c r="L592" s="274">
        <v>0</v>
      </c>
      <c r="M592" s="274">
        <v>65.3</v>
      </c>
      <c r="N592" s="396">
        <v>599.79999999999995</v>
      </c>
      <c r="O592" s="396">
        <v>20.399999999999999</v>
      </c>
      <c r="P592" s="396">
        <v>25.1</v>
      </c>
      <c r="Q592" s="397">
        <v>0.40486111111111101</v>
      </c>
      <c r="R592" s="396"/>
      <c r="S592" s="410"/>
      <c r="T592" s="409"/>
      <c r="U592" s="398" t="str">
        <f t="shared" si="26"/>
        <v/>
      </c>
      <c r="V592" s="400"/>
      <c r="W592" s="410">
        <f t="shared" si="25"/>
        <v>25.1</v>
      </c>
      <c r="X592" s="472">
        <f t="shared" si="24"/>
        <v>60</v>
      </c>
      <c r="Z592" s="197"/>
      <c r="AA592" s="197"/>
      <c r="AB592" s="197"/>
      <c r="AT592" s="232"/>
      <c r="AV592" s="198"/>
      <c r="AW592" s="274"/>
    </row>
    <row r="593" spans="2:49" x14ac:dyDescent="0.25">
      <c r="B593" s="274">
        <v>15.9</v>
      </c>
      <c r="C593" s="274">
        <v>81</v>
      </c>
      <c r="D593" s="274">
        <v>15.9</v>
      </c>
      <c r="E593" s="274">
        <v>2.2000000000000002</v>
      </c>
      <c r="F593" s="274">
        <v>3.6</v>
      </c>
      <c r="G593" s="274">
        <v>30</v>
      </c>
      <c r="H593" s="274">
        <v>1023.6</v>
      </c>
      <c r="I593" s="274">
        <v>19065</v>
      </c>
      <c r="J593" s="274">
        <v>0</v>
      </c>
      <c r="K593" s="274">
        <v>0</v>
      </c>
      <c r="L593" s="274">
        <v>0</v>
      </c>
      <c r="M593" s="274">
        <v>65.3</v>
      </c>
      <c r="N593" s="396">
        <v>599.79999999999995</v>
      </c>
      <c r="O593" s="396">
        <v>20.8</v>
      </c>
      <c r="P593" s="396">
        <v>25.3</v>
      </c>
      <c r="Q593" s="397">
        <v>0.405555555555556</v>
      </c>
      <c r="R593" s="396"/>
      <c r="S593" s="410"/>
      <c r="T593" s="409"/>
      <c r="U593" s="398" t="str">
        <f t="shared" si="26"/>
        <v/>
      </c>
      <c r="V593" s="400"/>
      <c r="W593" s="410">
        <f t="shared" si="25"/>
        <v>25.3</v>
      </c>
      <c r="X593" s="472">
        <f t="shared" ref="X593:X656" si="27">IF(W593&gt;B593+3,60,"")</f>
        <v>60</v>
      </c>
      <c r="Z593" s="197"/>
      <c r="AA593" s="197"/>
      <c r="AB593" s="197"/>
      <c r="AT593" s="232"/>
      <c r="AV593" s="198"/>
      <c r="AW593" s="274"/>
    </row>
    <row r="594" spans="2:49" x14ac:dyDescent="0.25">
      <c r="B594" s="274">
        <v>15.9</v>
      </c>
      <c r="C594" s="274">
        <v>82</v>
      </c>
      <c r="D594" s="274">
        <v>15.9</v>
      </c>
      <c r="E594" s="274">
        <v>4.7</v>
      </c>
      <c r="F594" s="274">
        <v>7.2</v>
      </c>
      <c r="G594" s="274">
        <v>61</v>
      </c>
      <c r="H594" s="274">
        <v>1023.5</v>
      </c>
      <c r="I594" s="274">
        <v>18956</v>
      </c>
      <c r="J594" s="274">
        <v>0</v>
      </c>
      <c r="K594" s="274">
        <v>0</v>
      </c>
      <c r="L594" s="274">
        <v>0</v>
      </c>
      <c r="M594" s="274">
        <v>65.3</v>
      </c>
      <c r="N594" s="396">
        <v>599.79999999999995</v>
      </c>
      <c r="O594" s="396">
        <v>21.1</v>
      </c>
      <c r="P594" s="396">
        <v>25.5</v>
      </c>
      <c r="Q594" s="397">
        <v>0.40625</v>
      </c>
      <c r="R594" s="396"/>
      <c r="S594" s="410"/>
      <c r="T594" s="409"/>
      <c r="U594" s="398" t="str">
        <f t="shared" si="26"/>
        <v/>
      </c>
      <c r="V594" s="400"/>
      <c r="W594" s="410">
        <f t="shared" si="25"/>
        <v>25.5</v>
      </c>
      <c r="X594" s="472">
        <f t="shared" si="27"/>
        <v>60</v>
      </c>
      <c r="Z594" s="197"/>
      <c r="AA594" s="197"/>
      <c r="AB594" s="197"/>
      <c r="AT594" s="232"/>
      <c r="AV594" s="198"/>
      <c r="AW594" s="274"/>
    </row>
    <row r="595" spans="2:49" x14ac:dyDescent="0.25">
      <c r="B595" s="274">
        <v>15.7</v>
      </c>
      <c r="C595" s="274">
        <v>83</v>
      </c>
      <c r="D595" s="274">
        <v>15.7</v>
      </c>
      <c r="E595" s="274">
        <v>2.9</v>
      </c>
      <c r="F595" s="274">
        <v>5.4</v>
      </c>
      <c r="G595" s="274">
        <v>39</v>
      </c>
      <c r="H595" s="274">
        <v>1023.4</v>
      </c>
      <c r="I595" s="274">
        <v>18786</v>
      </c>
      <c r="J595" s="274">
        <v>0</v>
      </c>
      <c r="K595" s="274">
        <v>0</v>
      </c>
      <c r="L595" s="274">
        <v>0</v>
      </c>
      <c r="M595" s="274">
        <v>65.3</v>
      </c>
      <c r="N595" s="396">
        <v>599.79999999999995</v>
      </c>
      <c r="O595" s="396">
        <v>21.4</v>
      </c>
      <c r="P595" s="396">
        <v>25.5</v>
      </c>
      <c r="Q595" s="397">
        <v>0.406944444444444</v>
      </c>
      <c r="R595" s="396"/>
      <c r="S595" s="410"/>
      <c r="T595" s="409"/>
      <c r="U595" s="398" t="str">
        <f t="shared" si="26"/>
        <v/>
      </c>
      <c r="V595" s="400"/>
      <c r="W595" s="410">
        <f t="shared" si="25"/>
        <v>25.5</v>
      </c>
      <c r="X595" s="472">
        <f t="shared" si="27"/>
        <v>60</v>
      </c>
      <c r="Z595" s="197"/>
      <c r="AA595" s="197"/>
      <c r="AB595" s="197"/>
      <c r="AT595" s="232"/>
      <c r="AV595" s="198"/>
      <c r="AW595" s="274"/>
    </row>
    <row r="596" spans="2:49" x14ac:dyDescent="0.25">
      <c r="B596" s="274">
        <v>15.6</v>
      </c>
      <c r="C596" s="274">
        <v>83</v>
      </c>
      <c r="D596" s="274">
        <v>15.6</v>
      </c>
      <c r="E596" s="274">
        <v>2.5</v>
      </c>
      <c r="F596" s="274">
        <v>3.6</v>
      </c>
      <c r="G596" s="274">
        <v>40</v>
      </c>
      <c r="H596" s="274">
        <v>1023.5</v>
      </c>
      <c r="I596" s="274">
        <v>19127</v>
      </c>
      <c r="J596" s="274">
        <v>0</v>
      </c>
      <c r="K596" s="274">
        <v>0</v>
      </c>
      <c r="L596" s="274">
        <v>0</v>
      </c>
      <c r="M596" s="274">
        <v>65.3</v>
      </c>
      <c r="N596" s="396">
        <v>599.79999999999995</v>
      </c>
      <c r="O596" s="396">
        <v>21.6</v>
      </c>
      <c r="P596" s="396">
        <v>25.6</v>
      </c>
      <c r="Q596" s="397">
        <v>0.40763888888888899</v>
      </c>
      <c r="R596" s="396"/>
      <c r="S596" s="410"/>
      <c r="T596" s="409"/>
      <c r="U596" s="398" t="str">
        <f t="shared" si="26"/>
        <v/>
      </c>
      <c r="V596" s="400"/>
      <c r="W596" s="410">
        <f t="shared" si="25"/>
        <v>25.6</v>
      </c>
      <c r="X596" s="472">
        <f t="shared" si="27"/>
        <v>60</v>
      </c>
      <c r="Z596" s="197"/>
      <c r="AA596" s="197"/>
      <c r="AB596" s="197"/>
      <c r="AT596" s="232"/>
      <c r="AV596" s="198"/>
      <c r="AW596" s="274"/>
    </row>
    <row r="597" spans="2:49" x14ac:dyDescent="0.25">
      <c r="B597" s="274">
        <v>15.5</v>
      </c>
      <c r="C597" s="274">
        <v>83</v>
      </c>
      <c r="D597" s="274">
        <v>15.5</v>
      </c>
      <c r="E597" s="274">
        <v>4</v>
      </c>
      <c r="F597" s="274">
        <v>5.4</v>
      </c>
      <c r="G597" s="274">
        <v>39</v>
      </c>
      <c r="H597" s="274">
        <v>1023.6</v>
      </c>
      <c r="I597" s="274">
        <v>19561</v>
      </c>
      <c r="J597" s="274">
        <v>0</v>
      </c>
      <c r="K597" s="274">
        <v>0</v>
      </c>
      <c r="L597" s="274">
        <v>0</v>
      </c>
      <c r="M597" s="274">
        <v>65.3</v>
      </c>
      <c r="N597" s="396">
        <v>599.79999999999995</v>
      </c>
      <c r="O597" s="396">
        <v>21.8</v>
      </c>
      <c r="P597" s="396">
        <v>25.7</v>
      </c>
      <c r="Q597" s="397">
        <v>0.40833333333333299</v>
      </c>
      <c r="R597" s="396"/>
      <c r="S597" s="410"/>
      <c r="T597" s="409"/>
      <c r="U597" s="398" t="str">
        <f t="shared" si="26"/>
        <v/>
      </c>
      <c r="V597" s="400"/>
      <c r="W597" s="410">
        <f t="shared" si="25"/>
        <v>25.7</v>
      </c>
      <c r="X597" s="472">
        <f t="shared" si="27"/>
        <v>60</v>
      </c>
      <c r="Z597" s="197"/>
      <c r="AA597" s="197"/>
      <c r="AB597" s="197"/>
      <c r="AT597" s="232"/>
      <c r="AV597" s="198"/>
      <c r="AW597" s="274"/>
    </row>
    <row r="598" spans="2:49" x14ac:dyDescent="0.25">
      <c r="B598" s="274">
        <v>15.6</v>
      </c>
      <c r="C598" s="274">
        <v>83</v>
      </c>
      <c r="D598" s="274">
        <v>15.6</v>
      </c>
      <c r="E598" s="274">
        <v>4</v>
      </c>
      <c r="F598" s="274">
        <v>5.4</v>
      </c>
      <c r="G598" s="274">
        <v>24</v>
      </c>
      <c r="H598" s="274">
        <v>1023.6</v>
      </c>
      <c r="I598" s="274">
        <v>19669</v>
      </c>
      <c r="J598" s="274">
        <v>0</v>
      </c>
      <c r="K598" s="274">
        <v>0</v>
      </c>
      <c r="L598" s="274">
        <v>0</v>
      </c>
      <c r="M598" s="274">
        <v>65.3</v>
      </c>
      <c r="N598" s="396">
        <v>599.79999999999995</v>
      </c>
      <c r="O598" s="396">
        <v>22</v>
      </c>
      <c r="P598" s="396">
        <v>25.8</v>
      </c>
      <c r="Q598" s="397">
        <v>0.40902777777777799</v>
      </c>
      <c r="R598" s="396"/>
      <c r="S598" s="410"/>
      <c r="T598" s="409"/>
      <c r="U598" s="398" t="str">
        <f t="shared" si="26"/>
        <v/>
      </c>
      <c r="V598" s="400"/>
      <c r="W598" s="410">
        <f t="shared" si="25"/>
        <v>25.8</v>
      </c>
      <c r="X598" s="472">
        <f t="shared" si="27"/>
        <v>60</v>
      </c>
      <c r="Z598" s="197"/>
      <c r="AA598" s="197"/>
      <c r="AB598" s="197"/>
      <c r="AT598" s="232"/>
      <c r="AV598" s="198"/>
      <c r="AW598" s="274"/>
    </row>
    <row r="599" spans="2:49" x14ac:dyDescent="0.25">
      <c r="B599" s="274">
        <v>15.6</v>
      </c>
      <c r="C599" s="274">
        <v>83</v>
      </c>
      <c r="D599" s="274">
        <v>15.6</v>
      </c>
      <c r="E599" s="274">
        <v>0</v>
      </c>
      <c r="F599" s="274">
        <v>0</v>
      </c>
      <c r="G599" s="274">
        <v>38</v>
      </c>
      <c r="H599" s="274">
        <v>1023.5</v>
      </c>
      <c r="I599" s="274">
        <v>19731</v>
      </c>
      <c r="J599" s="274">
        <v>0</v>
      </c>
      <c r="K599" s="274">
        <v>0</v>
      </c>
      <c r="L599" s="274">
        <v>0</v>
      </c>
      <c r="M599" s="274">
        <v>65.3</v>
      </c>
      <c r="N599" s="396">
        <v>599.79999999999995</v>
      </c>
      <c r="O599" s="396">
        <v>22.2</v>
      </c>
      <c r="P599" s="396">
        <v>25.9</v>
      </c>
      <c r="Q599" s="397">
        <v>0.40972222222222199</v>
      </c>
      <c r="R599" s="396"/>
      <c r="S599" s="410"/>
      <c r="T599" s="409"/>
      <c r="U599" s="398" t="str">
        <f t="shared" si="26"/>
        <v/>
      </c>
      <c r="V599" s="400"/>
      <c r="W599" s="410">
        <f t="shared" si="25"/>
        <v>25.9</v>
      </c>
      <c r="X599" s="472">
        <f t="shared" si="27"/>
        <v>60</v>
      </c>
      <c r="Z599" s="197"/>
      <c r="AA599" s="197"/>
      <c r="AB599" s="197"/>
      <c r="AT599" s="232"/>
      <c r="AV599" s="198"/>
      <c r="AW599" s="274"/>
    </row>
    <row r="600" spans="2:49" x14ac:dyDescent="0.25">
      <c r="B600" s="274">
        <v>15.8</v>
      </c>
      <c r="C600" s="274">
        <v>81</v>
      </c>
      <c r="D600" s="274">
        <v>15.8</v>
      </c>
      <c r="E600" s="274">
        <v>1.8</v>
      </c>
      <c r="F600" s="274">
        <v>1.8</v>
      </c>
      <c r="G600" s="274">
        <v>103</v>
      </c>
      <c r="H600" s="274">
        <v>1023.3</v>
      </c>
      <c r="I600" s="274">
        <v>22754</v>
      </c>
      <c r="J600" s="274">
        <v>0</v>
      </c>
      <c r="K600" s="274">
        <v>0</v>
      </c>
      <c r="L600" s="274">
        <v>0</v>
      </c>
      <c r="M600" s="274">
        <v>65.3</v>
      </c>
      <c r="N600" s="396">
        <v>599.79999999999995</v>
      </c>
      <c r="O600" s="396">
        <v>22.4</v>
      </c>
      <c r="P600" s="396">
        <v>26</v>
      </c>
      <c r="Q600" s="397">
        <v>0.41041666666666698</v>
      </c>
      <c r="R600" s="396"/>
      <c r="S600" s="410"/>
      <c r="T600" s="409"/>
      <c r="U600" s="398" t="str">
        <f t="shared" si="26"/>
        <v/>
      </c>
      <c r="V600" s="400"/>
      <c r="W600" s="410">
        <f t="shared" si="25"/>
        <v>26</v>
      </c>
      <c r="X600" s="472">
        <f t="shared" si="27"/>
        <v>60</v>
      </c>
      <c r="Z600" s="197"/>
      <c r="AA600" s="197"/>
      <c r="AB600" s="197"/>
      <c r="AT600" s="232"/>
      <c r="AV600" s="198"/>
      <c r="AW600" s="274"/>
    </row>
    <row r="601" spans="2:49" x14ac:dyDescent="0.25">
      <c r="B601" s="274">
        <v>15.9</v>
      </c>
      <c r="C601" s="274">
        <v>82</v>
      </c>
      <c r="D601" s="274">
        <v>15.9</v>
      </c>
      <c r="E601" s="274">
        <v>2.9</v>
      </c>
      <c r="F601" s="274">
        <v>3.6</v>
      </c>
      <c r="G601" s="274">
        <v>34</v>
      </c>
      <c r="H601" s="274">
        <v>1023.5</v>
      </c>
      <c r="I601" s="274">
        <v>18739</v>
      </c>
      <c r="J601" s="274">
        <v>0</v>
      </c>
      <c r="K601" s="274">
        <v>0</v>
      </c>
      <c r="L601" s="274">
        <v>0</v>
      </c>
      <c r="M601" s="274">
        <v>65.3</v>
      </c>
      <c r="N601" s="396">
        <v>599.79999999999995</v>
      </c>
      <c r="O601" s="396">
        <v>22.7</v>
      </c>
      <c r="P601" s="396">
        <v>26.2</v>
      </c>
      <c r="Q601" s="397">
        <v>0.41111111111111098</v>
      </c>
      <c r="R601" s="396"/>
      <c r="S601" s="410"/>
      <c r="T601" s="409"/>
      <c r="U601" s="398" t="str">
        <f t="shared" si="26"/>
        <v/>
      </c>
      <c r="V601" s="400"/>
      <c r="W601" s="410">
        <f t="shared" si="25"/>
        <v>26.2</v>
      </c>
      <c r="X601" s="472">
        <f t="shared" si="27"/>
        <v>60</v>
      </c>
      <c r="Z601" s="197"/>
      <c r="AA601" s="197"/>
      <c r="AB601" s="197"/>
      <c r="AT601" s="232"/>
      <c r="AV601" s="198"/>
      <c r="AW601" s="274"/>
    </row>
    <row r="602" spans="2:49" x14ac:dyDescent="0.25">
      <c r="B602" s="274">
        <v>15.9</v>
      </c>
      <c r="C602" s="274">
        <v>82</v>
      </c>
      <c r="D602" s="274">
        <v>15.9</v>
      </c>
      <c r="E602" s="274">
        <v>0</v>
      </c>
      <c r="F602" s="274">
        <v>0</v>
      </c>
      <c r="G602" s="274">
        <v>71</v>
      </c>
      <c r="H602" s="274">
        <v>1023.5</v>
      </c>
      <c r="I602" s="274">
        <v>18739</v>
      </c>
      <c r="J602" s="274">
        <v>0</v>
      </c>
      <c r="K602" s="274">
        <v>0</v>
      </c>
      <c r="L602" s="274">
        <v>0</v>
      </c>
      <c r="M602" s="274">
        <v>65.3</v>
      </c>
      <c r="N602" s="396">
        <v>599.79999999999995</v>
      </c>
      <c r="O602" s="396">
        <v>22.9</v>
      </c>
      <c r="P602" s="396">
        <v>26.4</v>
      </c>
      <c r="Q602" s="397">
        <v>0.41180555555555598</v>
      </c>
      <c r="R602" s="396"/>
      <c r="S602" s="410"/>
      <c r="T602" s="409"/>
      <c r="U602" s="398" t="str">
        <f t="shared" si="26"/>
        <v/>
      </c>
      <c r="V602" s="400"/>
      <c r="W602" s="410">
        <f t="shared" si="25"/>
        <v>26.4</v>
      </c>
      <c r="X602" s="472">
        <f t="shared" si="27"/>
        <v>60</v>
      </c>
      <c r="Z602" s="197"/>
      <c r="AA602" s="197"/>
      <c r="AB602" s="197"/>
      <c r="AT602" s="232"/>
      <c r="AV602" s="198"/>
      <c r="AW602" s="274"/>
    </row>
    <row r="603" spans="2:49" x14ac:dyDescent="0.25">
      <c r="B603" s="274">
        <v>15.9</v>
      </c>
      <c r="C603" s="274">
        <v>81</v>
      </c>
      <c r="D603" s="274">
        <v>15.9</v>
      </c>
      <c r="E603" s="274">
        <v>1.4</v>
      </c>
      <c r="F603" s="274">
        <v>1.8</v>
      </c>
      <c r="G603" s="274">
        <v>76</v>
      </c>
      <c r="H603" s="274">
        <v>1023.6</v>
      </c>
      <c r="I603" s="274">
        <v>19282</v>
      </c>
      <c r="J603" s="274">
        <v>0</v>
      </c>
      <c r="K603" s="274">
        <v>0</v>
      </c>
      <c r="L603" s="274">
        <v>0</v>
      </c>
      <c r="M603" s="274">
        <v>65.3</v>
      </c>
      <c r="N603" s="396">
        <v>599.79999999999995</v>
      </c>
      <c r="O603" s="396">
        <v>23.2</v>
      </c>
      <c r="P603" s="396">
        <v>26.6</v>
      </c>
      <c r="Q603" s="397">
        <v>0.41249999999999998</v>
      </c>
      <c r="R603" s="396"/>
      <c r="S603" s="410"/>
      <c r="T603" s="409"/>
      <c r="U603" s="398" t="str">
        <f t="shared" si="26"/>
        <v/>
      </c>
      <c r="V603" s="400"/>
      <c r="W603" s="410">
        <f t="shared" si="25"/>
        <v>26.6</v>
      </c>
      <c r="X603" s="472">
        <f t="shared" si="27"/>
        <v>60</v>
      </c>
      <c r="Z603" s="197"/>
      <c r="AA603" s="197"/>
      <c r="AB603" s="197"/>
      <c r="AT603" s="232"/>
      <c r="AV603" s="198"/>
      <c r="AW603" s="274"/>
    </row>
    <row r="604" spans="2:49" x14ac:dyDescent="0.25">
      <c r="B604" s="274">
        <v>16.3</v>
      </c>
      <c r="C604" s="274">
        <v>80</v>
      </c>
      <c r="D604" s="274">
        <v>16.3</v>
      </c>
      <c r="E604" s="274">
        <v>2.2000000000000002</v>
      </c>
      <c r="F604" s="274">
        <v>3.6</v>
      </c>
      <c r="G604" s="274">
        <v>59</v>
      </c>
      <c r="H604" s="274">
        <v>1023.9</v>
      </c>
      <c r="I604" s="274">
        <v>19282</v>
      </c>
      <c r="J604" s="274">
        <v>0</v>
      </c>
      <c r="K604" s="274">
        <v>0</v>
      </c>
      <c r="L604" s="274">
        <v>0</v>
      </c>
      <c r="M604" s="274">
        <v>65.3</v>
      </c>
      <c r="N604" s="396">
        <v>599.79999999999995</v>
      </c>
      <c r="O604" s="396">
        <v>23.5</v>
      </c>
      <c r="P604" s="396">
        <v>26.7</v>
      </c>
      <c r="Q604" s="397">
        <v>0.41319444444444398</v>
      </c>
      <c r="R604" s="396"/>
      <c r="S604" s="410"/>
      <c r="T604" s="409"/>
      <c r="U604" s="398" t="str">
        <f t="shared" si="26"/>
        <v/>
      </c>
      <c r="V604" s="400"/>
      <c r="W604" s="410">
        <f t="shared" si="25"/>
        <v>26.7</v>
      </c>
      <c r="X604" s="472">
        <f t="shared" si="27"/>
        <v>60</v>
      </c>
      <c r="Z604" s="197"/>
      <c r="AA604" s="197"/>
      <c r="AB604" s="197"/>
      <c r="AT604" s="232"/>
      <c r="AV604" s="198"/>
      <c r="AW604" s="274"/>
    </row>
    <row r="605" spans="2:49" x14ac:dyDescent="0.25">
      <c r="B605" s="274">
        <v>16.399999999999999</v>
      </c>
      <c r="C605" s="274">
        <v>80</v>
      </c>
      <c r="D605" s="274">
        <v>16.399999999999999</v>
      </c>
      <c r="E605" s="274">
        <v>0</v>
      </c>
      <c r="F605" s="274">
        <v>0</v>
      </c>
      <c r="G605" s="274">
        <v>52</v>
      </c>
      <c r="H605" s="274">
        <v>1023.5</v>
      </c>
      <c r="I605" s="274">
        <v>19499</v>
      </c>
      <c r="J605" s="274">
        <v>0</v>
      </c>
      <c r="K605" s="274">
        <v>0</v>
      </c>
      <c r="L605" s="274">
        <v>0</v>
      </c>
      <c r="M605" s="274">
        <v>65.3</v>
      </c>
      <c r="N605" s="396">
        <v>599.79999999999995</v>
      </c>
      <c r="O605" s="396">
        <v>23.9</v>
      </c>
      <c r="P605" s="396">
        <v>26.8</v>
      </c>
      <c r="Q605" s="397">
        <v>0.41388888888888897</v>
      </c>
      <c r="R605" s="396"/>
      <c r="S605" s="410"/>
      <c r="T605" s="409"/>
      <c r="U605" s="398" t="str">
        <f t="shared" si="26"/>
        <v/>
      </c>
      <c r="V605" s="400"/>
      <c r="W605" s="410">
        <f t="shared" si="25"/>
        <v>26.8</v>
      </c>
      <c r="X605" s="472">
        <f t="shared" si="27"/>
        <v>60</v>
      </c>
      <c r="Z605" s="197"/>
      <c r="AA605" s="197"/>
      <c r="AB605" s="197"/>
      <c r="AT605" s="232"/>
      <c r="AV605" s="198"/>
      <c r="AW605" s="274"/>
    </row>
    <row r="606" spans="2:49" x14ac:dyDescent="0.25">
      <c r="B606" s="274">
        <v>16.399999999999999</v>
      </c>
      <c r="C606" s="274">
        <v>79</v>
      </c>
      <c r="D606" s="274">
        <v>16.399999999999999</v>
      </c>
      <c r="E606" s="274">
        <v>1.4</v>
      </c>
      <c r="F606" s="274">
        <v>1.8</v>
      </c>
      <c r="G606" s="274">
        <v>67</v>
      </c>
      <c r="H606" s="274">
        <v>1023.5</v>
      </c>
      <c r="I606" s="274">
        <v>18631</v>
      </c>
      <c r="J606" s="274">
        <v>0</v>
      </c>
      <c r="K606" s="274">
        <v>0</v>
      </c>
      <c r="L606" s="274">
        <v>0</v>
      </c>
      <c r="M606" s="274">
        <v>65.3</v>
      </c>
      <c r="N606" s="396">
        <v>599.79999999999995</v>
      </c>
      <c r="O606" s="396">
        <v>24.2</v>
      </c>
      <c r="P606" s="396">
        <v>26.9</v>
      </c>
      <c r="Q606" s="397">
        <v>0.41458333333333303</v>
      </c>
      <c r="R606" s="396"/>
      <c r="S606" s="410"/>
      <c r="T606" s="409"/>
      <c r="U606" s="398" t="str">
        <f t="shared" si="26"/>
        <v/>
      </c>
      <c r="V606" s="400"/>
      <c r="W606" s="410">
        <f t="shared" si="25"/>
        <v>26.9</v>
      </c>
      <c r="X606" s="472">
        <f t="shared" si="27"/>
        <v>60</v>
      </c>
      <c r="AT606" s="232"/>
      <c r="AV606" s="198"/>
      <c r="AW606" s="274"/>
    </row>
    <row r="607" spans="2:49" x14ac:dyDescent="0.25">
      <c r="B607" s="274">
        <v>16.5</v>
      </c>
      <c r="C607" s="274">
        <v>80</v>
      </c>
      <c r="D607" s="274">
        <v>16.5</v>
      </c>
      <c r="E607" s="274">
        <v>0.4</v>
      </c>
      <c r="F607" s="274">
        <v>1.8</v>
      </c>
      <c r="G607" s="274">
        <v>67</v>
      </c>
      <c r="H607" s="274">
        <v>1023.5</v>
      </c>
      <c r="I607" s="274">
        <v>18026</v>
      </c>
      <c r="J607" s="274">
        <v>0</v>
      </c>
      <c r="K607" s="274">
        <v>0</v>
      </c>
      <c r="L607" s="274">
        <v>0</v>
      </c>
      <c r="M607" s="274">
        <v>65.3</v>
      </c>
      <c r="N607" s="396">
        <v>599.79999999999995</v>
      </c>
      <c r="O607" s="396">
        <v>24.4</v>
      </c>
      <c r="P607" s="396">
        <v>27.1</v>
      </c>
      <c r="Q607" s="397">
        <v>0.41527777777777802</v>
      </c>
      <c r="R607" s="396"/>
      <c r="S607" s="410"/>
      <c r="T607" s="409"/>
      <c r="U607" s="398" t="str">
        <f t="shared" si="26"/>
        <v/>
      </c>
      <c r="V607" s="400"/>
      <c r="W607" s="410">
        <f t="shared" si="25"/>
        <v>27.1</v>
      </c>
      <c r="X607" s="472">
        <f t="shared" si="27"/>
        <v>60</v>
      </c>
      <c r="AT607" s="232"/>
      <c r="AV607" s="198"/>
      <c r="AW607" s="274"/>
    </row>
    <row r="608" spans="2:49" x14ac:dyDescent="0.25">
      <c r="B608" s="274">
        <v>16.5</v>
      </c>
      <c r="C608" s="274">
        <v>79</v>
      </c>
      <c r="D608" s="274">
        <v>16.5</v>
      </c>
      <c r="E608" s="274">
        <v>2.2000000000000002</v>
      </c>
      <c r="F608" s="274">
        <v>3.6</v>
      </c>
      <c r="G608" s="274">
        <v>88</v>
      </c>
      <c r="H608" s="274">
        <v>1023.6</v>
      </c>
      <c r="I608" s="274">
        <v>16151</v>
      </c>
      <c r="J608" s="274">
        <v>0</v>
      </c>
      <c r="K608" s="274">
        <v>0</v>
      </c>
      <c r="L608" s="274">
        <v>0</v>
      </c>
      <c r="M608" s="274">
        <v>65.3</v>
      </c>
      <c r="N608" s="396">
        <v>599.79999999999995</v>
      </c>
      <c r="O608" s="396">
        <v>24.7</v>
      </c>
      <c r="P608" s="396">
        <v>27.2</v>
      </c>
      <c r="Q608" s="397">
        <v>0.41597222222222202</v>
      </c>
      <c r="R608" s="396"/>
      <c r="S608" s="410"/>
      <c r="T608" s="409"/>
      <c r="U608" s="398" t="str">
        <f t="shared" si="26"/>
        <v/>
      </c>
      <c r="V608" s="400"/>
      <c r="W608" s="410">
        <f t="shared" si="25"/>
        <v>27.2</v>
      </c>
      <c r="X608" s="472">
        <f t="shared" si="27"/>
        <v>60</v>
      </c>
      <c r="AT608" s="232"/>
      <c r="AV608" s="198"/>
      <c r="AW608" s="274"/>
    </row>
    <row r="609" spans="2:59" x14ac:dyDescent="0.25">
      <c r="B609" s="274">
        <v>16.600000000000001</v>
      </c>
      <c r="C609" s="274">
        <v>78</v>
      </c>
      <c r="D609" s="274">
        <v>16.600000000000001</v>
      </c>
      <c r="E609" s="274">
        <v>3.2</v>
      </c>
      <c r="F609" s="274">
        <v>5.4</v>
      </c>
      <c r="G609" s="274">
        <v>99</v>
      </c>
      <c r="H609" s="274">
        <v>1023.6</v>
      </c>
      <c r="I609" s="274">
        <v>15546</v>
      </c>
      <c r="J609" s="274">
        <v>0</v>
      </c>
      <c r="K609" s="274">
        <v>0</v>
      </c>
      <c r="L609" s="274">
        <v>0</v>
      </c>
      <c r="M609" s="274">
        <v>65.3</v>
      </c>
      <c r="N609" s="396">
        <v>599.79999999999995</v>
      </c>
      <c r="O609" s="396">
        <v>25</v>
      </c>
      <c r="P609" s="396">
        <v>27.2</v>
      </c>
      <c r="Q609" s="397">
        <v>0.41666666666666702</v>
      </c>
      <c r="R609" s="396"/>
      <c r="S609" s="410"/>
      <c r="T609" s="409"/>
      <c r="U609" s="398" t="str">
        <f t="shared" si="26"/>
        <v/>
      </c>
      <c r="V609" s="400"/>
      <c r="W609" s="410">
        <f t="shared" si="25"/>
        <v>27.2</v>
      </c>
      <c r="X609" s="472">
        <f t="shared" si="27"/>
        <v>60</v>
      </c>
      <c r="AT609" s="232"/>
      <c r="AV609" s="198"/>
      <c r="AW609" s="274"/>
    </row>
    <row r="610" spans="2:59" x14ac:dyDescent="0.25">
      <c r="B610" s="274">
        <v>16.600000000000001</v>
      </c>
      <c r="C610" s="274">
        <v>78</v>
      </c>
      <c r="D610" s="274">
        <v>16.600000000000001</v>
      </c>
      <c r="E610" s="274">
        <v>0</v>
      </c>
      <c r="F610" s="274">
        <v>0</v>
      </c>
      <c r="G610" s="274">
        <v>95</v>
      </c>
      <c r="H610" s="274">
        <v>1023.6</v>
      </c>
      <c r="I610" s="274">
        <v>15221</v>
      </c>
      <c r="J610" s="274">
        <v>0</v>
      </c>
      <c r="K610" s="274">
        <v>0</v>
      </c>
      <c r="L610" s="274">
        <v>0</v>
      </c>
      <c r="M610" s="274">
        <v>65.3</v>
      </c>
      <c r="N610" s="396">
        <v>599.79999999999995</v>
      </c>
      <c r="O610" s="396">
        <v>25.2</v>
      </c>
      <c r="P610" s="396">
        <v>27.2</v>
      </c>
      <c r="Q610" s="397">
        <v>0.41736111111111102</v>
      </c>
      <c r="R610" s="396"/>
      <c r="S610" s="410"/>
      <c r="T610" s="409"/>
      <c r="U610" s="398" t="str">
        <f t="shared" si="26"/>
        <v/>
      </c>
      <c r="V610" s="400"/>
      <c r="W610" s="410">
        <f t="shared" si="25"/>
        <v>27.2</v>
      </c>
      <c r="X610" s="472">
        <f t="shared" si="27"/>
        <v>60</v>
      </c>
      <c r="AT610" s="232"/>
      <c r="AV610" s="198"/>
      <c r="AW610" s="274"/>
    </row>
    <row r="611" spans="2:59" x14ac:dyDescent="0.25">
      <c r="B611" s="274">
        <v>16.600000000000001</v>
      </c>
      <c r="C611" s="274">
        <v>78</v>
      </c>
      <c r="D611" s="274">
        <v>16.600000000000001</v>
      </c>
      <c r="E611" s="274">
        <v>1.1000000000000001</v>
      </c>
      <c r="F611" s="274">
        <v>1.8</v>
      </c>
      <c r="G611" s="274">
        <v>95</v>
      </c>
      <c r="H611" s="274">
        <v>1023.5</v>
      </c>
      <c r="I611" s="274">
        <v>15112</v>
      </c>
      <c r="J611" s="274">
        <v>0</v>
      </c>
      <c r="K611" s="274">
        <v>0</v>
      </c>
      <c r="L611" s="274">
        <v>0</v>
      </c>
      <c r="M611" s="274">
        <v>65.3</v>
      </c>
      <c r="N611" s="396">
        <v>599.79999999999995</v>
      </c>
      <c r="O611" s="396">
        <v>25.4</v>
      </c>
      <c r="P611" s="396">
        <v>27.2</v>
      </c>
      <c r="Q611" s="397">
        <v>0.41805555555555601</v>
      </c>
      <c r="R611" s="396"/>
      <c r="S611" s="410"/>
      <c r="T611" s="409"/>
      <c r="U611" s="398" t="str">
        <f t="shared" si="26"/>
        <v/>
      </c>
      <c r="V611" s="400"/>
      <c r="W611" s="410">
        <f t="shared" si="25"/>
        <v>27.2</v>
      </c>
      <c r="X611" s="472">
        <f t="shared" si="27"/>
        <v>60</v>
      </c>
      <c r="AT611" s="232"/>
      <c r="AV611" s="198"/>
      <c r="AW611" s="274"/>
    </row>
    <row r="612" spans="2:59" x14ac:dyDescent="0.25">
      <c r="B612" s="274">
        <v>16.7</v>
      </c>
      <c r="C612" s="274">
        <v>78</v>
      </c>
      <c r="D612" s="274">
        <v>16.7</v>
      </c>
      <c r="E612" s="274">
        <v>0.4</v>
      </c>
      <c r="F612" s="274">
        <v>1.8</v>
      </c>
      <c r="G612" s="274">
        <v>95</v>
      </c>
      <c r="H612" s="274">
        <v>1023.7</v>
      </c>
      <c r="I612" s="274">
        <v>15267</v>
      </c>
      <c r="J612" s="274">
        <v>0</v>
      </c>
      <c r="K612" s="274">
        <v>0</v>
      </c>
      <c r="L612" s="274">
        <v>0</v>
      </c>
      <c r="M612" s="274">
        <v>65.3</v>
      </c>
      <c r="N612" s="396">
        <v>599.79999999999995</v>
      </c>
      <c r="O612" s="396">
        <v>25.7</v>
      </c>
      <c r="P612" s="396">
        <v>27.3</v>
      </c>
      <c r="Q612" s="397">
        <v>0.41875000000000001</v>
      </c>
      <c r="R612" s="396"/>
      <c r="S612" s="410"/>
      <c r="T612" s="409"/>
      <c r="U612" s="398" t="str">
        <f t="shared" si="26"/>
        <v/>
      </c>
      <c r="V612" s="400"/>
      <c r="W612" s="410">
        <f t="shared" si="25"/>
        <v>27.3</v>
      </c>
      <c r="X612" s="472">
        <f t="shared" si="27"/>
        <v>60</v>
      </c>
      <c r="AT612" s="232"/>
      <c r="AV612" s="198"/>
      <c r="AW612" s="230"/>
    </row>
    <row r="613" spans="2:59" s="197" customFormat="1" x14ac:dyDescent="0.25">
      <c r="B613" s="274">
        <v>16.899999999999999</v>
      </c>
      <c r="C613" s="274">
        <v>77</v>
      </c>
      <c r="D613" s="274">
        <v>16.899999999999999</v>
      </c>
      <c r="E613" s="274">
        <v>1.4</v>
      </c>
      <c r="F613" s="274">
        <v>1.8</v>
      </c>
      <c r="G613" s="274">
        <v>76</v>
      </c>
      <c r="H613" s="274">
        <v>1023.6</v>
      </c>
      <c r="I613" s="274">
        <v>15329</v>
      </c>
      <c r="J613" s="274">
        <v>0</v>
      </c>
      <c r="K613" s="274">
        <v>0</v>
      </c>
      <c r="L613" s="274">
        <v>0</v>
      </c>
      <c r="M613" s="274">
        <v>65.3</v>
      </c>
      <c r="N613" s="396">
        <v>599.79999999999995</v>
      </c>
      <c r="O613" s="396">
        <v>25.9</v>
      </c>
      <c r="P613" s="396">
        <v>27.3</v>
      </c>
      <c r="Q613" s="397">
        <v>0.41944444444444401</v>
      </c>
      <c r="R613" s="396"/>
      <c r="S613" s="410"/>
      <c r="T613" s="409"/>
      <c r="U613" s="398" t="str">
        <f t="shared" si="26"/>
        <v/>
      </c>
      <c r="V613" s="400"/>
      <c r="W613" s="410">
        <f t="shared" si="25"/>
        <v>27.3</v>
      </c>
      <c r="X613" s="472">
        <f t="shared" si="27"/>
        <v>60</v>
      </c>
      <c r="Z613" s="272"/>
      <c r="AA613" s="272"/>
      <c r="AB613" s="272"/>
      <c r="AT613" s="194"/>
      <c r="AU613" s="194"/>
      <c r="AV613" s="198"/>
      <c r="AW613" s="230"/>
      <c r="AX613" s="161"/>
      <c r="AY613" s="491"/>
      <c r="AZ613" s="161"/>
      <c r="BA613" s="491"/>
      <c r="BB613" s="270"/>
      <c r="BC613" s="359"/>
      <c r="BD613" s="270"/>
      <c r="BE613" s="359"/>
      <c r="BF613" s="270"/>
      <c r="BG613" s="359"/>
    </row>
    <row r="614" spans="2:59" s="197" customFormat="1" x14ac:dyDescent="0.25">
      <c r="B614" s="274">
        <v>17</v>
      </c>
      <c r="C614" s="274">
        <v>77</v>
      </c>
      <c r="D614" s="274">
        <v>17</v>
      </c>
      <c r="E614" s="274">
        <v>3.2</v>
      </c>
      <c r="F614" s="274">
        <v>3.6</v>
      </c>
      <c r="G614" s="274">
        <v>39</v>
      </c>
      <c r="H614" s="274">
        <v>1023.6</v>
      </c>
      <c r="I614" s="274">
        <v>15376</v>
      </c>
      <c r="J614" s="274">
        <v>0</v>
      </c>
      <c r="K614" s="274">
        <v>0</v>
      </c>
      <c r="L614" s="274">
        <v>0</v>
      </c>
      <c r="M614" s="274">
        <v>65.3</v>
      </c>
      <c r="N614" s="396">
        <v>599.79999999999995</v>
      </c>
      <c r="O614" s="396">
        <v>26.2</v>
      </c>
      <c r="P614" s="396">
        <v>27.5</v>
      </c>
      <c r="Q614" s="397">
        <v>0.42013888888888901</v>
      </c>
      <c r="R614" s="396"/>
      <c r="S614" s="410"/>
      <c r="T614" s="409"/>
      <c r="U614" s="398" t="str">
        <f t="shared" si="26"/>
        <v/>
      </c>
      <c r="V614" s="400"/>
      <c r="W614" s="410">
        <f t="shared" si="25"/>
        <v>27.5</v>
      </c>
      <c r="X614" s="472">
        <f t="shared" si="27"/>
        <v>60</v>
      </c>
      <c r="Z614" s="272"/>
      <c r="AA614" s="272"/>
      <c r="AB614" s="272"/>
      <c r="AT614" s="194"/>
      <c r="AU614" s="194"/>
      <c r="AV614" s="198"/>
      <c r="AW614" s="230"/>
      <c r="AX614" s="161"/>
      <c r="AY614" s="491"/>
      <c r="AZ614" s="161"/>
      <c r="BA614" s="491"/>
      <c r="BB614" s="270"/>
      <c r="BC614" s="359"/>
      <c r="BD614" s="270"/>
      <c r="BE614" s="359"/>
      <c r="BF614" s="270"/>
      <c r="BG614" s="359"/>
    </row>
    <row r="615" spans="2:59" s="197" customFormat="1" x14ac:dyDescent="0.25">
      <c r="B615" s="274">
        <v>17</v>
      </c>
      <c r="C615" s="274">
        <v>78</v>
      </c>
      <c r="D615" s="274">
        <v>17</v>
      </c>
      <c r="E615" s="274">
        <v>2.5</v>
      </c>
      <c r="F615" s="274">
        <v>3.6</v>
      </c>
      <c r="G615" s="274">
        <v>80</v>
      </c>
      <c r="H615" s="274">
        <v>1023.7</v>
      </c>
      <c r="I615" s="274">
        <v>15500</v>
      </c>
      <c r="J615" s="274">
        <v>0</v>
      </c>
      <c r="K615" s="274">
        <v>0</v>
      </c>
      <c r="L615" s="274">
        <v>0</v>
      </c>
      <c r="M615" s="274">
        <v>65.3</v>
      </c>
      <c r="N615" s="396">
        <v>599.79999999999995</v>
      </c>
      <c r="O615" s="396">
        <v>26.5</v>
      </c>
      <c r="P615" s="396">
        <v>27.6</v>
      </c>
      <c r="Q615" s="397">
        <v>0.420833333333333</v>
      </c>
      <c r="R615" s="396"/>
      <c r="S615" s="410"/>
      <c r="T615" s="409"/>
      <c r="U615" s="398" t="str">
        <f t="shared" si="26"/>
        <v/>
      </c>
      <c r="V615" s="400"/>
      <c r="W615" s="410">
        <f t="shared" si="25"/>
        <v>27.6</v>
      </c>
      <c r="X615" s="472">
        <f t="shared" si="27"/>
        <v>60</v>
      </c>
      <c r="Z615" s="272"/>
      <c r="AA615" s="272"/>
      <c r="AB615" s="272"/>
      <c r="AT615" s="194"/>
      <c r="AU615" s="194"/>
      <c r="AV615" s="198"/>
      <c r="AW615" s="230"/>
      <c r="AX615" s="161"/>
      <c r="AY615" s="491"/>
      <c r="AZ615" s="161"/>
      <c r="BA615" s="491"/>
      <c r="BB615" s="270"/>
      <c r="BC615" s="359"/>
      <c r="BD615" s="270"/>
      <c r="BE615" s="359"/>
      <c r="BF615" s="270"/>
      <c r="BG615" s="359"/>
    </row>
    <row r="616" spans="2:59" s="197" customFormat="1" x14ac:dyDescent="0.25">
      <c r="B616" s="274">
        <v>16.899999999999999</v>
      </c>
      <c r="C616" s="274">
        <v>77</v>
      </c>
      <c r="D616" s="274">
        <v>16.899999999999999</v>
      </c>
      <c r="E616" s="274">
        <v>4.3</v>
      </c>
      <c r="F616" s="274">
        <v>5.4</v>
      </c>
      <c r="G616" s="274">
        <v>84</v>
      </c>
      <c r="H616" s="274">
        <v>1023.6</v>
      </c>
      <c r="I616" s="274">
        <v>15546</v>
      </c>
      <c r="J616" s="274">
        <v>0</v>
      </c>
      <c r="K616" s="274">
        <v>0</v>
      </c>
      <c r="L616" s="274">
        <v>0</v>
      </c>
      <c r="M616" s="274">
        <v>65.3</v>
      </c>
      <c r="N616" s="396">
        <v>599.79999999999995</v>
      </c>
      <c r="O616" s="396">
        <v>26.7</v>
      </c>
      <c r="P616" s="396">
        <v>27.7</v>
      </c>
      <c r="Q616" s="397">
        <v>0.421527777777778</v>
      </c>
      <c r="R616" s="396"/>
      <c r="S616" s="410"/>
      <c r="T616" s="409"/>
      <c r="U616" s="398" t="str">
        <f t="shared" si="26"/>
        <v/>
      </c>
      <c r="V616" s="400"/>
      <c r="W616" s="410">
        <f t="shared" si="25"/>
        <v>27.7</v>
      </c>
      <c r="X616" s="472">
        <f t="shared" si="27"/>
        <v>60</v>
      </c>
      <c r="Z616" s="272"/>
      <c r="AA616" s="272"/>
      <c r="AB616" s="272"/>
      <c r="AT616" s="194"/>
      <c r="AU616" s="194"/>
      <c r="AV616" s="198"/>
      <c r="AW616" s="230"/>
      <c r="AX616" s="161"/>
      <c r="AY616" s="491"/>
      <c r="AZ616" s="161"/>
      <c r="BA616" s="491"/>
      <c r="BB616" s="270"/>
      <c r="BC616" s="359"/>
      <c r="BD616" s="270"/>
      <c r="BE616" s="359"/>
      <c r="BF616" s="270"/>
      <c r="BG616" s="359"/>
    </row>
    <row r="617" spans="2:59" s="197" customFormat="1" x14ac:dyDescent="0.25">
      <c r="B617" s="274">
        <v>16.899999999999999</v>
      </c>
      <c r="C617" s="274">
        <v>78</v>
      </c>
      <c r="D617" s="274">
        <v>16.899999999999999</v>
      </c>
      <c r="E617" s="274">
        <v>3.2</v>
      </c>
      <c r="F617" s="274">
        <v>5.4</v>
      </c>
      <c r="G617" s="274">
        <v>82</v>
      </c>
      <c r="H617" s="274">
        <v>1023.6</v>
      </c>
      <c r="I617" s="274">
        <v>15763</v>
      </c>
      <c r="J617" s="274">
        <v>0</v>
      </c>
      <c r="K617" s="274">
        <v>0</v>
      </c>
      <c r="L617" s="274">
        <v>0</v>
      </c>
      <c r="M617" s="274">
        <v>65.3</v>
      </c>
      <c r="N617" s="396">
        <v>599.79999999999995</v>
      </c>
      <c r="O617" s="396">
        <v>26.9</v>
      </c>
      <c r="P617" s="396">
        <v>27.8</v>
      </c>
      <c r="Q617" s="397">
        <v>0.422222222222222</v>
      </c>
      <c r="R617" s="396"/>
      <c r="S617" s="410"/>
      <c r="T617" s="409"/>
      <c r="U617" s="398" t="str">
        <f t="shared" si="26"/>
        <v/>
      </c>
      <c r="V617" s="400"/>
      <c r="W617" s="410">
        <f t="shared" si="25"/>
        <v>27.8</v>
      </c>
      <c r="X617" s="472">
        <f t="shared" si="27"/>
        <v>60</v>
      </c>
      <c r="Z617" s="272"/>
      <c r="AA617" s="272"/>
      <c r="AB617" s="272"/>
      <c r="AT617" s="194"/>
      <c r="AU617" s="194"/>
      <c r="AV617" s="198"/>
      <c r="AW617" s="230"/>
      <c r="AX617" s="161"/>
      <c r="AY617" s="491"/>
      <c r="AZ617" s="161"/>
      <c r="BA617" s="491"/>
      <c r="BB617" s="270"/>
      <c r="BC617" s="359"/>
      <c r="BD617" s="270"/>
      <c r="BE617" s="359"/>
      <c r="BF617" s="270"/>
      <c r="BG617" s="359"/>
    </row>
    <row r="618" spans="2:59" s="197" customFormat="1" x14ac:dyDescent="0.25">
      <c r="B618" s="274">
        <v>17</v>
      </c>
      <c r="C618" s="274">
        <v>77</v>
      </c>
      <c r="D618" s="274">
        <v>17</v>
      </c>
      <c r="E618" s="274">
        <v>1.4</v>
      </c>
      <c r="F618" s="274">
        <v>1.8</v>
      </c>
      <c r="G618" s="274">
        <v>86</v>
      </c>
      <c r="H618" s="274">
        <v>1023.7</v>
      </c>
      <c r="I618" s="274">
        <v>16213</v>
      </c>
      <c r="J618" s="274">
        <v>0</v>
      </c>
      <c r="K618" s="274">
        <v>0</v>
      </c>
      <c r="L618" s="274">
        <v>0</v>
      </c>
      <c r="M618" s="274">
        <v>65.3</v>
      </c>
      <c r="N618" s="396">
        <v>599.79999999999995</v>
      </c>
      <c r="O618" s="396">
        <v>27.1</v>
      </c>
      <c r="P618" s="396">
        <v>27.9</v>
      </c>
      <c r="Q618" s="397">
        <v>0.422916666666667</v>
      </c>
      <c r="R618" s="396"/>
      <c r="S618" s="410"/>
      <c r="T618" s="409"/>
      <c r="U618" s="398" t="str">
        <f t="shared" si="26"/>
        <v/>
      </c>
      <c r="V618" s="400"/>
      <c r="W618" s="410">
        <f t="shared" si="25"/>
        <v>27.9</v>
      </c>
      <c r="X618" s="472">
        <f t="shared" si="27"/>
        <v>60</v>
      </c>
      <c r="Z618" s="272"/>
      <c r="AA618" s="272"/>
      <c r="AB618" s="272"/>
      <c r="AT618" s="194"/>
      <c r="AU618" s="194"/>
      <c r="AV618" s="198"/>
      <c r="AW618" s="230"/>
      <c r="AX618" s="161"/>
      <c r="AY618" s="491"/>
      <c r="AZ618" s="161"/>
      <c r="BA618" s="491"/>
      <c r="BB618" s="270"/>
      <c r="BC618" s="359"/>
      <c r="BD618" s="270"/>
      <c r="BE618" s="359"/>
      <c r="BF618" s="270"/>
      <c r="BG618" s="359"/>
    </row>
    <row r="619" spans="2:59" s="197" customFormat="1" x14ac:dyDescent="0.25">
      <c r="B619" s="274">
        <v>17</v>
      </c>
      <c r="C619" s="274">
        <v>77</v>
      </c>
      <c r="D619" s="274">
        <v>17</v>
      </c>
      <c r="E619" s="274">
        <v>0.4</v>
      </c>
      <c r="F619" s="274">
        <v>1.8</v>
      </c>
      <c r="G619" s="274">
        <v>49</v>
      </c>
      <c r="H619" s="274">
        <v>1023.6</v>
      </c>
      <c r="I619" s="274">
        <v>17034</v>
      </c>
      <c r="J619" s="274">
        <v>0</v>
      </c>
      <c r="K619" s="274">
        <v>0</v>
      </c>
      <c r="L619" s="274">
        <v>0</v>
      </c>
      <c r="M619" s="274">
        <v>65.3</v>
      </c>
      <c r="N619" s="396">
        <v>599.79999999999995</v>
      </c>
      <c r="O619" s="396">
        <v>27.3</v>
      </c>
      <c r="P619" s="396">
        <v>28</v>
      </c>
      <c r="Q619" s="397">
        <v>0.42361111111111099</v>
      </c>
      <c r="R619" s="396"/>
      <c r="S619" s="410"/>
      <c r="T619" s="409"/>
      <c r="U619" s="398" t="str">
        <f t="shared" si="26"/>
        <v/>
      </c>
      <c r="V619" s="400"/>
      <c r="W619" s="410">
        <f t="shared" si="25"/>
        <v>28</v>
      </c>
      <c r="X619" s="472">
        <f t="shared" si="27"/>
        <v>60</v>
      </c>
      <c r="Z619" s="272"/>
      <c r="AA619" s="272"/>
      <c r="AB619" s="272"/>
      <c r="AT619" s="194"/>
      <c r="AU619" s="194"/>
      <c r="AV619" s="198"/>
      <c r="AW619" s="230"/>
      <c r="AX619" s="161"/>
      <c r="AY619" s="491"/>
      <c r="AZ619" s="161"/>
      <c r="BA619" s="491"/>
      <c r="BB619" s="270"/>
      <c r="BC619" s="359"/>
      <c r="BD619" s="270"/>
      <c r="BE619" s="359"/>
      <c r="BF619" s="270"/>
      <c r="BG619" s="359"/>
    </row>
    <row r="620" spans="2:59" s="197" customFormat="1" x14ac:dyDescent="0.25">
      <c r="B620" s="274">
        <v>17</v>
      </c>
      <c r="C620" s="274">
        <v>76</v>
      </c>
      <c r="D620" s="274">
        <v>17</v>
      </c>
      <c r="E620" s="274">
        <v>1.8</v>
      </c>
      <c r="F620" s="274">
        <v>1.8</v>
      </c>
      <c r="G620" s="274">
        <v>51</v>
      </c>
      <c r="H620" s="274">
        <v>1023.7</v>
      </c>
      <c r="I620" s="274">
        <v>17313</v>
      </c>
      <c r="J620" s="274">
        <v>0</v>
      </c>
      <c r="K620" s="274">
        <v>0</v>
      </c>
      <c r="L620" s="274">
        <v>0</v>
      </c>
      <c r="M620" s="274">
        <v>65.3</v>
      </c>
      <c r="N620" s="396">
        <v>599.79999999999995</v>
      </c>
      <c r="O620" s="396">
        <v>27.4</v>
      </c>
      <c r="P620" s="396">
        <v>28.1</v>
      </c>
      <c r="Q620" s="397">
        <v>0.42430555555555599</v>
      </c>
      <c r="R620" s="396"/>
      <c r="S620" s="410"/>
      <c r="T620" s="409"/>
      <c r="U620" s="398" t="str">
        <f t="shared" si="26"/>
        <v/>
      </c>
      <c r="V620" s="400"/>
      <c r="W620" s="410">
        <f t="shared" si="25"/>
        <v>28.1</v>
      </c>
      <c r="X620" s="472">
        <f t="shared" si="27"/>
        <v>60</v>
      </c>
      <c r="Z620" s="272"/>
      <c r="AA620" s="272"/>
      <c r="AB620" s="272"/>
      <c r="AT620" s="194"/>
      <c r="AU620" s="194"/>
      <c r="AV620" s="198"/>
      <c r="AW620" s="230"/>
      <c r="AX620" s="161"/>
      <c r="AY620" s="491"/>
      <c r="AZ620" s="161"/>
      <c r="BA620" s="491"/>
      <c r="BB620" s="270"/>
      <c r="BC620" s="359"/>
      <c r="BD620" s="270"/>
      <c r="BE620" s="359"/>
      <c r="BF620" s="270"/>
      <c r="BG620" s="359"/>
    </row>
    <row r="621" spans="2:59" s="197" customFormat="1" x14ac:dyDescent="0.25">
      <c r="B621" s="274">
        <v>17</v>
      </c>
      <c r="C621" s="274">
        <v>76</v>
      </c>
      <c r="D621" s="274">
        <v>17</v>
      </c>
      <c r="E621" s="274">
        <v>2.2000000000000002</v>
      </c>
      <c r="F621" s="274">
        <v>3.6</v>
      </c>
      <c r="G621" s="274">
        <v>71</v>
      </c>
      <c r="H621" s="274">
        <v>1023.7</v>
      </c>
      <c r="I621" s="274">
        <v>17143</v>
      </c>
      <c r="J621" s="274">
        <v>0</v>
      </c>
      <c r="K621" s="274">
        <v>0</v>
      </c>
      <c r="L621" s="274">
        <v>0</v>
      </c>
      <c r="M621" s="274">
        <v>65.3</v>
      </c>
      <c r="N621" s="396">
        <v>599.79999999999995</v>
      </c>
      <c r="O621" s="396">
        <v>27.6</v>
      </c>
      <c r="P621" s="396">
        <v>28.1</v>
      </c>
      <c r="Q621" s="397">
        <v>0.42499999999999999</v>
      </c>
      <c r="R621" s="396"/>
      <c r="S621" s="410"/>
      <c r="T621" s="409"/>
      <c r="U621" s="398" t="str">
        <f t="shared" si="26"/>
        <v/>
      </c>
      <c r="V621" s="400"/>
      <c r="W621" s="410">
        <f t="shared" si="25"/>
        <v>28.1</v>
      </c>
      <c r="X621" s="472">
        <f t="shared" si="27"/>
        <v>60</v>
      </c>
      <c r="Z621" s="272"/>
      <c r="AA621" s="272"/>
      <c r="AB621" s="272"/>
      <c r="AT621" s="194"/>
      <c r="AU621" s="194"/>
      <c r="AV621" s="198"/>
      <c r="AW621" s="230"/>
      <c r="AX621" s="161"/>
      <c r="AY621" s="491"/>
      <c r="AZ621" s="161"/>
      <c r="BA621" s="491"/>
      <c r="BB621" s="270"/>
      <c r="BC621" s="359"/>
      <c r="BD621" s="270"/>
      <c r="BE621" s="359"/>
      <c r="BF621" s="270"/>
      <c r="BG621" s="359"/>
    </row>
    <row r="622" spans="2:59" s="197" customFormat="1" x14ac:dyDescent="0.25">
      <c r="B622" s="274">
        <v>17.100000000000001</v>
      </c>
      <c r="C622" s="274">
        <v>76</v>
      </c>
      <c r="D622" s="274">
        <v>17.100000000000001</v>
      </c>
      <c r="E622" s="274">
        <v>1.8</v>
      </c>
      <c r="F622" s="274">
        <v>1.8</v>
      </c>
      <c r="G622" s="274">
        <v>76</v>
      </c>
      <c r="H622" s="274">
        <v>1023.4</v>
      </c>
      <c r="I622" s="274">
        <v>17360</v>
      </c>
      <c r="J622" s="274">
        <v>0</v>
      </c>
      <c r="K622" s="274">
        <v>0</v>
      </c>
      <c r="L622" s="274">
        <v>0</v>
      </c>
      <c r="M622" s="274">
        <v>65.3</v>
      </c>
      <c r="N622" s="396">
        <v>599.79999999999995</v>
      </c>
      <c r="O622" s="396">
        <v>27.8</v>
      </c>
      <c r="P622" s="396">
        <v>28.1</v>
      </c>
      <c r="Q622" s="397">
        <v>0.42569444444444399</v>
      </c>
      <c r="R622" s="396"/>
      <c r="S622" s="410"/>
      <c r="T622" s="409"/>
      <c r="U622" s="398" t="str">
        <f t="shared" si="26"/>
        <v/>
      </c>
      <c r="V622" s="400"/>
      <c r="W622" s="410">
        <f t="shared" si="25"/>
        <v>28.1</v>
      </c>
      <c r="X622" s="472">
        <f t="shared" si="27"/>
        <v>60</v>
      </c>
      <c r="Z622" s="272"/>
      <c r="AA622" s="272"/>
      <c r="AB622" s="272"/>
      <c r="AT622" s="194"/>
      <c r="AU622" s="194"/>
      <c r="AV622" s="198"/>
      <c r="AW622" s="230"/>
      <c r="AX622" s="161"/>
      <c r="AY622" s="491"/>
      <c r="AZ622" s="161"/>
      <c r="BA622" s="491"/>
      <c r="BB622" s="270"/>
      <c r="BC622" s="359"/>
      <c r="BD622" s="270"/>
      <c r="BE622" s="359"/>
      <c r="BF622" s="270"/>
      <c r="BG622" s="359"/>
    </row>
    <row r="623" spans="2:59" s="197" customFormat="1" x14ac:dyDescent="0.25">
      <c r="B623" s="274">
        <v>17.2</v>
      </c>
      <c r="C623" s="274">
        <v>76</v>
      </c>
      <c r="D623" s="274">
        <v>17.2</v>
      </c>
      <c r="E623" s="274">
        <v>0</v>
      </c>
      <c r="F623" s="274">
        <v>0</v>
      </c>
      <c r="G623" s="274">
        <v>96</v>
      </c>
      <c r="H623" s="274">
        <v>1023.6</v>
      </c>
      <c r="I623" s="274">
        <v>17794</v>
      </c>
      <c r="J623" s="274">
        <v>0</v>
      </c>
      <c r="K623" s="274">
        <v>0</v>
      </c>
      <c r="L623" s="274">
        <v>0</v>
      </c>
      <c r="M623" s="274">
        <v>65.3</v>
      </c>
      <c r="N623" s="396">
        <v>599.79999999999995</v>
      </c>
      <c r="O623" s="396">
        <v>28</v>
      </c>
      <c r="P623" s="396">
        <v>28.1</v>
      </c>
      <c r="Q623" s="397">
        <v>0.42638888888888898</v>
      </c>
      <c r="R623" s="396"/>
      <c r="S623" s="410"/>
      <c r="T623" s="409"/>
      <c r="U623" s="398" t="str">
        <f t="shared" si="26"/>
        <v/>
      </c>
      <c r="V623" s="400"/>
      <c r="W623" s="410">
        <f t="shared" si="25"/>
        <v>28.1</v>
      </c>
      <c r="X623" s="472">
        <f t="shared" si="27"/>
        <v>60</v>
      </c>
      <c r="Z623" s="272"/>
      <c r="AA623" s="272"/>
      <c r="AB623" s="272"/>
      <c r="AT623" s="194"/>
      <c r="AU623" s="194"/>
      <c r="AV623" s="198"/>
      <c r="AW623" s="230"/>
      <c r="AX623" s="161"/>
      <c r="AY623" s="491"/>
      <c r="AZ623" s="161"/>
      <c r="BA623" s="491"/>
      <c r="BB623" s="270"/>
      <c r="BC623" s="359"/>
      <c r="BD623" s="270"/>
      <c r="BE623" s="359"/>
      <c r="BF623" s="270"/>
      <c r="BG623" s="359"/>
    </row>
    <row r="624" spans="2:59" s="197" customFormat="1" x14ac:dyDescent="0.25">
      <c r="B624" s="274">
        <v>17.3</v>
      </c>
      <c r="C624" s="274">
        <v>75</v>
      </c>
      <c r="D624" s="274">
        <v>17.3</v>
      </c>
      <c r="E624" s="274">
        <v>6.5</v>
      </c>
      <c r="F624" s="274">
        <v>7.2</v>
      </c>
      <c r="G624" s="274">
        <v>92</v>
      </c>
      <c r="H624" s="274">
        <v>1023.6</v>
      </c>
      <c r="I624" s="274">
        <v>17856</v>
      </c>
      <c r="J624" s="274">
        <v>0</v>
      </c>
      <c r="K624" s="274">
        <v>0</v>
      </c>
      <c r="L624" s="274">
        <v>0</v>
      </c>
      <c r="M624" s="274">
        <v>65.3</v>
      </c>
      <c r="N624" s="396">
        <v>599.79999999999995</v>
      </c>
      <c r="O624" s="396">
        <v>28.1</v>
      </c>
      <c r="P624" s="396">
        <v>28.2</v>
      </c>
      <c r="Q624" s="397">
        <v>0.42708333333333298</v>
      </c>
      <c r="R624" s="396"/>
      <c r="S624" s="410"/>
      <c r="T624" s="409"/>
      <c r="U624" s="398" t="str">
        <f t="shared" si="26"/>
        <v/>
      </c>
      <c r="V624" s="400"/>
      <c r="W624" s="410">
        <f t="shared" si="25"/>
        <v>28.2</v>
      </c>
      <c r="X624" s="472">
        <f t="shared" si="27"/>
        <v>60</v>
      </c>
      <c r="Z624" s="272"/>
      <c r="AA624" s="272"/>
      <c r="AB624" s="272"/>
      <c r="AT624" s="194"/>
      <c r="AU624" s="194"/>
      <c r="AV624" s="198"/>
      <c r="AW624" s="230"/>
      <c r="AX624" s="161"/>
      <c r="AY624" s="491"/>
      <c r="AZ624" s="161"/>
      <c r="BA624" s="491"/>
      <c r="BB624" s="270"/>
      <c r="BC624" s="359"/>
      <c r="BD624" s="270"/>
      <c r="BE624" s="359"/>
      <c r="BF624" s="270"/>
      <c r="BG624" s="359"/>
    </row>
    <row r="625" spans="2:59" s="197" customFormat="1" x14ac:dyDescent="0.25">
      <c r="B625" s="274">
        <v>17.2</v>
      </c>
      <c r="C625" s="274">
        <v>77</v>
      </c>
      <c r="D625" s="274">
        <v>17.2</v>
      </c>
      <c r="E625" s="274">
        <v>2.2000000000000002</v>
      </c>
      <c r="F625" s="274">
        <v>3.6</v>
      </c>
      <c r="G625" s="274">
        <v>84</v>
      </c>
      <c r="H625" s="274">
        <v>1023.6</v>
      </c>
      <c r="I625" s="274">
        <v>17794</v>
      </c>
      <c r="J625" s="274">
        <v>0</v>
      </c>
      <c r="K625" s="274">
        <v>0</v>
      </c>
      <c r="L625" s="274">
        <v>0</v>
      </c>
      <c r="M625" s="274">
        <v>65.3</v>
      </c>
      <c r="N625" s="396">
        <v>599.79999999999995</v>
      </c>
      <c r="O625" s="396">
        <v>28.3</v>
      </c>
      <c r="P625" s="396">
        <v>28.2</v>
      </c>
      <c r="Q625" s="397">
        <v>0.42777777777777798</v>
      </c>
      <c r="R625" s="396"/>
      <c r="S625" s="410"/>
      <c r="T625" s="409"/>
      <c r="U625" s="398" t="str">
        <f t="shared" si="26"/>
        <v/>
      </c>
      <c r="V625" s="400"/>
      <c r="W625" s="410">
        <f t="shared" si="25"/>
        <v>28.3</v>
      </c>
      <c r="X625" s="472">
        <f t="shared" si="27"/>
        <v>60</v>
      </c>
      <c r="Z625" s="272"/>
      <c r="AA625" s="272"/>
      <c r="AB625" s="272"/>
      <c r="AT625" s="194"/>
      <c r="AU625" s="194"/>
      <c r="AV625" s="198"/>
      <c r="AW625" s="230"/>
      <c r="AX625" s="161"/>
      <c r="AY625" s="491"/>
      <c r="AZ625" s="161"/>
      <c r="BA625" s="491"/>
      <c r="BB625" s="270"/>
      <c r="BC625" s="359"/>
      <c r="BD625" s="270"/>
      <c r="BE625" s="359"/>
      <c r="BF625" s="270"/>
      <c r="BG625" s="359"/>
    </row>
    <row r="626" spans="2:59" s="197" customFormat="1" x14ac:dyDescent="0.25">
      <c r="B626" s="274">
        <v>17.100000000000001</v>
      </c>
      <c r="C626" s="274">
        <v>77</v>
      </c>
      <c r="D626" s="274">
        <v>17.100000000000001</v>
      </c>
      <c r="E626" s="274">
        <v>2.2000000000000002</v>
      </c>
      <c r="F626" s="274">
        <v>3.6</v>
      </c>
      <c r="G626" s="274">
        <v>58</v>
      </c>
      <c r="H626" s="274">
        <v>1023.5</v>
      </c>
      <c r="I626" s="274">
        <v>18398</v>
      </c>
      <c r="J626" s="274">
        <v>0</v>
      </c>
      <c r="K626" s="274">
        <v>0</v>
      </c>
      <c r="L626" s="274">
        <v>0</v>
      </c>
      <c r="M626" s="274">
        <v>65.3</v>
      </c>
      <c r="N626" s="396">
        <v>599.79999999999995</v>
      </c>
      <c r="O626" s="396">
        <v>28.3</v>
      </c>
      <c r="P626" s="396">
        <v>28.2</v>
      </c>
      <c r="Q626" s="397">
        <v>0.42847222222222198</v>
      </c>
      <c r="R626" s="396"/>
      <c r="S626" s="410"/>
      <c r="T626" s="409"/>
      <c r="U626" s="398" t="str">
        <f t="shared" si="26"/>
        <v/>
      </c>
      <c r="V626" s="400"/>
      <c r="W626" s="410">
        <f t="shared" ref="W626:W689" si="28">MAX(O626:P626)</f>
        <v>28.3</v>
      </c>
      <c r="X626" s="472">
        <f t="shared" si="27"/>
        <v>60</v>
      </c>
      <c r="Z626" s="272"/>
      <c r="AA626" s="272"/>
      <c r="AB626" s="272"/>
      <c r="AT626" s="194"/>
      <c r="AU626" s="194"/>
      <c r="AV626" s="198"/>
      <c r="AW626" s="230"/>
      <c r="AX626" s="161"/>
      <c r="AY626" s="491"/>
      <c r="AZ626" s="161"/>
      <c r="BA626" s="491"/>
      <c r="BB626" s="270"/>
      <c r="BC626" s="359"/>
      <c r="BD626" s="270"/>
      <c r="BE626" s="359"/>
      <c r="BF626" s="270"/>
      <c r="BG626" s="359"/>
    </row>
    <row r="627" spans="2:59" s="197" customFormat="1" x14ac:dyDescent="0.25">
      <c r="B627" s="274">
        <v>17.2</v>
      </c>
      <c r="C627" s="274">
        <v>77</v>
      </c>
      <c r="D627" s="274">
        <v>17.2</v>
      </c>
      <c r="E627" s="274">
        <v>2.2000000000000002</v>
      </c>
      <c r="F627" s="274">
        <v>3.6</v>
      </c>
      <c r="G627" s="274">
        <v>57</v>
      </c>
      <c r="H627" s="274">
        <v>1023.7</v>
      </c>
      <c r="I627" s="274">
        <v>18569</v>
      </c>
      <c r="J627" s="274">
        <v>0</v>
      </c>
      <c r="K627" s="274">
        <v>0</v>
      </c>
      <c r="L627" s="274">
        <v>0</v>
      </c>
      <c r="M627" s="274">
        <v>65.3</v>
      </c>
      <c r="N627" s="396">
        <v>599.79999999999995</v>
      </c>
      <c r="O627" s="396">
        <v>28.4</v>
      </c>
      <c r="P627" s="396">
        <v>28.3</v>
      </c>
      <c r="Q627" s="397">
        <v>0.42916666666666697</v>
      </c>
      <c r="R627" s="396"/>
      <c r="S627" s="410"/>
      <c r="T627" s="409"/>
      <c r="U627" s="398" t="str">
        <f t="shared" si="26"/>
        <v/>
      </c>
      <c r="V627" s="400"/>
      <c r="W627" s="410">
        <f t="shared" si="28"/>
        <v>28.4</v>
      </c>
      <c r="X627" s="472">
        <f t="shared" si="27"/>
        <v>60</v>
      </c>
      <c r="Z627" s="272"/>
      <c r="AA627" s="272"/>
      <c r="AB627" s="272"/>
      <c r="AT627" s="194"/>
      <c r="AU627" s="194"/>
      <c r="AV627" s="198"/>
      <c r="AW627" s="230"/>
      <c r="AX627" s="161"/>
      <c r="AY627" s="491"/>
      <c r="AZ627" s="161"/>
      <c r="BA627" s="491"/>
      <c r="BB627" s="270"/>
      <c r="BC627" s="359"/>
      <c r="BD627" s="270"/>
      <c r="BE627" s="359"/>
      <c r="BF627" s="270"/>
      <c r="BG627" s="359"/>
    </row>
    <row r="628" spans="2:59" s="197" customFormat="1" x14ac:dyDescent="0.25">
      <c r="B628" s="274">
        <v>17.2</v>
      </c>
      <c r="C628" s="274">
        <v>75</v>
      </c>
      <c r="D628" s="274">
        <v>17.2</v>
      </c>
      <c r="E628" s="274">
        <v>4</v>
      </c>
      <c r="F628" s="274">
        <v>7.2</v>
      </c>
      <c r="G628" s="274">
        <v>98</v>
      </c>
      <c r="H628" s="274">
        <v>1023.6</v>
      </c>
      <c r="I628" s="274">
        <v>17685</v>
      </c>
      <c r="J628" s="274">
        <v>0</v>
      </c>
      <c r="K628" s="274">
        <v>0</v>
      </c>
      <c r="L628" s="274">
        <v>0</v>
      </c>
      <c r="M628" s="274">
        <v>65.3</v>
      </c>
      <c r="N628" s="396">
        <v>599.79999999999995</v>
      </c>
      <c r="O628" s="396">
        <v>28.6</v>
      </c>
      <c r="P628" s="396">
        <v>28.4</v>
      </c>
      <c r="Q628" s="397">
        <v>0.42986111111111103</v>
      </c>
      <c r="R628" s="396"/>
      <c r="S628" s="410"/>
      <c r="T628" s="409"/>
      <c r="U628" s="398" t="str">
        <f t="shared" si="26"/>
        <v/>
      </c>
      <c r="V628" s="400"/>
      <c r="W628" s="410">
        <f t="shared" si="28"/>
        <v>28.6</v>
      </c>
      <c r="X628" s="472">
        <f t="shared" si="27"/>
        <v>60</v>
      </c>
      <c r="Z628" s="272"/>
      <c r="AA628" s="272"/>
      <c r="AB628" s="272"/>
      <c r="AT628" s="194"/>
      <c r="AU628" s="194"/>
      <c r="AV628" s="198"/>
      <c r="AW628" s="230"/>
      <c r="AX628" s="161"/>
      <c r="AY628" s="491"/>
      <c r="AZ628" s="161"/>
      <c r="BA628" s="491"/>
      <c r="BB628" s="270"/>
      <c r="BC628" s="359"/>
      <c r="BD628" s="270"/>
      <c r="BE628" s="359"/>
      <c r="BF628" s="270"/>
      <c r="BG628" s="359"/>
    </row>
    <row r="629" spans="2:59" s="197" customFormat="1" x14ac:dyDescent="0.25">
      <c r="B629" s="274">
        <v>17.3</v>
      </c>
      <c r="C629" s="274">
        <v>76</v>
      </c>
      <c r="D629" s="274">
        <v>17.3</v>
      </c>
      <c r="E629" s="274">
        <v>2.2000000000000002</v>
      </c>
      <c r="F629" s="274">
        <v>3.6</v>
      </c>
      <c r="G629" s="274">
        <v>94</v>
      </c>
      <c r="H629" s="274">
        <v>1023.7</v>
      </c>
      <c r="I629" s="274">
        <v>18677</v>
      </c>
      <c r="J629" s="274">
        <v>0</v>
      </c>
      <c r="K629" s="274">
        <v>0</v>
      </c>
      <c r="L629" s="274">
        <v>0</v>
      </c>
      <c r="M629" s="274">
        <v>65.3</v>
      </c>
      <c r="N629" s="396">
        <v>599.79999999999995</v>
      </c>
      <c r="O629" s="396">
        <v>28.8</v>
      </c>
      <c r="P629" s="396">
        <v>28.5</v>
      </c>
      <c r="Q629" s="397">
        <v>0.43055555555555602</v>
      </c>
      <c r="R629" s="396"/>
      <c r="S629" s="410"/>
      <c r="T629" s="409"/>
      <c r="U629" s="398" t="str">
        <f t="shared" si="26"/>
        <v/>
      </c>
      <c r="V629" s="400"/>
      <c r="W629" s="410">
        <f t="shared" si="28"/>
        <v>28.8</v>
      </c>
      <c r="X629" s="472">
        <f t="shared" si="27"/>
        <v>60</v>
      </c>
      <c r="Z629" s="272"/>
      <c r="AA629" s="272"/>
      <c r="AB629" s="272"/>
      <c r="AT629" s="194"/>
      <c r="AU629" s="194"/>
      <c r="AV629" s="198"/>
      <c r="AW629" s="230"/>
      <c r="AX629" s="161"/>
      <c r="AY629" s="491"/>
      <c r="AZ629" s="161"/>
      <c r="BA629" s="491"/>
      <c r="BB629" s="270"/>
      <c r="BC629" s="359"/>
      <c r="BD629" s="270"/>
      <c r="BE629" s="359"/>
      <c r="BF629" s="270"/>
      <c r="BG629" s="359"/>
    </row>
    <row r="630" spans="2:59" s="197" customFormat="1" x14ac:dyDescent="0.25">
      <c r="B630" s="274">
        <v>17.3</v>
      </c>
      <c r="C630" s="274">
        <v>76</v>
      </c>
      <c r="D630" s="274">
        <v>17.3</v>
      </c>
      <c r="E630" s="274">
        <v>3.6</v>
      </c>
      <c r="F630" s="274">
        <v>3.6</v>
      </c>
      <c r="G630" s="274">
        <v>53</v>
      </c>
      <c r="H630" s="274">
        <v>1023.6</v>
      </c>
      <c r="I630" s="274">
        <v>18290</v>
      </c>
      <c r="J630" s="274">
        <v>0</v>
      </c>
      <c r="K630" s="274">
        <v>0</v>
      </c>
      <c r="L630" s="274">
        <v>0</v>
      </c>
      <c r="M630" s="274">
        <v>65.3</v>
      </c>
      <c r="N630" s="396">
        <v>599.79999999999995</v>
      </c>
      <c r="O630" s="396">
        <v>28.9</v>
      </c>
      <c r="P630" s="396">
        <v>28.6</v>
      </c>
      <c r="Q630" s="397">
        <v>0.43125000000000002</v>
      </c>
      <c r="R630" s="396"/>
      <c r="S630" s="410"/>
      <c r="T630" s="409"/>
      <c r="U630" s="398" t="str">
        <f t="shared" si="26"/>
        <v/>
      </c>
      <c r="V630" s="400"/>
      <c r="W630" s="410">
        <f t="shared" si="28"/>
        <v>28.9</v>
      </c>
      <c r="X630" s="472">
        <f t="shared" si="27"/>
        <v>60</v>
      </c>
      <c r="Z630" s="272"/>
      <c r="AA630" s="272"/>
      <c r="AB630" s="272"/>
      <c r="AT630" s="194"/>
      <c r="AU630" s="194"/>
      <c r="AV630" s="198"/>
      <c r="AW630" s="230"/>
      <c r="AX630" s="161"/>
      <c r="AY630" s="491"/>
      <c r="AZ630" s="161"/>
      <c r="BA630" s="491"/>
      <c r="BB630" s="270"/>
      <c r="BC630" s="359"/>
      <c r="BD630" s="270"/>
      <c r="BE630" s="359"/>
      <c r="BF630" s="270"/>
      <c r="BG630" s="359"/>
    </row>
    <row r="631" spans="2:59" s="197" customFormat="1" x14ac:dyDescent="0.25">
      <c r="B631" s="274">
        <v>17.3</v>
      </c>
      <c r="C631" s="274">
        <v>77</v>
      </c>
      <c r="D631" s="274">
        <v>17.3</v>
      </c>
      <c r="E631" s="274">
        <v>1.8</v>
      </c>
      <c r="F631" s="274">
        <v>3.6</v>
      </c>
      <c r="G631" s="274">
        <v>97</v>
      </c>
      <c r="H631" s="274">
        <v>1023.7</v>
      </c>
      <c r="I631" s="274">
        <v>18398</v>
      </c>
      <c r="J631" s="274">
        <v>0</v>
      </c>
      <c r="K631" s="274">
        <v>0</v>
      </c>
      <c r="L631" s="274">
        <v>0</v>
      </c>
      <c r="M631" s="274">
        <v>65.3</v>
      </c>
      <c r="N631" s="396">
        <v>599.79999999999995</v>
      </c>
      <c r="O631" s="396">
        <v>29</v>
      </c>
      <c r="P631" s="396">
        <v>28.6</v>
      </c>
      <c r="Q631" s="397">
        <v>0.43194444444444402</v>
      </c>
      <c r="R631" s="396"/>
      <c r="S631" s="410"/>
      <c r="T631" s="409"/>
      <c r="U631" s="398" t="str">
        <f t="shared" si="26"/>
        <v/>
      </c>
      <c r="V631" s="400"/>
      <c r="W631" s="410">
        <f t="shared" si="28"/>
        <v>29</v>
      </c>
      <c r="X631" s="472">
        <f t="shared" si="27"/>
        <v>60</v>
      </c>
      <c r="Z631" s="272"/>
      <c r="AA631" s="272"/>
      <c r="AB631" s="272"/>
      <c r="AT631" s="194"/>
      <c r="AU631" s="194"/>
      <c r="AV631" s="198"/>
      <c r="AW631" s="230"/>
      <c r="AX631" s="161"/>
      <c r="AY631" s="491"/>
      <c r="AZ631" s="161"/>
      <c r="BA631" s="491"/>
      <c r="BB631" s="270"/>
      <c r="BC631" s="359"/>
      <c r="BD631" s="270"/>
      <c r="BE631" s="359"/>
      <c r="BF631" s="270"/>
      <c r="BG631" s="359"/>
    </row>
    <row r="632" spans="2:59" s="197" customFormat="1" x14ac:dyDescent="0.25">
      <c r="B632" s="274">
        <v>17.3</v>
      </c>
      <c r="C632" s="274">
        <v>76</v>
      </c>
      <c r="D632" s="274">
        <v>17.3</v>
      </c>
      <c r="E632" s="274">
        <v>1.1000000000000001</v>
      </c>
      <c r="F632" s="274">
        <v>1.8</v>
      </c>
      <c r="G632" s="274">
        <v>42</v>
      </c>
      <c r="H632" s="274">
        <v>1023.8</v>
      </c>
      <c r="I632" s="274">
        <v>18460</v>
      </c>
      <c r="J632" s="274">
        <v>0</v>
      </c>
      <c r="K632" s="274">
        <v>0</v>
      </c>
      <c r="L632" s="274">
        <v>0</v>
      </c>
      <c r="M632" s="274">
        <v>65.3</v>
      </c>
      <c r="N632" s="396">
        <v>599.79999999999995</v>
      </c>
      <c r="O632" s="396">
        <v>29.1</v>
      </c>
      <c r="P632" s="396">
        <v>28.6</v>
      </c>
      <c r="Q632" s="397">
        <v>0.43263888888888902</v>
      </c>
      <c r="R632" s="396"/>
      <c r="S632" s="410"/>
      <c r="T632" s="409"/>
      <c r="U632" s="398" t="str">
        <f t="shared" si="26"/>
        <v/>
      </c>
      <c r="V632" s="400"/>
      <c r="W632" s="410">
        <f t="shared" si="28"/>
        <v>29.1</v>
      </c>
      <c r="X632" s="472">
        <f t="shared" si="27"/>
        <v>60</v>
      </c>
      <c r="Z632" s="272"/>
      <c r="AA632" s="272"/>
      <c r="AB632" s="272"/>
      <c r="AT632" s="194"/>
      <c r="AU632" s="194"/>
      <c r="AV632" s="198"/>
      <c r="AW632" s="230"/>
      <c r="AX632" s="161"/>
      <c r="AY632" s="491"/>
      <c r="AZ632" s="161"/>
      <c r="BA632" s="491"/>
      <c r="BB632" s="270"/>
      <c r="BC632" s="359"/>
      <c r="BD632" s="270"/>
      <c r="BE632" s="359"/>
      <c r="BF632" s="270"/>
      <c r="BG632" s="359"/>
    </row>
    <row r="633" spans="2:59" s="197" customFormat="1" x14ac:dyDescent="0.25">
      <c r="B633" s="274">
        <v>17.399999999999999</v>
      </c>
      <c r="C633" s="274">
        <v>76</v>
      </c>
      <c r="D633" s="274">
        <v>17.399999999999999</v>
      </c>
      <c r="E633" s="274">
        <v>2.9</v>
      </c>
      <c r="F633" s="274">
        <v>3.6</v>
      </c>
      <c r="G633" s="274">
        <v>90</v>
      </c>
      <c r="H633" s="274">
        <v>1023.4</v>
      </c>
      <c r="I633" s="274">
        <v>18739</v>
      </c>
      <c r="J633" s="274">
        <v>0</v>
      </c>
      <c r="K633" s="274">
        <v>0</v>
      </c>
      <c r="L633" s="274">
        <v>0</v>
      </c>
      <c r="M633" s="274">
        <v>65.3</v>
      </c>
      <c r="N633" s="396">
        <v>599.79999999999995</v>
      </c>
      <c r="O633" s="396">
        <v>29.2</v>
      </c>
      <c r="P633" s="396">
        <v>28.7</v>
      </c>
      <c r="Q633" s="397">
        <v>0.43333333333333302</v>
      </c>
      <c r="R633" s="396"/>
      <c r="S633" s="410"/>
      <c r="T633" s="409"/>
      <c r="U633" s="398" t="str">
        <f t="shared" si="26"/>
        <v/>
      </c>
      <c r="V633" s="400"/>
      <c r="W633" s="410">
        <f t="shared" si="28"/>
        <v>29.2</v>
      </c>
      <c r="X633" s="472">
        <f t="shared" si="27"/>
        <v>60</v>
      </c>
      <c r="Z633" s="272"/>
      <c r="AA633" s="272"/>
      <c r="AB633" s="272"/>
      <c r="AT633" s="194"/>
      <c r="AU633" s="194"/>
      <c r="AV633" s="198"/>
      <c r="AW633" s="230"/>
      <c r="AX633" s="161"/>
      <c r="AY633" s="491"/>
      <c r="AZ633" s="161"/>
      <c r="BA633" s="491"/>
      <c r="BB633" s="270"/>
      <c r="BC633" s="359"/>
      <c r="BD633" s="270"/>
      <c r="BE633" s="359"/>
      <c r="BF633" s="270"/>
      <c r="BG633" s="359"/>
    </row>
    <row r="634" spans="2:59" s="197" customFormat="1" x14ac:dyDescent="0.25">
      <c r="B634" s="274">
        <v>17.399999999999999</v>
      </c>
      <c r="C634" s="274">
        <v>76</v>
      </c>
      <c r="D634" s="274">
        <v>17.399999999999999</v>
      </c>
      <c r="E634" s="274">
        <v>4</v>
      </c>
      <c r="F634" s="274">
        <v>5.4</v>
      </c>
      <c r="G634" s="274">
        <v>79</v>
      </c>
      <c r="H634" s="274">
        <v>1023.6</v>
      </c>
      <c r="I634" s="274">
        <v>18677</v>
      </c>
      <c r="J634" s="274">
        <v>0</v>
      </c>
      <c r="K634" s="274">
        <v>0</v>
      </c>
      <c r="L634" s="274">
        <v>0</v>
      </c>
      <c r="M634" s="274">
        <v>65.3</v>
      </c>
      <c r="N634" s="396">
        <v>599.79999999999995</v>
      </c>
      <c r="O634" s="396">
        <v>29.3</v>
      </c>
      <c r="P634" s="396">
        <v>28.8</v>
      </c>
      <c r="Q634" s="397">
        <v>0.43402777777777801</v>
      </c>
      <c r="R634" s="396"/>
      <c r="S634" s="410"/>
      <c r="T634" s="409"/>
      <c r="U634" s="398" t="str">
        <f t="shared" si="26"/>
        <v/>
      </c>
      <c r="V634" s="400"/>
      <c r="W634" s="410">
        <f t="shared" si="28"/>
        <v>29.3</v>
      </c>
      <c r="X634" s="472">
        <f t="shared" si="27"/>
        <v>60</v>
      </c>
      <c r="Z634" s="272"/>
      <c r="AA634" s="272"/>
      <c r="AB634" s="272"/>
      <c r="AT634" s="194"/>
      <c r="AU634" s="194"/>
      <c r="AV634" s="198"/>
      <c r="AW634" s="230"/>
      <c r="AX634" s="161"/>
      <c r="AY634" s="491"/>
      <c r="AZ634" s="161"/>
      <c r="BA634" s="491"/>
      <c r="BB634" s="270"/>
      <c r="BC634" s="359"/>
      <c r="BD634" s="270"/>
      <c r="BE634" s="359"/>
      <c r="BF634" s="270"/>
      <c r="BG634" s="359"/>
    </row>
    <row r="635" spans="2:59" s="197" customFormat="1" x14ac:dyDescent="0.25">
      <c r="B635" s="274">
        <v>17.399999999999999</v>
      </c>
      <c r="C635" s="274">
        <v>76</v>
      </c>
      <c r="D635" s="274">
        <v>17.399999999999999</v>
      </c>
      <c r="E635" s="274">
        <v>2.2000000000000002</v>
      </c>
      <c r="F635" s="274">
        <v>3.6</v>
      </c>
      <c r="G635" s="274">
        <v>41</v>
      </c>
      <c r="H635" s="274">
        <v>1023.7</v>
      </c>
      <c r="I635" s="274">
        <v>19173</v>
      </c>
      <c r="J635" s="274">
        <v>0</v>
      </c>
      <c r="K635" s="274">
        <v>0</v>
      </c>
      <c r="L635" s="274">
        <v>0</v>
      </c>
      <c r="M635" s="274">
        <v>65.3</v>
      </c>
      <c r="N635" s="396">
        <v>599.79999999999995</v>
      </c>
      <c r="O635" s="396">
        <v>29.3</v>
      </c>
      <c r="P635" s="396">
        <v>28.8</v>
      </c>
      <c r="Q635" s="397">
        <v>0.43472222222222201</v>
      </c>
      <c r="R635" s="396"/>
      <c r="S635" s="410"/>
      <c r="T635" s="409"/>
      <c r="U635" s="398" t="str">
        <f t="shared" si="26"/>
        <v/>
      </c>
      <c r="V635" s="400"/>
      <c r="W635" s="410">
        <f t="shared" si="28"/>
        <v>29.3</v>
      </c>
      <c r="X635" s="472">
        <f t="shared" si="27"/>
        <v>60</v>
      </c>
      <c r="Z635" s="272"/>
      <c r="AA635" s="272"/>
      <c r="AB635" s="272"/>
      <c r="AT635" s="194"/>
      <c r="AU635" s="194"/>
      <c r="AV635" s="198"/>
      <c r="AW635" s="230"/>
      <c r="AX635" s="161"/>
      <c r="AY635" s="491"/>
      <c r="AZ635" s="161"/>
      <c r="BA635" s="491"/>
      <c r="BB635" s="270"/>
      <c r="BC635" s="359"/>
      <c r="BD635" s="270"/>
      <c r="BE635" s="359"/>
      <c r="BF635" s="270"/>
      <c r="BG635" s="359"/>
    </row>
    <row r="636" spans="2:59" s="197" customFormat="1" x14ac:dyDescent="0.25">
      <c r="B636" s="274">
        <v>17.399999999999999</v>
      </c>
      <c r="C636" s="274">
        <v>76</v>
      </c>
      <c r="D636" s="274">
        <v>17.399999999999999</v>
      </c>
      <c r="E636" s="274">
        <v>0.4</v>
      </c>
      <c r="F636" s="274">
        <v>1.8</v>
      </c>
      <c r="G636" s="274">
        <v>36</v>
      </c>
      <c r="H636" s="274">
        <v>1023.6</v>
      </c>
      <c r="I636" s="274">
        <v>19282</v>
      </c>
      <c r="J636" s="274">
        <v>0</v>
      </c>
      <c r="K636" s="274">
        <v>0</v>
      </c>
      <c r="L636" s="274">
        <v>0</v>
      </c>
      <c r="M636" s="274">
        <v>65.3</v>
      </c>
      <c r="N636" s="396">
        <v>599.79999999999995</v>
      </c>
      <c r="O636" s="396">
        <v>29.4</v>
      </c>
      <c r="P636" s="396">
        <v>28.9</v>
      </c>
      <c r="Q636" s="397">
        <v>0.43541666666666701</v>
      </c>
      <c r="R636" s="396"/>
      <c r="S636" s="410"/>
      <c r="T636" s="409"/>
      <c r="U636" s="398" t="str">
        <f t="shared" si="26"/>
        <v/>
      </c>
      <c r="V636" s="400"/>
      <c r="W636" s="410">
        <f t="shared" si="28"/>
        <v>29.4</v>
      </c>
      <c r="X636" s="472">
        <f t="shared" si="27"/>
        <v>60</v>
      </c>
      <c r="Z636" s="272"/>
      <c r="AA636" s="272"/>
      <c r="AB636" s="272"/>
      <c r="AT636" s="194"/>
      <c r="AU636" s="194"/>
      <c r="AV636" s="198"/>
      <c r="AW636" s="230"/>
      <c r="AX636" s="161"/>
      <c r="AY636" s="491"/>
      <c r="AZ636" s="161"/>
      <c r="BA636" s="491"/>
      <c r="BB636" s="270"/>
      <c r="BC636" s="359"/>
      <c r="BD636" s="270"/>
      <c r="BE636" s="359"/>
      <c r="BF636" s="270"/>
      <c r="BG636" s="359"/>
    </row>
    <row r="637" spans="2:59" s="197" customFormat="1" x14ac:dyDescent="0.25">
      <c r="B637" s="274">
        <v>17.5</v>
      </c>
      <c r="C637" s="274">
        <v>76</v>
      </c>
      <c r="D637" s="274">
        <v>17.5</v>
      </c>
      <c r="E637" s="274">
        <v>3.6</v>
      </c>
      <c r="F637" s="274">
        <v>5.4</v>
      </c>
      <c r="G637" s="274">
        <v>70</v>
      </c>
      <c r="H637" s="274">
        <v>1023.4</v>
      </c>
      <c r="I637" s="274">
        <v>19778</v>
      </c>
      <c r="J637" s="274">
        <v>0</v>
      </c>
      <c r="K637" s="274">
        <v>0</v>
      </c>
      <c r="L637" s="274">
        <v>0</v>
      </c>
      <c r="M637" s="274">
        <v>65.3</v>
      </c>
      <c r="N637" s="396">
        <v>599.79999999999995</v>
      </c>
      <c r="O637" s="396">
        <v>29.4</v>
      </c>
      <c r="P637" s="396">
        <v>29</v>
      </c>
      <c r="Q637" s="397">
        <v>0.43611111111111101</v>
      </c>
      <c r="R637" s="396"/>
      <c r="S637" s="410"/>
      <c r="T637" s="409"/>
      <c r="U637" s="398" t="str">
        <f t="shared" si="26"/>
        <v/>
      </c>
      <c r="V637" s="400"/>
      <c r="W637" s="410">
        <f t="shared" si="28"/>
        <v>29.4</v>
      </c>
      <c r="X637" s="472">
        <f t="shared" si="27"/>
        <v>60</v>
      </c>
      <c r="Z637" s="272"/>
      <c r="AA637" s="272"/>
      <c r="AB637" s="272"/>
      <c r="AT637" s="194"/>
      <c r="AU637" s="194"/>
      <c r="AV637" s="198"/>
      <c r="AW637" s="230"/>
      <c r="AX637" s="161"/>
      <c r="AY637" s="491"/>
      <c r="AZ637" s="161"/>
      <c r="BA637" s="491"/>
      <c r="BB637" s="270"/>
      <c r="BC637" s="359"/>
      <c r="BD637" s="270"/>
      <c r="BE637" s="359"/>
      <c r="BF637" s="270"/>
      <c r="BG637" s="359"/>
    </row>
    <row r="638" spans="2:59" s="197" customFormat="1" x14ac:dyDescent="0.25">
      <c r="B638" s="274">
        <v>17.7</v>
      </c>
      <c r="C638" s="274">
        <v>76</v>
      </c>
      <c r="D638" s="274">
        <v>17.7</v>
      </c>
      <c r="E638" s="274">
        <v>1.4</v>
      </c>
      <c r="F638" s="274">
        <v>1.8</v>
      </c>
      <c r="G638" s="274">
        <v>70</v>
      </c>
      <c r="H638" s="274">
        <v>1023.5</v>
      </c>
      <c r="I638" s="274">
        <v>22521</v>
      </c>
      <c r="J638" s="274">
        <v>0</v>
      </c>
      <c r="K638" s="274">
        <v>0</v>
      </c>
      <c r="L638" s="274">
        <v>0</v>
      </c>
      <c r="M638" s="274">
        <v>65.3</v>
      </c>
      <c r="N638" s="396">
        <v>599.79999999999995</v>
      </c>
      <c r="O638" s="396">
        <v>29.5</v>
      </c>
      <c r="P638" s="396">
        <v>29.1</v>
      </c>
      <c r="Q638" s="397">
        <v>0.436805555555556</v>
      </c>
      <c r="R638" s="396"/>
      <c r="S638" s="410"/>
      <c r="T638" s="409"/>
      <c r="U638" s="398" t="str">
        <f t="shared" si="26"/>
        <v/>
      </c>
      <c r="V638" s="400"/>
      <c r="W638" s="410">
        <f t="shared" si="28"/>
        <v>29.5</v>
      </c>
      <c r="X638" s="472">
        <f t="shared" si="27"/>
        <v>60</v>
      </c>
      <c r="Z638" s="272"/>
      <c r="AA638" s="272"/>
      <c r="AB638" s="272"/>
      <c r="AT638" s="194"/>
      <c r="AU638" s="194"/>
      <c r="AV638" s="198"/>
      <c r="AW638" s="230"/>
      <c r="AX638" s="161"/>
      <c r="AY638" s="491"/>
      <c r="AZ638" s="161"/>
      <c r="BA638" s="491"/>
      <c r="BB638" s="270"/>
      <c r="BC638" s="359"/>
      <c r="BD638" s="270"/>
      <c r="BE638" s="359"/>
      <c r="BF638" s="270"/>
      <c r="BG638" s="359"/>
    </row>
    <row r="639" spans="2:59" s="197" customFormat="1" x14ac:dyDescent="0.25">
      <c r="B639" s="274">
        <v>17.8</v>
      </c>
      <c r="C639" s="274">
        <v>75</v>
      </c>
      <c r="D639" s="274">
        <v>17.8</v>
      </c>
      <c r="E639" s="274">
        <v>2.9</v>
      </c>
      <c r="F639" s="274">
        <v>3.6</v>
      </c>
      <c r="G639" s="274">
        <v>93</v>
      </c>
      <c r="H639" s="274">
        <v>1023.6</v>
      </c>
      <c r="I639" s="274">
        <v>25823</v>
      </c>
      <c r="J639" s="274">
        <v>0</v>
      </c>
      <c r="K639" s="274">
        <v>0</v>
      </c>
      <c r="L639" s="274">
        <v>0</v>
      </c>
      <c r="M639" s="274">
        <v>65.3</v>
      </c>
      <c r="N639" s="396">
        <v>599.79999999999995</v>
      </c>
      <c r="O639" s="396">
        <v>29.7</v>
      </c>
      <c r="P639" s="396">
        <v>29.2</v>
      </c>
      <c r="Q639" s="397">
        <v>0.4375</v>
      </c>
      <c r="R639" s="396"/>
      <c r="S639" s="410"/>
      <c r="T639" s="409"/>
      <c r="U639" s="398" t="str">
        <f t="shared" si="26"/>
        <v/>
      </c>
      <c r="V639" s="400"/>
      <c r="W639" s="410">
        <f t="shared" si="28"/>
        <v>29.7</v>
      </c>
      <c r="X639" s="472">
        <f t="shared" si="27"/>
        <v>60</v>
      </c>
      <c r="Z639" s="272"/>
      <c r="AA639" s="272"/>
      <c r="AB639" s="272"/>
      <c r="AT639" s="194"/>
      <c r="AU639" s="194"/>
      <c r="AV639" s="198"/>
      <c r="AW639" s="230"/>
      <c r="AX639" s="161"/>
      <c r="AY639" s="491"/>
      <c r="AZ639" s="161"/>
      <c r="BA639" s="491"/>
      <c r="BB639" s="270"/>
      <c r="BC639" s="359"/>
      <c r="BD639" s="270"/>
      <c r="BE639" s="359"/>
      <c r="BF639" s="270"/>
      <c r="BG639" s="359"/>
    </row>
    <row r="640" spans="2:59" s="197" customFormat="1" x14ac:dyDescent="0.25">
      <c r="B640" s="274">
        <v>17.8</v>
      </c>
      <c r="C640" s="274">
        <v>76</v>
      </c>
      <c r="D640" s="274">
        <v>17.8</v>
      </c>
      <c r="E640" s="274">
        <v>1.1000000000000001</v>
      </c>
      <c r="F640" s="274">
        <v>1.8</v>
      </c>
      <c r="G640" s="274">
        <v>82</v>
      </c>
      <c r="H640" s="274">
        <v>1023.8</v>
      </c>
      <c r="I640" s="274">
        <v>32255</v>
      </c>
      <c r="J640" s="274">
        <v>0</v>
      </c>
      <c r="K640" s="274">
        <v>0</v>
      </c>
      <c r="L640" s="274">
        <v>0</v>
      </c>
      <c r="M640" s="274">
        <v>65.3</v>
      </c>
      <c r="N640" s="396">
        <v>599.79999999999995</v>
      </c>
      <c r="O640" s="396">
        <v>29.8</v>
      </c>
      <c r="P640" s="396">
        <v>29.3</v>
      </c>
      <c r="Q640" s="397">
        <v>0.438194444444444</v>
      </c>
      <c r="R640" s="396"/>
      <c r="S640" s="410"/>
      <c r="T640" s="409"/>
      <c r="U640" s="398" t="str">
        <f t="shared" si="26"/>
        <v/>
      </c>
      <c r="V640" s="400"/>
      <c r="W640" s="410">
        <f t="shared" si="28"/>
        <v>29.8</v>
      </c>
      <c r="X640" s="472">
        <f t="shared" si="27"/>
        <v>60</v>
      </c>
      <c r="Z640" s="272"/>
      <c r="AA640" s="272"/>
      <c r="AB640" s="272"/>
      <c r="AT640" s="194"/>
      <c r="AU640" s="194"/>
      <c r="AV640" s="198"/>
      <c r="AW640" s="230"/>
      <c r="AX640" s="161"/>
      <c r="AY640" s="491"/>
      <c r="AZ640" s="161"/>
      <c r="BA640" s="491"/>
      <c r="BB640" s="270"/>
      <c r="BC640" s="359"/>
      <c r="BD640" s="270"/>
      <c r="BE640" s="359"/>
      <c r="BF640" s="270"/>
      <c r="BG640" s="359"/>
    </row>
    <row r="641" spans="2:59" s="197" customFormat="1" x14ac:dyDescent="0.25">
      <c r="B641" s="274">
        <v>17.8</v>
      </c>
      <c r="C641" s="274">
        <v>75</v>
      </c>
      <c r="D641" s="274">
        <v>17.8</v>
      </c>
      <c r="E641" s="274">
        <v>3.2</v>
      </c>
      <c r="F641" s="274">
        <v>3.6</v>
      </c>
      <c r="G641" s="274">
        <v>30</v>
      </c>
      <c r="H641" s="274">
        <v>1023.5</v>
      </c>
      <c r="I641" s="274">
        <v>39726</v>
      </c>
      <c r="J641" s="274">
        <v>0</v>
      </c>
      <c r="K641" s="274">
        <v>0</v>
      </c>
      <c r="L641" s="274">
        <v>0</v>
      </c>
      <c r="M641" s="274">
        <v>65.3</v>
      </c>
      <c r="N641" s="396">
        <v>599.79999999999995</v>
      </c>
      <c r="O641" s="396">
        <v>30</v>
      </c>
      <c r="P641" s="396">
        <v>29.3</v>
      </c>
      <c r="Q641" s="397">
        <v>0.43888888888888899</v>
      </c>
      <c r="R641" s="396"/>
      <c r="S641" s="410"/>
      <c r="T641" s="409"/>
      <c r="U641" s="398" t="str">
        <f t="shared" si="26"/>
        <v/>
      </c>
      <c r="V641" s="400"/>
      <c r="W641" s="410">
        <f t="shared" si="28"/>
        <v>30</v>
      </c>
      <c r="X641" s="472">
        <f t="shared" si="27"/>
        <v>60</v>
      </c>
      <c r="Z641" s="272"/>
      <c r="AA641" s="272"/>
      <c r="AB641" s="272"/>
      <c r="AT641" s="194"/>
      <c r="AU641" s="194"/>
      <c r="AV641" s="198"/>
      <c r="AW641" s="230"/>
      <c r="AX641" s="161"/>
      <c r="AY641" s="491"/>
      <c r="AZ641" s="161"/>
      <c r="BA641" s="491"/>
      <c r="BB641" s="270"/>
      <c r="BC641" s="359"/>
      <c r="BD641" s="270"/>
      <c r="BE641" s="359"/>
      <c r="BF641" s="270"/>
      <c r="BG641" s="359"/>
    </row>
    <row r="642" spans="2:59" s="197" customFormat="1" x14ac:dyDescent="0.25">
      <c r="B642" s="274">
        <v>17.8</v>
      </c>
      <c r="C642" s="274">
        <v>75</v>
      </c>
      <c r="D642" s="274">
        <v>17.8</v>
      </c>
      <c r="E642" s="274">
        <v>2.9</v>
      </c>
      <c r="F642" s="274">
        <v>3.6</v>
      </c>
      <c r="G642" s="274">
        <v>32</v>
      </c>
      <c r="H642" s="274">
        <v>1023.5</v>
      </c>
      <c r="I642" s="274">
        <v>43136</v>
      </c>
      <c r="J642" s="274">
        <v>0</v>
      </c>
      <c r="K642" s="274">
        <v>0</v>
      </c>
      <c r="L642" s="274">
        <v>0</v>
      </c>
      <c r="M642" s="274">
        <v>65.3</v>
      </c>
      <c r="N642" s="396">
        <v>599.79999999999995</v>
      </c>
      <c r="O642" s="396">
        <v>30.1</v>
      </c>
      <c r="P642" s="396">
        <v>29.3</v>
      </c>
      <c r="Q642" s="397">
        <v>0.43958333333333299</v>
      </c>
      <c r="R642" s="396"/>
      <c r="S642" s="410"/>
      <c r="T642" s="409"/>
      <c r="U642" s="398" t="str">
        <f t="shared" si="26"/>
        <v/>
      </c>
      <c r="V642" s="400"/>
      <c r="W642" s="410">
        <f t="shared" si="28"/>
        <v>30.1</v>
      </c>
      <c r="X642" s="472">
        <f t="shared" si="27"/>
        <v>60</v>
      </c>
      <c r="Z642" s="272"/>
      <c r="AA642" s="272"/>
      <c r="AB642" s="272"/>
      <c r="AT642" s="194"/>
      <c r="AU642" s="194"/>
      <c r="AV642" s="198"/>
      <c r="AW642" s="230"/>
      <c r="AX642" s="161"/>
      <c r="AY642" s="491"/>
      <c r="AZ642" s="161"/>
      <c r="BA642" s="491"/>
      <c r="BB642" s="270"/>
      <c r="BC642" s="359"/>
      <c r="BD642" s="270"/>
      <c r="BE642" s="359"/>
      <c r="BF642" s="270"/>
      <c r="BG642" s="359"/>
    </row>
    <row r="643" spans="2:59" s="197" customFormat="1" x14ac:dyDescent="0.25">
      <c r="B643" s="274">
        <v>17.600000000000001</v>
      </c>
      <c r="C643" s="274">
        <v>75</v>
      </c>
      <c r="D643" s="274">
        <v>17.600000000000001</v>
      </c>
      <c r="E643" s="274">
        <v>0.4</v>
      </c>
      <c r="F643" s="274">
        <v>1.8</v>
      </c>
      <c r="G643" s="274">
        <v>33</v>
      </c>
      <c r="H643" s="274">
        <v>1023.6</v>
      </c>
      <c r="I643" s="274">
        <v>44841</v>
      </c>
      <c r="J643" s="274">
        <v>0</v>
      </c>
      <c r="K643" s="274">
        <v>0</v>
      </c>
      <c r="L643" s="274">
        <v>0</v>
      </c>
      <c r="M643" s="274">
        <v>65.3</v>
      </c>
      <c r="N643" s="396">
        <v>599.79999999999995</v>
      </c>
      <c r="O643" s="396">
        <v>30.2</v>
      </c>
      <c r="P643" s="396">
        <v>29.4</v>
      </c>
      <c r="Q643" s="397">
        <v>0.44027777777777799</v>
      </c>
      <c r="R643" s="396"/>
      <c r="S643" s="410"/>
      <c r="T643" s="409"/>
      <c r="U643" s="398" t="str">
        <f t="shared" si="26"/>
        <v/>
      </c>
      <c r="V643" s="400"/>
      <c r="W643" s="410">
        <f t="shared" si="28"/>
        <v>30.2</v>
      </c>
      <c r="X643" s="472">
        <f t="shared" si="27"/>
        <v>60</v>
      </c>
      <c r="Z643" s="272"/>
      <c r="AA643" s="272"/>
      <c r="AB643" s="272"/>
      <c r="AT643" s="194"/>
      <c r="AU643" s="194"/>
      <c r="AV643" s="198"/>
      <c r="AW643" s="230"/>
      <c r="AX643" s="161"/>
      <c r="AY643" s="491"/>
      <c r="AZ643" s="161"/>
      <c r="BA643" s="491"/>
      <c r="BB643" s="270"/>
      <c r="BC643" s="359"/>
      <c r="BD643" s="270"/>
      <c r="BE643" s="359"/>
      <c r="BF643" s="270"/>
      <c r="BG643" s="359"/>
    </row>
    <row r="644" spans="2:59" s="197" customFormat="1" x14ac:dyDescent="0.25">
      <c r="B644" s="274">
        <v>17.8</v>
      </c>
      <c r="C644" s="274">
        <v>74</v>
      </c>
      <c r="D644" s="274">
        <v>17.8</v>
      </c>
      <c r="E644" s="274">
        <v>2.9</v>
      </c>
      <c r="F644" s="274">
        <v>3.6</v>
      </c>
      <c r="G644" s="274">
        <v>56</v>
      </c>
      <c r="H644" s="274">
        <v>1023.7</v>
      </c>
      <c r="I644" s="274">
        <v>46050</v>
      </c>
      <c r="J644" s="274">
        <v>0</v>
      </c>
      <c r="K644" s="274">
        <v>0</v>
      </c>
      <c r="L644" s="274">
        <v>0</v>
      </c>
      <c r="M644" s="274">
        <v>65.3</v>
      </c>
      <c r="N644" s="396">
        <v>599.79999999999995</v>
      </c>
      <c r="O644" s="396">
        <v>30.3</v>
      </c>
      <c r="P644" s="396">
        <v>29.5</v>
      </c>
      <c r="Q644" s="397">
        <v>0.44097222222222199</v>
      </c>
      <c r="R644" s="396"/>
      <c r="S644" s="410"/>
      <c r="T644" s="409"/>
      <c r="U644" s="398" t="str">
        <f t="shared" si="26"/>
        <v/>
      </c>
      <c r="V644" s="400"/>
      <c r="W644" s="410">
        <f t="shared" si="28"/>
        <v>30.3</v>
      </c>
      <c r="X644" s="472">
        <f t="shared" si="27"/>
        <v>60</v>
      </c>
      <c r="Z644" s="272"/>
      <c r="AA644" s="272"/>
      <c r="AB644" s="272"/>
      <c r="AT644" s="194"/>
      <c r="AU644" s="194"/>
      <c r="AV644" s="198"/>
      <c r="AW644" s="230"/>
      <c r="AX644" s="161"/>
      <c r="AY644" s="491"/>
      <c r="AZ644" s="161"/>
      <c r="BA644" s="491"/>
      <c r="BB644" s="270"/>
      <c r="BC644" s="359"/>
      <c r="BD644" s="270"/>
      <c r="BE644" s="359"/>
      <c r="BF644" s="270"/>
      <c r="BG644" s="359"/>
    </row>
    <row r="645" spans="2:59" s="197" customFormat="1" x14ac:dyDescent="0.25">
      <c r="B645" s="274">
        <v>17.8</v>
      </c>
      <c r="C645" s="274">
        <v>75</v>
      </c>
      <c r="D645" s="274">
        <v>17.8</v>
      </c>
      <c r="E645" s="274">
        <v>1.8</v>
      </c>
      <c r="F645" s="274">
        <v>3.6</v>
      </c>
      <c r="G645" s="274">
        <v>52</v>
      </c>
      <c r="H645" s="274">
        <v>1023.7</v>
      </c>
      <c r="I645" s="274">
        <v>47151</v>
      </c>
      <c r="J645" s="274">
        <v>0</v>
      </c>
      <c r="K645" s="274">
        <v>0</v>
      </c>
      <c r="L645" s="274">
        <v>0</v>
      </c>
      <c r="M645" s="274">
        <v>65.3</v>
      </c>
      <c r="N645" s="396">
        <v>599.79999999999995</v>
      </c>
      <c r="O645" s="396">
        <v>30.4</v>
      </c>
      <c r="P645" s="396">
        <v>29.6</v>
      </c>
      <c r="Q645" s="397">
        <v>0.44166666666666698</v>
      </c>
      <c r="R645" s="396"/>
      <c r="S645" s="410"/>
      <c r="T645" s="409"/>
      <c r="U645" s="398" t="str">
        <f t="shared" si="26"/>
        <v/>
      </c>
      <c r="V645" s="400"/>
      <c r="W645" s="410">
        <f t="shared" si="28"/>
        <v>30.4</v>
      </c>
      <c r="X645" s="472">
        <f t="shared" si="27"/>
        <v>60</v>
      </c>
      <c r="Z645" s="272"/>
      <c r="AA645" s="272"/>
      <c r="AB645" s="272"/>
      <c r="AT645" s="194"/>
      <c r="AU645" s="194"/>
      <c r="AV645" s="198"/>
      <c r="AW645" s="230"/>
      <c r="AX645" s="161"/>
      <c r="AY645" s="491"/>
      <c r="AZ645" s="161"/>
      <c r="BA645" s="491"/>
      <c r="BB645" s="270"/>
      <c r="BC645" s="359"/>
      <c r="BD645" s="270"/>
      <c r="BE645" s="359"/>
      <c r="BF645" s="270"/>
      <c r="BG645" s="359"/>
    </row>
    <row r="646" spans="2:59" s="197" customFormat="1" x14ac:dyDescent="0.25">
      <c r="B646" s="274">
        <v>17.7</v>
      </c>
      <c r="C646" s="274">
        <v>74</v>
      </c>
      <c r="D646" s="274">
        <v>17.7</v>
      </c>
      <c r="E646" s="274">
        <v>2.5</v>
      </c>
      <c r="F646" s="274">
        <v>3.6</v>
      </c>
      <c r="G646" s="274">
        <v>87</v>
      </c>
      <c r="H646" s="274">
        <v>1023.7</v>
      </c>
      <c r="I646" s="274">
        <v>48422</v>
      </c>
      <c r="J646" s="274">
        <v>0</v>
      </c>
      <c r="K646" s="274">
        <v>0</v>
      </c>
      <c r="L646" s="274">
        <v>0</v>
      </c>
      <c r="M646" s="274">
        <v>65.3</v>
      </c>
      <c r="N646" s="396">
        <v>599.79999999999995</v>
      </c>
      <c r="O646" s="396">
        <v>30.5</v>
      </c>
      <c r="P646" s="396">
        <v>29.7</v>
      </c>
      <c r="Q646" s="397">
        <v>0.44236111111111098</v>
      </c>
      <c r="R646" s="396"/>
      <c r="S646" s="410"/>
      <c r="T646" s="409"/>
      <c r="U646" s="398" t="str">
        <f t="shared" si="26"/>
        <v/>
      </c>
      <c r="V646" s="400"/>
      <c r="W646" s="410">
        <f t="shared" si="28"/>
        <v>30.5</v>
      </c>
      <c r="X646" s="472">
        <f t="shared" si="27"/>
        <v>60</v>
      </c>
      <c r="Z646" s="272"/>
      <c r="AA646" s="272"/>
      <c r="AB646" s="272"/>
      <c r="AT646" s="194"/>
      <c r="AU646" s="194"/>
      <c r="AV646" s="198"/>
      <c r="AW646" s="230"/>
      <c r="AX646" s="161"/>
      <c r="AY646" s="491"/>
      <c r="AZ646" s="161"/>
      <c r="BA646" s="491"/>
      <c r="BB646" s="270"/>
      <c r="BC646" s="359"/>
      <c r="BD646" s="270"/>
      <c r="BE646" s="359"/>
      <c r="BF646" s="270"/>
      <c r="BG646" s="359"/>
    </row>
    <row r="647" spans="2:59" s="197" customFormat="1" x14ac:dyDescent="0.25">
      <c r="B647" s="274">
        <v>17.7</v>
      </c>
      <c r="C647" s="274">
        <v>74</v>
      </c>
      <c r="D647" s="274">
        <v>17.7</v>
      </c>
      <c r="E647" s="274">
        <v>1.8</v>
      </c>
      <c r="F647" s="274">
        <v>1.8</v>
      </c>
      <c r="G647" s="274">
        <v>75</v>
      </c>
      <c r="H647" s="274">
        <v>1023.7</v>
      </c>
      <c r="I647" s="274">
        <v>48964</v>
      </c>
      <c r="J647" s="274">
        <v>0</v>
      </c>
      <c r="K647" s="274">
        <v>0</v>
      </c>
      <c r="L647" s="274">
        <v>0</v>
      </c>
      <c r="M647" s="274">
        <v>65.3</v>
      </c>
      <c r="N647" s="396">
        <v>599.79999999999995</v>
      </c>
      <c r="O647" s="396">
        <v>30.5</v>
      </c>
      <c r="P647" s="396">
        <v>29.7</v>
      </c>
      <c r="Q647" s="397">
        <v>0.44305555555555598</v>
      </c>
      <c r="R647" s="396"/>
      <c r="S647" s="410"/>
      <c r="T647" s="409"/>
      <c r="U647" s="398" t="str">
        <f t="shared" si="26"/>
        <v/>
      </c>
      <c r="V647" s="400"/>
      <c r="W647" s="410">
        <f t="shared" si="28"/>
        <v>30.5</v>
      </c>
      <c r="X647" s="472">
        <f t="shared" si="27"/>
        <v>60</v>
      </c>
      <c r="Z647" s="272"/>
      <c r="AA647" s="272"/>
      <c r="AB647" s="272"/>
      <c r="AT647" s="194"/>
      <c r="AU647" s="194"/>
      <c r="AV647" s="198"/>
      <c r="AW647" s="230"/>
      <c r="AX647" s="161"/>
      <c r="AY647" s="491"/>
      <c r="AZ647" s="161"/>
      <c r="BA647" s="491"/>
      <c r="BB647" s="270"/>
      <c r="BC647" s="359"/>
      <c r="BD647" s="270"/>
      <c r="BE647" s="359"/>
      <c r="BF647" s="270"/>
      <c r="BG647" s="359"/>
    </row>
    <row r="648" spans="2:59" s="197" customFormat="1" x14ac:dyDescent="0.25">
      <c r="B648" s="274">
        <v>17.899999999999999</v>
      </c>
      <c r="C648" s="274">
        <v>73</v>
      </c>
      <c r="D648" s="274">
        <v>17.899999999999999</v>
      </c>
      <c r="E648" s="274">
        <v>3.2</v>
      </c>
      <c r="F648" s="274">
        <v>5.4</v>
      </c>
      <c r="G648" s="274">
        <v>52</v>
      </c>
      <c r="H648" s="274">
        <v>1023.7</v>
      </c>
      <c r="I648" s="274">
        <v>49786</v>
      </c>
      <c r="J648" s="274">
        <v>0</v>
      </c>
      <c r="K648" s="274">
        <v>0</v>
      </c>
      <c r="L648" s="274">
        <v>0</v>
      </c>
      <c r="M648" s="274">
        <v>65.3</v>
      </c>
      <c r="N648" s="396">
        <v>599.79999999999995</v>
      </c>
      <c r="O648" s="396">
        <v>30.6</v>
      </c>
      <c r="P648" s="396">
        <v>29.8</v>
      </c>
      <c r="Q648" s="397">
        <v>0.44374999999999998</v>
      </c>
      <c r="R648" s="396"/>
      <c r="S648" s="410"/>
      <c r="T648" s="409"/>
      <c r="U648" s="398" t="str">
        <f t="shared" si="26"/>
        <v/>
      </c>
      <c r="V648" s="400"/>
      <c r="W648" s="410">
        <f t="shared" si="28"/>
        <v>30.6</v>
      </c>
      <c r="X648" s="472">
        <f t="shared" si="27"/>
        <v>60</v>
      </c>
      <c r="Z648" s="272"/>
      <c r="AA648" s="272"/>
      <c r="AB648" s="272"/>
      <c r="AT648" s="194"/>
      <c r="AU648" s="194"/>
      <c r="AV648" s="198"/>
      <c r="AW648" s="230"/>
      <c r="AX648" s="161"/>
      <c r="AY648" s="491"/>
      <c r="AZ648" s="161"/>
      <c r="BA648" s="491"/>
      <c r="BB648" s="270"/>
      <c r="BC648" s="359"/>
      <c r="BD648" s="270"/>
      <c r="BE648" s="359"/>
      <c r="BF648" s="270"/>
      <c r="BG648" s="359"/>
    </row>
    <row r="649" spans="2:59" s="197" customFormat="1" x14ac:dyDescent="0.25">
      <c r="B649" s="274">
        <v>17.899999999999999</v>
      </c>
      <c r="C649" s="274">
        <v>74</v>
      </c>
      <c r="D649" s="274">
        <v>17.899999999999999</v>
      </c>
      <c r="E649" s="274">
        <v>1.4</v>
      </c>
      <c r="F649" s="274">
        <v>1.8</v>
      </c>
      <c r="G649" s="274">
        <v>47</v>
      </c>
      <c r="H649" s="274">
        <v>1023.6</v>
      </c>
      <c r="I649" s="274">
        <v>50499</v>
      </c>
      <c r="J649" s="274">
        <v>0</v>
      </c>
      <c r="K649" s="274">
        <v>0</v>
      </c>
      <c r="L649" s="274">
        <v>0</v>
      </c>
      <c r="M649" s="274">
        <v>65.3</v>
      </c>
      <c r="N649" s="396">
        <v>599.79999999999995</v>
      </c>
      <c r="O649" s="396">
        <v>30.7</v>
      </c>
      <c r="P649" s="396">
        <v>29.8</v>
      </c>
      <c r="Q649" s="397">
        <v>0.44444444444444398</v>
      </c>
      <c r="R649" s="396"/>
      <c r="S649" s="410"/>
      <c r="T649" s="409"/>
      <c r="U649" s="398" t="str">
        <f t="shared" si="26"/>
        <v/>
      </c>
      <c r="V649" s="400"/>
      <c r="W649" s="410">
        <f t="shared" si="28"/>
        <v>30.7</v>
      </c>
      <c r="X649" s="472">
        <f t="shared" si="27"/>
        <v>60</v>
      </c>
      <c r="Z649" s="272"/>
      <c r="AA649" s="272"/>
      <c r="AB649" s="272"/>
      <c r="AT649" s="194"/>
      <c r="AU649" s="194"/>
      <c r="AV649" s="198"/>
      <c r="AW649" s="230"/>
      <c r="AX649" s="161"/>
      <c r="AY649" s="491"/>
      <c r="AZ649" s="161"/>
      <c r="BA649" s="491"/>
      <c r="BB649" s="270"/>
      <c r="BC649" s="359"/>
      <c r="BD649" s="270"/>
      <c r="BE649" s="359"/>
      <c r="BF649" s="270"/>
      <c r="BG649" s="359"/>
    </row>
    <row r="650" spans="2:59" s="197" customFormat="1" x14ac:dyDescent="0.25">
      <c r="B650" s="274">
        <v>17.7</v>
      </c>
      <c r="C650" s="274">
        <v>75</v>
      </c>
      <c r="D650" s="274">
        <v>17.7</v>
      </c>
      <c r="E650" s="274">
        <v>1.4</v>
      </c>
      <c r="F650" s="274">
        <v>1.8</v>
      </c>
      <c r="G650" s="274">
        <v>47</v>
      </c>
      <c r="H650" s="274">
        <v>1023.7</v>
      </c>
      <c r="I650" s="274">
        <v>51444</v>
      </c>
      <c r="J650" s="274">
        <v>0</v>
      </c>
      <c r="K650" s="274">
        <v>0</v>
      </c>
      <c r="L650" s="274">
        <v>0</v>
      </c>
      <c r="M650" s="274">
        <v>65.3</v>
      </c>
      <c r="N650" s="396">
        <v>599.79999999999995</v>
      </c>
      <c r="O650" s="396">
        <v>30.8</v>
      </c>
      <c r="P650" s="396">
        <v>29.8</v>
      </c>
      <c r="Q650" s="397">
        <v>0.44513888888888897</v>
      </c>
      <c r="R650" s="396"/>
      <c r="S650" s="410"/>
      <c r="T650" s="409"/>
      <c r="U650" s="398" t="str">
        <f t="shared" si="26"/>
        <v/>
      </c>
      <c r="V650" s="400"/>
      <c r="W650" s="410">
        <f t="shared" si="28"/>
        <v>30.8</v>
      </c>
      <c r="X650" s="472">
        <f t="shared" si="27"/>
        <v>60</v>
      </c>
      <c r="Z650" s="272"/>
      <c r="AA650" s="272"/>
      <c r="AB650" s="272"/>
      <c r="AT650" s="194"/>
      <c r="AU650" s="194"/>
      <c r="AV650" s="198"/>
      <c r="AW650" s="230"/>
      <c r="AX650" s="161"/>
      <c r="AY650" s="491"/>
      <c r="AZ650" s="161"/>
      <c r="BA650" s="491"/>
      <c r="BB650" s="270"/>
      <c r="BC650" s="359"/>
      <c r="BD650" s="270"/>
      <c r="BE650" s="359"/>
      <c r="BF650" s="270"/>
      <c r="BG650" s="359"/>
    </row>
    <row r="651" spans="2:59" s="197" customFormat="1" x14ac:dyDescent="0.25">
      <c r="B651" s="274">
        <v>17.7</v>
      </c>
      <c r="C651" s="274">
        <v>74</v>
      </c>
      <c r="D651" s="274">
        <v>17.7</v>
      </c>
      <c r="E651" s="274">
        <v>2.2000000000000002</v>
      </c>
      <c r="F651" s="274">
        <v>3.6</v>
      </c>
      <c r="G651" s="274">
        <v>39</v>
      </c>
      <c r="H651" s="274">
        <v>1023.6</v>
      </c>
      <c r="I651" s="274">
        <v>52374</v>
      </c>
      <c r="J651" s="274">
        <v>0</v>
      </c>
      <c r="K651" s="274">
        <v>0</v>
      </c>
      <c r="L651" s="274">
        <v>0</v>
      </c>
      <c r="M651" s="274">
        <v>65.3</v>
      </c>
      <c r="N651" s="396">
        <v>599.79999999999995</v>
      </c>
      <c r="O651" s="396">
        <v>30.8</v>
      </c>
      <c r="P651" s="396">
        <v>30</v>
      </c>
      <c r="Q651" s="397">
        <v>0.44583333333333303</v>
      </c>
      <c r="R651" s="396"/>
      <c r="S651" s="410"/>
      <c r="T651" s="409"/>
      <c r="U651" s="398" t="str">
        <f t="shared" ref="U651:U714" si="29">IF(J651&gt;0,60,"")</f>
        <v/>
      </c>
      <c r="V651" s="400"/>
      <c r="W651" s="410">
        <f t="shared" si="28"/>
        <v>30.8</v>
      </c>
      <c r="X651" s="472">
        <f t="shared" si="27"/>
        <v>60</v>
      </c>
      <c r="Z651" s="272"/>
      <c r="AA651" s="272"/>
      <c r="AB651" s="272"/>
      <c r="AT651" s="194"/>
      <c r="AU651" s="194"/>
      <c r="AV651" s="198"/>
      <c r="AW651" s="230"/>
      <c r="AX651" s="161"/>
      <c r="AY651" s="491"/>
      <c r="AZ651" s="161"/>
      <c r="BA651" s="491"/>
      <c r="BB651" s="270"/>
      <c r="BC651" s="359"/>
      <c r="BD651" s="270"/>
      <c r="BE651" s="359"/>
      <c r="BF651" s="270"/>
      <c r="BG651" s="359"/>
    </row>
    <row r="652" spans="2:59" s="197" customFormat="1" x14ac:dyDescent="0.25">
      <c r="B652" s="274">
        <v>17.7</v>
      </c>
      <c r="C652" s="274">
        <v>75</v>
      </c>
      <c r="D652" s="274">
        <v>17.7</v>
      </c>
      <c r="E652" s="274">
        <v>4</v>
      </c>
      <c r="F652" s="274">
        <v>5.4</v>
      </c>
      <c r="G652" s="274">
        <v>21</v>
      </c>
      <c r="H652" s="274">
        <v>1023.6</v>
      </c>
      <c r="I652" s="274">
        <v>53800</v>
      </c>
      <c r="J652" s="274">
        <v>0</v>
      </c>
      <c r="K652" s="274">
        <v>0</v>
      </c>
      <c r="L652" s="274">
        <v>0</v>
      </c>
      <c r="M652" s="274">
        <v>65.3</v>
      </c>
      <c r="N652" s="396">
        <v>599.79999999999995</v>
      </c>
      <c r="O652" s="396">
        <v>30.9</v>
      </c>
      <c r="P652" s="396">
        <v>30.1</v>
      </c>
      <c r="Q652" s="397">
        <v>0.44652777777777802</v>
      </c>
      <c r="R652" s="396"/>
      <c r="S652" s="410"/>
      <c r="T652" s="409"/>
      <c r="U652" s="398" t="str">
        <f t="shared" si="29"/>
        <v/>
      </c>
      <c r="V652" s="400"/>
      <c r="W652" s="410">
        <f t="shared" si="28"/>
        <v>30.9</v>
      </c>
      <c r="X652" s="472">
        <f t="shared" si="27"/>
        <v>60</v>
      </c>
      <c r="Z652" s="272"/>
      <c r="AA652" s="272"/>
      <c r="AB652" s="272"/>
      <c r="AT652" s="194"/>
      <c r="AU652" s="194"/>
      <c r="AV652" s="198"/>
      <c r="AW652" s="230"/>
      <c r="AX652" s="161"/>
      <c r="AY652" s="491"/>
      <c r="AZ652" s="161"/>
      <c r="BA652" s="491"/>
      <c r="BB652" s="270"/>
      <c r="BC652" s="359"/>
      <c r="BD652" s="270"/>
      <c r="BE652" s="359"/>
      <c r="BF652" s="270"/>
      <c r="BG652" s="359"/>
    </row>
    <row r="653" spans="2:59" s="197" customFormat="1" x14ac:dyDescent="0.25">
      <c r="B653" s="274">
        <v>17.7</v>
      </c>
      <c r="C653" s="274">
        <v>74</v>
      </c>
      <c r="D653" s="274">
        <v>17.7</v>
      </c>
      <c r="E653" s="274">
        <v>0.4</v>
      </c>
      <c r="F653" s="274">
        <v>1.8</v>
      </c>
      <c r="G653" s="274">
        <v>36</v>
      </c>
      <c r="H653" s="274">
        <v>1023.7</v>
      </c>
      <c r="I653" s="274">
        <v>54901</v>
      </c>
      <c r="J653" s="274">
        <v>0</v>
      </c>
      <c r="K653" s="274">
        <v>0</v>
      </c>
      <c r="L653" s="274">
        <v>0</v>
      </c>
      <c r="M653" s="274">
        <v>65.3</v>
      </c>
      <c r="N653" s="396">
        <v>599.79999999999995</v>
      </c>
      <c r="O653" s="396">
        <v>31</v>
      </c>
      <c r="P653" s="396">
        <v>30.2</v>
      </c>
      <c r="Q653" s="397">
        <v>0.44722222222222202</v>
      </c>
      <c r="R653" s="396"/>
      <c r="S653" s="410"/>
      <c r="T653" s="409"/>
      <c r="U653" s="398" t="str">
        <f t="shared" si="29"/>
        <v/>
      </c>
      <c r="V653" s="400"/>
      <c r="W653" s="410">
        <f t="shared" si="28"/>
        <v>31</v>
      </c>
      <c r="X653" s="472">
        <f t="shared" si="27"/>
        <v>60</v>
      </c>
      <c r="Z653" s="272"/>
      <c r="AA653" s="272"/>
      <c r="AB653" s="272"/>
      <c r="AT653" s="194"/>
      <c r="AU653" s="194"/>
      <c r="AV653" s="198"/>
      <c r="AW653" s="230"/>
      <c r="AX653" s="161"/>
      <c r="AY653" s="491"/>
      <c r="AZ653" s="161"/>
      <c r="BA653" s="491"/>
      <c r="BB653" s="270"/>
      <c r="BC653" s="359"/>
      <c r="BD653" s="270"/>
      <c r="BE653" s="359"/>
      <c r="BF653" s="270"/>
      <c r="BG653" s="359"/>
    </row>
    <row r="654" spans="2:59" s="197" customFormat="1" x14ac:dyDescent="0.25">
      <c r="B654" s="274">
        <v>17.7</v>
      </c>
      <c r="C654" s="274">
        <v>74</v>
      </c>
      <c r="D654" s="274">
        <v>17.7</v>
      </c>
      <c r="E654" s="274">
        <v>1.4</v>
      </c>
      <c r="F654" s="274">
        <v>1.8</v>
      </c>
      <c r="G654" s="274">
        <v>357</v>
      </c>
      <c r="H654" s="274">
        <v>1023.6</v>
      </c>
      <c r="I654" s="274">
        <v>55893</v>
      </c>
      <c r="J654" s="274">
        <v>0</v>
      </c>
      <c r="K654" s="274">
        <v>0</v>
      </c>
      <c r="L654" s="274">
        <v>0</v>
      </c>
      <c r="M654" s="274">
        <v>65.3</v>
      </c>
      <c r="N654" s="396">
        <v>599.79999999999995</v>
      </c>
      <c r="O654" s="396">
        <v>31</v>
      </c>
      <c r="P654" s="396">
        <v>30.3</v>
      </c>
      <c r="Q654" s="397">
        <v>0.44791666666666702</v>
      </c>
      <c r="R654" s="396"/>
      <c r="S654" s="410"/>
      <c r="T654" s="409"/>
      <c r="U654" s="398" t="str">
        <f t="shared" si="29"/>
        <v/>
      </c>
      <c r="V654" s="400"/>
      <c r="W654" s="410">
        <f t="shared" si="28"/>
        <v>31</v>
      </c>
      <c r="X654" s="472">
        <f t="shared" si="27"/>
        <v>60</v>
      </c>
      <c r="Z654" s="272"/>
      <c r="AA654" s="272"/>
      <c r="AB654" s="272"/>
      <c r="AT654" s="194"/>
      <c r="AU654" s="194"/>
      <c r="AV654" s="198"/>
      <c r="AW654" s="230"/>
      <c r="AX654" s="161"/>
      <c r="AY654" s="491"/>
      <c r="AZ654" s="161"/>
      <c r="BA654" s="491"/>
      <c r="BB654" s="270"/>
      <c r="BC654" s="359"/>
      <c r="BD654" s="270"/>
      <c r="BE654" s="359"/>
      <c r="BF654" s="270"/>
      <c r="BG654" s="359"/>
    </row>
    <row r="655" spans="2:59" s="197" customFormat="1" x14ac:dyDescent="0.25">
      <c r="B655" s="274">
        <v>17.899999999999999</v>
      </c>
      <c r="C655" s="274">
        <v>73</v>
      </c>
      <c r="D655" s="274">
        <v>17.899999999999999</v>
      </c>
      <c r="E655" s="274">
        <v>0.4</v>
      </c>
      <c r="F655" s="274">
        <v>1.8</v>
      </c>
      <c r="G655" s="274">
        <v>62</v>
      </c>
      <c r="H655" s="274">
        <v>1023.8</v>
      </c>
      <c r="I655" s="274">
        <v>56606</v>
      </c>
      <c r="J655" s="274">
        <v>0</v>
      </c>
      <c r="K655" s="274">
        <v>0</v>
      </c>
      <c r="L655" s="274">
        <v>0</v>
      </c>
      <c r="M655" s="274">
        <v>65.3</v>
      </c>
      <c r="N655" s="396">
        <v>599.79999999999995</v>
      </c>
      <c r="O655" s="396">
        <v>31.1</v>
      </c>
      <c r="P655" s="396">
        <v>30.4</v>
      </c>
      <c r="Q655" s="397">
        <v>0.44861111111111102</v>
      </c>
      <c r="R655" s="396"/>
      <c r="S655" s="410"/>
      <c r="T655" s="409"/>
      <c r="U655" s="398" t="str">
        <f t="shared" si="29"/>
        <v/>
      </c>
      <c r="V655" s="400"/>
      <c r="W655" s="410">
        <f t="shared" si="28"/>
        <v>31.1</v>
      </c>
      <c r="X655" s="472">
        <f t="shared" si="27"/>
        <v>60</v>
      </c>
      <c r="Z655" s="272"/>
      <c r="AA655" s="272"/>
      <c r="AB655" s="272"/>
      <c r="AT655" s="194"/>
      <c r="AU655" s="194"/>
      <c r="AV655" s="198"/>
      <c r="AW655" s="230"/>
      <c r="AX655" s="161"/>
      <c r="AY655" s="491"/>
      <c r="AZ655" s="161"/>
      <c r="BA655" s="491"/>
      <c r="BB655" s="270"/>
      <c r="BC655" s="359"/>
      <c r="BD655" s="270"/>
      <c r="BE655" s="359"/>
      <c r="BF655" s="270"/>
      <c r="BG655" s="359"/>
    </row>
    <row r="656" spans="2:59" s="197" customFormat="1" x14ac:dyDescent="0.25">
      <c r="B656" s="274">
        <v>18.2</v>
      </c>
      <c r="C656" s="274">
        <v>73</v>
      </c>
      <c r="D656" s="274">
        <v>18.2</v>
      </c>
      <c r="E656" s="274">
        <v>0.7</v>
      </c>
      <c r="F656" s="274">
        <v>1.8</v>
      </c>
      <c r="G656" s="274">
        <v>61</v>
      </c>
      <c r="H656" s="274">
        <v>1023.8</v>
      </c>
      <c r="I656" s="274">
        <v>57923</v>
      </c>
      <c r="J656" s="274">
        <v>0</v>
      </c>
      <c r="K656" s="274">
        <v>0</v>
      </c>
      <c r="L656" s="274">
        <v>0</v>
      </c>
      <c r="M656" s="274">
        <v>65.3</v>
      </c>
      <c r="N656" s="396">
        <v>599.79999999999995</v>
      </c>
      <c r="O656" s="396">
        <v>31.2</v>
      </c>
      <c r="P656" s="396">
        <v>30.5</v>
      </c>
      <c r="Q656" s="397">
        <v>0.44930555555555601</v>
      </c>
      <c r="R656" s="396"/>
      <c r="S656" s="410"/>
      <c r="T656" s="409"/>
      <c r="U656" s="398" t="str">
        <f t="shared" si="29"/>
        <v/>
      </c>
      <c r="V656" s="400"/>
      <c r="W656" s="410">
        <f t="shared" si="28"/>
        <v>31.2</v>
      </c>
      <c r="X656" s="472">
        <f t="shared" si="27"/>
        <v>60</v>
      </c>
      <c r="Z656" s="272"/>
      <c r="AA656" s="272"/>
      <c r="AB656" s="272"/>
      <c r="AT656" s="194"/>
      <c r="AU656" s="194"/>
      <c r="AV656" s="198"/>
      <c r="AW656" s="230"/>
      <c r="AX656" s="161"/>
      <c r="AY656" s="491"/>
      <c r="AZ656" s="161"/>
      <c r="BA656" s="491"/>
      <c r="BB656" s="270"/>
      <c r="BC656" s="359"/>
      <c r="BD656" s="270"/>
      <c r="BE656" s="359"/>
      <c r="BF656" s="270"/>
      <c r="BG656" s="359"/>
    </row>
    <row r="657" spans="2:59" s="197" customFormat="1" x14ac:dyDescent="0.25">
      <c r="B657" s="274">
        <v>18.2</v>
      </c>
      <c r="C657" s="274">
        <v>74</v>
      </c>
      <c r="D657" s="274">
        <v>18.2</v>
      </c>
      <c r="E657" s="274">
        <v>1.8</v>
      </c>
      <c r="F657" s="274">
        <v>3.6</v>
      </c>
      <c r="G657" s="274">
        <v>59</v>
      </c>
      <c r="H657" s="274">
        <v>1023.6</v>
      </c>
      <c r="I657" s="274">
        <v>59086</v>
      </c>
      <c r="J657" s="274">
        <v>0</v>
      </c>
      <c r="K657" s="274">
        <v>0</v>
      </c>
      <c r="L657" s="274">
        <v>0</v>
      </c>
      <c r="M657" s="274">
        <v>65.3</v>
      </c>
      <c r="N657" s="396">
        <v>599.79999999999995</v>
      </c>
      <c r="O657" s="396">
        <v>31.4</v>
      </c>
      <c r="P657" s="396">
        <v>30.6</v>
      </c>
      <c r="Q657" s="397">
        <v>0.45</v>
      </c>
      <c r="R657" s="396"/>
      <c r="S657" s="410"/>
      <c r="T657" s="409"/>
      <c r="U657" s="398" t="str">
        <f t="shared" si="29"/>
        <v/>
      </c>
      <c r="V657" s="400"/>
      <c r="W657" s="410">
        <f t="shared" si="28"/>
        <v>31.4</v>
      </c>
      <c r="X657" s="472">
        <f t="shared" ref="X657:X720" si="30">IF(W657&gt;B657+3,60,"")</f>
        <v>60</v>
      </c>
      <c r="Z657" s="272"/>
      <c r="AA657" s="272"/>
      <c r="AB657" s="272"/>
      <c r="AT657" s="194"/>
      <c r="AU657" s="194"/>
      <c r="AV657" s="198"/>
      <c r="AW657" s="230"/>
      <c r="AX657" s="161"/>
      <c r="AY657" s="491"/>
      <c r="AZ657" s="161"/>
      <c r="BA657" s="491"/>
      <c r="BB657" s="270"/>
      <c r="BC657" s="359"/>
      <c r="BD657" s="270"/>
      <c r="BE657" s="359"/>
      <c r="BF657" s="270"/>
      <c r="BG657" s="359"/>
    </row>
    <row r="658" spans="2:59" s="197" customFormat="1" x14ac:dyDescent="0.25">
      <c r="B658" s="274">
        <v>18.2</v>
      </c>
      <c r="C658" s="274">
        <v>73</v>
      </c>
      <c r="D658" s="274">
        <v>18.2</v>
      </c>
      <c r="E658" s="274">
        <v>2.2000000000000002</v>
      </c>
      <c r="F658" s="274">
        <v>3.6</v>
      </c>
      <c r="G658" s="274">
        <v>54</v>
      </c>
      <c r="H658" s="274">
        <v>1023.7</v>
      </c>
      <c r="I658" s="274">
        <v>60062</v>
      </c>
      <c r="J658" s="274">
        <v>0</v>
      </c>
      <c r="K658" s="274">
        <v>0</v>
      </c>
      <c r="L658" s="274">
        <v>0</v>
      </c>
      <c r="M658" s="274">
        <v>65.3</v>
      </c>
      <c r="N658" s="396">
        <v>599.79999999999995</v>
      </c>
      <c r="O658" s="396">
        <v>31.5</v>
      </c>
      <c r="P658" s="396">
        <v>30.7</v>
      </c>
      <c r="Q658" s="397">
        <v>0.45069444444444401</v>
      </c>
      <c r="R658" s="396"/>
      <c r="S658" s="410"/>
      <c r="T658" s="409"/>
      <c r="U658" s="398" t="str">
        <f t="shared" si="29"/>
        <v/>
      </c>
      <c r="V658" s="400"/>
      <c r="W658" s="410">
        <f t="shared" si="28"/>
        <v>31.5</v>
      </c>
      <c r="X658" s="472">
        <f t="shared" si="30"/>
        <v>60</v>
      </c>
      <c r="Z658" s="272"/>
      <c r="AA658" s="272"/>
      <c r="AB658" s="272"/>
      <c r="AT658" s="194"/>
      <c r="AU658" s="194"/>
      <c r="AV658" s="198"/>
      <c r="AW658" s="274"/>
      <c r="AX658" s="161"/>
      <c r="AY658" s="491"/>
      <c r="AZ658" s="161"/>
      <c r="BA658" s="491"/>
      <c r="BB658" s="270"/>
      <c r="BC658" s="359"/>
      <c r="BD658" s="270"/>
      <c r="BE658" s="359"/>
      <c r="BF658" s="270"/>
      <c r="BG658" s="359"/>
    </row>
    <row r="659" spans="2:59" x14ac:dyDescent="0.25">
      <c r="B659" s="274">
        <v>18.3</v>
      </c>
      <c r="C659" s="274">
        <v>72</v>
      </c>
      <c r="D659" s="274">
        <v>18.3</v>
      </c>
      <c r="E659" s="274">
        <v>2.9</v>
      </c>
      <c r="F659" s="274">
        <v>3.6</v>
      </c>
      <c r="G659" s="274">
        <v>24</v>
      </c>
      <c r="H659" s="274">
        <v>1023.9</v>
      </c>
      <c r="I659" s="274">
        <v>60667</v>
      </c>
      <c r="J659" s="274">
        <v>0</v>
      </c>
      <c r="K659" s="274">
        <v>0</v>
      </c>
      <c r="L659" s="274">
        <v>0</v>
      </c>
      <c r="M659" s="274">
        <v>65.3</v>
      </c>
      <c r="N659" s="396">
        <v>599.79999999999995</v>
      </c>
      <c r="O659" s="396">
        <v>31.7</v>
      </c>
      <c r="P659" s="396">
        <v>30.8</v>
      </c>
      <c r="Q659" s="397">
        <v>0.45138888888888901</v>
      </c>
      <c r="R659" s="396"/>
      <c r="S659" s="410"/>
      <c r="T659" s="409"/>
      <c r="U659" s="398" t="str">
        <f t="shared" si="29"/>
        <v/>
      </c>
      <c r="V659" s="400"/>
      <c r="W659" s="410">
        <f t="shared" si="28"/>
        <v>31.7</v>
      </c>
      <c r="X659" s="472">
        <f t="shared" si="30"/>
        <v>60</v>
      </c>
      <c r="AT659" s="232"/>
      <c r="AV659" s="198"/>
      <c r="AW659" s="274"/>
    </row>
    <row r="660" spans="2:59" x14ac:dyDescent="0.25">
      <c r="B660" s="274">
        <v>18.3</v>
      </c>
      <c r="C660" s="274">
        <v>73</v>
      </c>
      <c r="D660" s="274">
        <v>18.3</v>
      </c>
      <c r="E660" s="274">
        <v>1.4</v>
      </c>
      <c r="F660" s="274">
        <v>3.6</v>
      </c>
      <c r="G660" s="274">
        <v>94</v>
      </c>
      <c r="H660" s="274">
        <v>1023.5</v>
      </c>
      <c r="I660" s="274">
        <v>61008</v>
      </c>
      <c r="J660" s="274">
        <v>0</v>
      </c>
      <c r="K660" s="274">
        <v>0</v>
      </c>
      <c r="L660" s="274">
        <v>0</v>
      </c>
      <c r="M660" s="274">
        <v>65.3</v>
      </c>
      <c r="N660" s="396">
        <v>599.79999999999995</v>
      </c>
      <c r="O660" s="396">
        <v>31.8</v>
      </c>
      <c r="P660" s="396">
        <v>30.9</v>
      </c>
      <c r="Q660" s="397">
        <v>0.452083333333333</v>
      </c>
      <c r="R660" s="396"/>
      <c r="S660" s="410"/>
      <c r="T660" s="409"/>
      <c r="U660" s="398" t="str">
        <f t="shared" si="29"/>
        <v/>
      </c>
      <c r="V660" s="400"/>
      <c r="W660" s="410">
        <f t="shared" si="28"/>
        <v>31.8</v>
      </c>
      <c r="X660" s="472">
        <f t="shared" si="30"/>
        <v>60</v>
      </c>
      <c r="AT660" s="232"/>
      <c r="AV660" s="198"/>
      <c r="AW660" s="274"/>
    </row>
    <row r="661" spans="2:59" x14ac:dyDescent="0.25">
      <c r="B661" s="274">
        <v>18.2</v>
      </c>
      <c r="C661" s="274">
        <v>72</v>
      </c>
      <c r="D661" s="274">
        <v>18.2</v>
      </c>
      <c r="E661" s="274">
        <v>0.4</v>
      </c>
      <c r="F661" s="274">
        <v>1.8</v>
      </c>
      <c r="G661" s="274">
        <v>92</v>
      </c>
      <c r="H661" s="274">
        <v>1023.9</v>
      </c>
      <c r="I661" s="274">
        <v>61504</v>
      </c>
      <c r="J661" s="274">
        <v>0</v>
      </c>
      <c r="K661" s="274">
        <v>0</v>
      </c>
      <c r="L661" s="274">
        <v>0</v>
      </c>
      <c r="M661" s="274">
        <v>65.3</v>
      </c>
      <c r="N661" s="396">
        <v>599.79999999999995</v>
      </c>
      <c r="O661" s="396">
        <v>31.8</v>
      </c>
      <c r="P661" s="396">
        <v>31.1</v>
      </c>
      <c r="Q661" s="397">
        <v>0.452777777777778</v>
      </c>
      <c r="R661" s="396"/>
      <c r="S661" s="410"/>
      <c r="T661" s="409"/>
      <c r="U661" s="398" t="str">
        <f t="shared" si="29"/>
        <v/>
      </c>
      <c r="V661" s="400"/>
      <c r="W661" s="410">
        <f t="shared" si="28"/>
        <v>31.8</v>
      </c>
      <c r="X661" s="472">
        <f t="shared" si="30"/>
        <v>60</v>
      </c>
      <c r="AT661" s="232"/>
      <c r="AV661" s="198"/>
      <c r="AW661" s="274"/>
    </row>
    <row r="662" spans="2:59" x14ac:dyDescent="0.25">
      <c r="B662" s="274">
        <v>18.3</v>
      </c>
      <c r="C662" s="274">
        <v>72</v>
      </c>
      <c r="D662" s="274">
        <v>18.3</v>
      </c>
      <c r="E662" s="274">
        <v>1.8</v>
      </c>
      <c r="F662" s="274">
        <v>1.8</v>
      </c>
      <c r="G662" s="274">
        <v>101</v>
      </c>
      <c r="H662" s="274">
        <v>1023.9</v>
      </c>
      <c r="I662" s="274">
        <v>62108</v>
      </c>
      <c r="J662" s="274">
        <v>0</v>
      </c>
      <c r="K662" s="274">
        <v>0</v>
      </c>
      <c r="L662" s="274">
        <v>0</v>
      </c>
      <c r="M662" s="274">
        <v>65.3</v>
      </c>
      <c r="N662" s="396">
        <v>599.79999999999995</v>
      </c>
      <c r="O662" s="396">
        <v>31.9</v>
      </c>
      <c r="P662" s="396">
        <v>31.3</v>
      </c>
      <c r="Q662" s="397">
        <v>0.453472222222222</v>
      </c>
      <c r="R662" s="396"/>
      <c r="S662" s="410"/>
      <c r="T662" s="409"/>
      <c r="U662" s="398" t="str">
        <f t="shared" si="29"/>
        <v/>
      </c>
      <c r="V662" s="400"/>
      <c r="W662" s="410">
        <f t="shared" si="28"/>
        <v>31.9</v>
      </c>
      <c r="X662" s="472">
        <f t="shared" si="30"/>
        <v>60</v>
      </c>
      <c r="AT662" s="232"/>
      <c r="AV662" s="198"/>
      <c r="AW662" s="274"/>
    </row>
    <row r="663" spans="2:59" x14ac:dyDescent="0.25">
      <c r="B663" s="274">
        <v>18.399999999999999</v>
      </c>
      <c r="C663" s="274">
        <v>72</v>
      </c>
      <c r="D663" s="274">
        <v>18.399999999999999</v>
      </c>
      <c r="E663" s="274">
        <v>1.4</v>
      </c>
      <c r="F663" s="274">
        <v>3.6</v>
      </c>
      <c r="G663" s="274">
        <v>88</v>
      </c>
      <c r="H663" s="274">
        <v>1023.7</v>
      </c>
      <c r="I663" s="274">
        <v>62542</v>
      </c>
      <c r="J663" s="274">
        <v>0</v>
      </c>
      <c r="K663" s="274">
        <v>0</v>
      </c>
      <c r="L663" s="274">
        <v>0</v>
      </c>
      <c r="M663" s="274">
        <v>65.3</v>
      </c>
      <c r="N663" s="396">
        <v>599.79999999999995</v>
      </c>
      <c r="O663" s="396">
        <v>32.1</v>
      </c>
      <c r="P663" s="396">
        <v>31.5</v>
      </c>
      <c r="Q663" s="397">
        <v>0.454166666666667</v>
      </c>
      <c r="R663" s="396"/>
      <c r="S663" s="410"/>
      <c r="T663" s="409"/>
      <c r="U663" s="398" t="str">
        <f t="shared" si="29"/>
        <v/>
      </c>
      <c r="V663" s="400"/>
      <c r="W663" s="410">
        <f t="shared" si="28"/>
        <v>32.1</v>
      </c>
      <c r="X663" s="472">
        <f t="shared" si="30"/>
        <v>60</v>
      </c>
      <c r="AT663" s="232"/>
      <c r="AV663" s="198"/>
      <c r="AW663" s="274"/>
    </row>
    <row r="664" spans="2:59" x14ac:dyDescent="0.25">
      <c r="B664" s="274">
        <v>18.5</v>
      </c>
      <c r="C664" s="274">
        <v>72</v>
      </c>
      <c r="D664" s="274">
        <v>18.5</v>
      </c>
      <c r="E664" s="274">
        <v>0.4</v>
      </c>
      <c r="F664" s="274">
        <v>1.8</v>
      </c>
      <c r="G664" s="274">
        <v>74</v>
      </c>
      <c r="H664" s="274">
        <v>1023.8</v>
      </c>
      <c r="I664" s="274">
        <v>63689</v>
      </c>
      <c r="J664" s="274">
        <v>0</v>
      </c>
      <c r="K664" s="274">
        <v>0</v>
      </c>
      <c r="L664" s="274">
        <v>0</v>
      </c>
      <c r="M664" s="274">
        <v>65.3</v>
      </c>
      <c r="N664" s="396">
        <v>599.79999999999995</v>
      </c>
      <c r="O664" s="396">
        <v>32.299999999999997</v>
      </c>
      <c r="P664" s="396">
        <v>31.8</v>
      </c>
      <c r="Q664" s="397">
        <v>0.45486111111111099</v>
      </c>
      <c r="R664" s="396"/>
      <c r="S664" s="410"/>
      <c r="T664" s="409"/>
      <c r="U664" s="398" t="str">
        <f t="shared" si="29"/>
        <v/>
      </c>
      <c r="V664" s="400"/>
      <c r="W664" s="410">
        <f t="shared" si="28"/>
        <v>32.299999999999997</v>
      </c>
      <c r="X664" s="472">
        <f t="shared" si="30"/>
        <v>60</v>
      </c>
      <c r="AT664" s="232"/>
      <c r="AV664" s="198"/>
      <c r="AW664" s="274"/>
    </row>
    <row r="665" spans="2:59" x14ac:dyDescent="0.25">
      <c r="B665" s="274">
        <v>18.7</v>
      </c>
      <c r="C665" s="274">
        <v>70</v>
      </c>
      <c r="D665" s="274">
        <v>18.7</v>
      </c>
      <c r="E665" s="274">
        <v>3.6</v>
      </c>
      <c r="F665" s="274">
        <v>3.6</v>
      </c>
      <c r="G665" s="274">
        <v>100</v>
      </c>
      <c r="H665" s="274">
        <v>1023.7</v>
      </c>
      <c r="I665" s="274">
        <v>64681</v>
      </c>
      <c r="J665" s="274">
        <v>0</v>
      </c>
      <c r="K665" s="274">
        <v>0</v>
      </c>
      <c r="L665" s="274">
        <v>0</v>
      </c>
      <c r="M665" s="274">
        <v>65.3</v>
      </c>
      <c r="N665" s="396">
        <v>599.79999999999995</v>
      </c>
      <c r="O665" s="396">
        <v>32.4</v>
      </c>
      <c r="P665" s="396">
        <v>32</v>
      </c>
      <c r="Q665" s="397">
        <v>0.45555555555555599</v>
      </c>
      <c r="R665" s="396"/>
      <c r="S665" s="410"/>
      <c r="T665" s="409"/>
      <c r="U665" s="398" t="str">
        <f t="shared" si="29"/>
        <v/>
      </c>
      <c r="V665" s="400"/>
      <c r="W665" s="410">
        <f t="shared" si="28"/>
        <v>32.4</v>
      </c>
      <c r="X665" s="472">
        <f t="shared" si="30"/>
        <v>60</v>
      </c>
      <c r="AT665" s="232"/>
      <c r="AV665" s="198"/>
      <c r="AW665" s="274"/>
    </row>
    <row r="666" spans="2:59" x14ac:dyDescent="0.25">
      <c r="B666" s="274">
        <v>18.7</v>
      </c>
      <c r="C666" s="274">
        <v>71</v>
      </c>
      <c r="D666" s="274">
        <v>18.7</v>
      </c>
      <c r="E666" s="274">
        <v>1.1000000000000001</v>
      </c>
      <c r="F666" s="274">
        <v>1.8</v>
      </c>
      <c r="G666" s="274">
        <v>100</v>
      </c>
      <c r="H666" s="274">
        <v>1023.8</v>
      </c>
      <c r="I666" s="274">
        <v>65782</v>
      </c>
      <c r="J666" s="274">
        <v>0</v>
      </c>
      <c r="K666" s="274">
        <v>0</v>
      </c>
      <c r="L666" s="274">
        <v>0</v>
      </c>
      <c r="M666" s="274">
        <v>65.3</v>
      </c>
      <c r="N666" s="396">
        <v>599.79999999999995</v>
      </c>
      <c r="O666" s="396">
        <v>32.6</v>
      </c>
      <c r="P666" s="396">
        <v>32.299999999999997</v>
      </c>
      <c r="Q666" s="397">
        <v>0.45624999999999999</v>
      </c>
      <c r="R666" s="396"/>
      <c r="S666" s="410"/>
      <c r="T666" s="409"/>
      <c r="U666" s="398" t="str">
        <f t="shared" si="29"/>
        <v/>
      </c>
      <c r="V666" s="400"/>
      <c r="W666" s="410">
        <f t="shared" si="28"/>
        <v>32.6</v>
      </c>
      <c r="X666" s="472">
        <f t="shared" si="30"/>
        <v>60</v>
      </c>
      <c r="AT666" s="232"/>
      <c r="AV666" s="198"/>
      <c r="AW666" s="274"/>
    </row>
    <row r="667" spans="2:59" x14ac:dyDescent="0.25">
      <c r="B667" s="274">
        <v>18.8</v>
      </c>
      <c r="C667" s="274">
        <v>71</v>
      </c>
      <c r="D667" s="274">
        <v>18.8</v>
      </c>
      <c r="E667" s="274">
        <v>0.7</v>
      </c>
      <c r="F667" s="274">
        <v>1.8</v>
      </c>
      <c r="G667" s="274">
        <v>92</v>
      </c>
      <c r="H667" s="274">
        <v>1023.5</v>
      </c>
      <c r="I667" s="274">
        <v>66944</v>
      </c>
      <c r="J667" s="274">
        <v>0</v>
      </c>
      <c r="K667" s="274">
        <v>0</v>
      </c>
      <c r="L667" s="274">
        <v>0</v>
      </c>
      <c r="M667" s="274">
        <v>65.3</v>
      </c>
      <c r="N667" s="396">
        <v>599.79999999999995</v>
      </c>
      <c r="O667" s="396">
        <v>32.700000000000003</v>
      </c>
      <c r="P667" s="396">
        <v>32.5</v>
      </c>
      <c r="Q667" s="397">
        <v>0.45694444444444399</v>
      </c>
      <c r="R667" s="396"/>
      <c r="S667" s="410"/>
      <c r="T667" s="409"/>
      <c r="U667" s="398" t="str">
        <f t="shared" si="29"/>
        <v/>
      </c>
      <c r="V667" s="400"/>
      <c r="W667" s="410">
        <f t="shared" si="28"/>
        <v>32.700000000000003</v>
      </c>
      <c r="X667" s="472">
        <f t="shared" si="30"/>
        <v>60</v>
      </c>
      <c r="AT667" s="232"/>
      <c r="AV667" s="198"/>
      <c r="AW667" s="274"/>
    </row>
    <row r="668" spans="2:59" x14ac:dyDescent="0.25">
      <c r="B668" s="274">
        <v>19</v>
      </c>
      <c r="C668" s="274">
        <v>70</v>
      </c>
      <c r="D668" s="274">
        <v>19</v>
      </c>
      <c r="E668" s="274">
        <v>3.6</v>
      </c>
      <c r="F668" s="274">
        <v>3.6</v>
      </c>
      <c r="G668" s="274">
        <v>93</v>
      </c>
      <c r="H668" s="274">
        <v>1023.6</v>
      </c>
      <c r="I668" s="274">
        <v>68308</v>
      </c>
      <c r="J668" s="274">
        <v>0</v>
      </c>
      <c r="K668" s="274">
        <v>0</v>
      </c>
      <c r="L668" s="274">
        <v>0</v>
      </c>
      <c r="M668" s="274">
        <v>65.3</v>
      </c>
      <c r="N668" s="396">
        <v>599.79999999999995</v>
      </c>
      <c r="O668" s="396">
        <v>32.9</v>
      </c>
      <c r="P668" s="396">
        <v>32.700000000000003</v>
      </c>
      <c r="Q668" s="397">
        <v>0.45763888888888898</v>
      </c>
      <c r="R668" s="396"/>
      <c r="S668" s="410"/>
      <c r="T668" s="409"/>
      <c r="U668" s="398" t="str">
        <f t="shared" si="29"/>
        <v/>
      </c>
      <c r="V668" s="400"/>
      <c r="W668" s="410">
        <f t="shared" si="28"/>
        <v>32.9</v>
      </c>
      <c r="X668" s="472">
        <f t="shared" si="30"/>
        <v>60</v>
      </c>
      <c r="AT668" s="232"/>
      <c r="AV668" s="198"/>
      <c r="AW668" s="274"/>
    </row>
    <row r="669" spans="2:59" x14ac:dyDescent="0.25">
      <c r="B669" s="274">
        <v>19</v>
      </c>
      <c r="C669" s="274">
        <v>71</v>
      </c>
      <c r="D669" s="274">
        <v>19</v>
      </c>
      <c r="E669" s="274">
        <v>4</v>
      </c>
      <c r="F669" s="274">
        <v>5.4</v>
      </c>
      <c r="G669" s="274">
        <v>85</v>
      </c>
      <c r="H669" s="274">
        <v>1023.9</v>
      </c>
      <c r="I669" s="274">
        <v>69688</v>
      </c>
      <c r="J669" s="274">
        <v>0</v>
      </c>
      <c r="K669" s="274">
        <v>0</v>
      </c>
      <c r="L669" s="274">
        <v>0</v>
      </c>
      <c r="M669" s="274">
        <v>65.3</v>
      </c>
      <c r="N669" s="396">
        <v>599.79999999999995</v>
      </c>
      <c r="O669" s="396">
        <v>33</v>
      </c>
      <c r="P669" s="396">
        <v>32.799999999999997</v>
      </c>
      <c r="Q669" s="397">
        <v>0.45833333333333298</v>
      </c>
      <c r="R669" s="396"/>
      <c r="S669" s="410"/>
      <c r="T669" s="409"/>
      <c r="U669" s="398" t="str">
        <f t="shared" si="29"/>
        <v/>
      </c>
      <c r="V669" s="400"/>
      <c r="W669" s="410">
        <f t="shared" si="28"/>
        <v>33</v>
      </c>
      <c r="X669" s="472">
        <f t="shared" si="30"/>
        <v>60</v>
      </c>
      <c r="AT669" s="232"/>
      <c r="AV669" s="198"/>
      <c r="AW669" s="274"/>
    </row>
    <row r="670" spans="2:59" x14ac:dyDescent="0.25">
      <c r="B670" s="274">
        <v>18.899999999999999</v>
      </c>
      <c r="C670" s="274">
        <v>71</v>
      </c>
      <c r="D670" s="274">
        <v>18.899999999999999</v>
      </c>
      <c r="E670" s="274">
        <v>5.4</v>
      </c>
      <c r="F670" s="274">
        <v>5.4</v>
      </c>
      <c r="G670" s="274">
        <v>98</v>
      </c>
      <c r="H670" s="274">
        <v>1023.8</v>
      </c>
      <c r="I670" s="274">
        <v>70122</v>
      </c>
      <c r="J670" s="274">
        <v>0</v>
      </c>
      <c r="K670" s="274">
        <v>0</v>
      </c>
      <c r="L670" s="274">
        <v>0</v>
      </c>
      <c r="M670" s="274">
        <v>65.3</v>
      </c>
      <c r="N670" s="396">
        <v>599.79999999999995</v>
      </c>
      <c r="O670" s="396">
        <v>33.1</v>
      </c>
      <c r="P670" s="396">
        <v>32.700000000000003</v>
      </c>
      <c r="Q670" s="397">
        <v>0.45902777777777798</v>
      </c>
      <c r="R670" s="396"/>
      <c r="S670" s="410"/>
      <c r="T670" s="409"/>
      <c r="U670" s="398" t="str">
        <f t="shared" si="29"/>
        <v/>
      </c>
      <c r="V670" s="400"/>
      <c r="W670" s="410">
        <f t="shared" si="28"/>
        <v>33.1</v>
      </c>
      <c r="X670" s="472">
        <f t="shared" si="30"/>
        <v>60</v>
      </c>
      <c r="AT670" s="232"/>
      <c r="AV670" s="198"/>
      <c r="AW670" s="274"/>
    </row>
    <row r="671" spans="2:59" x14ac:dyDescent="0.25">
      <c r="B671" s="274">
        <v>18.600000000000001</v>
      </c>
      <c r="C671" s="274">
        <v>72</v>
      </c>
      <c r="D671" s="274">
        <v>18.600000000000001</v>
      </c>
      <c r="E671" s="274">
        <v>4.3</v>
      </c>
      <c r="F671" s="274">
        <v>5.4</v>
      </c>
      <c r="G671" s="274">
        <v>103</v>
      </c>
      <c r="H671" s="274">
        <v>1023.8</v>
      </c>
      <c r="I671" s="274">
        <v>71176</v>
      </c>
      <c r="J671" s="274">
        <v>0</v>
      </c>
      <c r="K671" s="274">
        <v>0</v>
      </c>
      <c r="L671" s="274">
        <v>0</v>
      </c>
      <c r="M671" s="274">
        <v>65.3</v>
      </c>
      <c r="N671" s="396">
        <v>599.79999999999995</v>
      </c>
      <c r="O671" s="396">
        <v>33.1</v>
      </c>
      <c r="P671" s="396">
        <v>32.700000000000003</v>
      </c>
      <c r="Q671" s="397">
        <v>0.45972222222222198</v>
      </c>
      <c r="R671" s="396"/>
      <c r="S671" s="410"/>
      <c r="T671" s="409"/>
      <c r="U671" s="398" t="str">
        <f t="shared" si="29"/>
        <v/>
      </c>
      <c r="V671" s="400"/>
      <c r="W671" s="410">
        <f t="shared" si="28"/>
        <v>33.1</v>
      </c>
      <c r="X671" s="472">
        <f t="shared" si="30"/>
        <v>60</v>
      </c>
      <c r="AT671" s="232"/>
      <c r="AV671" s="198"/>
      <c r="AW671" s="274"/>
    </row>
    <row r="672" spans="2:59" x14ac:dyDescent="0.25">
      <c r="B672" s="274">
        <v>18.399999999999999</v>
      </c>
      <c r="C672" s="274">
        <v>72</v>
      </c>
      <c r="D672" s="274">
        <v>18.399999999999999</v>
      </c>
      <c r="E672" s="274">
        <v>4.3</v>
      </c>
      <c r="F672" s="274">
        <v>5.4</v>
      </c>
      <c r="G672" s="274">
        <v>55</v>
      </c>
      <c r="H672" s="274">
        <v>1023.9</v>
      </c>
      <c r="I672" s="274">
        <v>71889</v>
      </c>
      <c r="J672" s="274">
        <v>0</v>
      </c>
      <c r="K672" s="274">
        <v>0</v>
      </c>
      <c r="L672" s="274">
        <v>0</v>
      </c>
      <c r="M672" s="274">
        <v>65.3</v>
      </c>
      <c r="N672" s="396">
        <v>599.79999999999995</v>
      </c>
      <c r="O672" s="396">
        <v>33.1</v>
      </c>
      <c r="P672" s="396">
        <v>32.700000000000003</v>
      </c>
      <c r="Q672" s="397">
        <v>0.46041666666666697</v>
      </c>
      <c r="R672" s="396"/>
      <c r="S672" s="410"/>
      <c r="T672" s="409"/>
      <c r="U672" s="398" t="str">
        <f t="shared" si="29"/>
        <v/>
      </c>
      <c r="V672" s="400"/>
      <c r="W672" s="410">
        <f t="shared" si="28"/>
        <v>33.1</v>
      </c>
      <c r="X672" s="472">
        <f t="shared" si="30"/>
        <v>60</v>
      </c>
      <c r="AT672" s="232"/>
      <c r="AV672" s="198"/>
      <c r="AW672" s="274"/>
    </row>
    <row r="673" spans="2:49" x14ac:dyDescent="0.25">
      <c r="B673" s="274">
        <v>18.399999999999999</v>
      </c>
      <c r="C673" s="274">
        <v>72</v>
      </c>
      <c r="D673" s="274">
        <v>18.399999999999999</v>
      </c>
      <c r="E673" s="274">
        <v>3.2</v>
      </c>
      <c r="F673" s="274">
        <v>5.4</v>
      </c>
      <c r="G673" s="274">
        <v>62</v>
      </c>
      <c r="H673" s="274">
        <v>1023.6</v>
      </c>
      <c r="I673" s="274">
        <v>72214</v>
      </c>
      <c r="J673" s="274">
        <v>0</v>
      </c>
      <c r="K673" s="274">
        <v>0</v>
      </c>
      <c r="L673" s="274">
        <v>0</v>
      </c>
      <c r="M673" s="274">
        <v>65.3</v>
      </c>
      <c r="N673" s="396">
        <v>599.79999999999995</v>
      </c>
      <c r="O673" s="396">
        <v>33</v>
      </c>
      <c r="P673" s="396">
        <v>32.799999999999997</v>
      </c>
      <c r="Q673" s="397">
        <v>0.46111111111111103</v>
      </c>
      <c r="R673" s="396"/>
      <c r="S673" s="410"/>
      <c r="T673" s="409"/>
      <c r="U673" s="398" t="str">
        <f t="shared" si="29"/>
        <v/>
      </c>
      <c r="V673" s="400"/>
      <c r="W673" s="410">
        <f t="shared" si="28"/>
        <v>33</v>
      </c>
      <c r="X673" s="472">
        <f t="shared" si="30"/>
        <v>60</v>
      </c>
      <c r="AT673" s="232"/>
      <c r="AV673" s="198"/>
      <c r="AW673" s="274"/>
    </row>
    <row r="674" spans="2:49" x14ac:dyDescent="0.25">
      <c r="B674" s="274">
        <v>18.399999999999999</v>
      </c>
      <c r="C674" s="274">
        <v>73</v>
      </c>
      <c r="D674" s="274">
        <v>18.399999999999999</v>
      </c>
      <c r="E674" s="274">
        <v>1.8</v>
      </c>
      <c r="F674" s="274">
        <v>1.8</v>
      </c>
      <c r="G674" s="274">
        <v>80</v>
      </c>
      <c r="H674" s="274">
        <v>1023.7</v>
      </c>
      <c r="I674" s="274">
        <v>72648</v>
      </c>
      <c r="J674" s="274">
        <v>0</v>
      </c>
      <c r="K674" s="274">
        <v>0</v>
      </c>
      <c r="L674" s="274">
        <v>0</v>
      </c>
      <c r="M674" s="274">
        <v>65.3</v>
      </c>
      <c r="N674" s="396">
        <v>599.79999999999995</v>
      </c>
      <c r="O674" s="396">
        <v>32.9</v>
      </c>
      <c r="P674" s="396">
        <v>32.799999999999997</v>
      </c>
      <c r="Q674" s="397">
        <v>0.46180555555555602</v>
      </c>
      <c r="R674" s="396"/>
      <c r="S674" s="410"/>
      <c r="T674" s="409"/>
      <c r="U674" s="398" t="str">
        <f t="shared" si="29"/>
        <v/>
      </c>
      <c r="V674" s="400"/>
      <c r="W674" s="410">
        <f t="shared" si="28"/>
        <v>32.9</v>
      </c>
      <c r="X674" s="472">
        <f t="shared" si="30"/>
        <v>60</v>
      </c>
      <c r="AT674" s="232"/>
      <c r="AV674" s="198"/>
      <c r="AW674" s="274"/>
    </row>
    <row r="675" spans="2:49" x14ac:dyDescent="0.25">
      <c r="B675" s="274">
        <v>18.5</v>
      </c>
      <c r="C675" s="274">
        <v>73</v>
      </c>
      <c r="D675" s="274">
        <v>18.5</v>
      </c>
      <c r="E675" s="274">
        <v>1.4</v>
      </c>
      <c r="F675" s="274">
        <v>1.8</v>
      </c>
      <c r="G675" s="274">
        <v>97</v>
      </c>
      <c r="H675" s="274">
        <v>1023.8</v>
      </c>
      <c r="I675" s="274">
        <v>72989</v>
      </c>
      <c r="J675" s="274">
        <v>0</v>
      </c>
      <c r="K675" s="274">
        <v>0</v>
      </c>
      <c r="L675" s="274">
        <v>0</v>
      </c>
      <c r="M675" s="274">
        <v>65.3</v>
      </c>
      <c r="N675" s="396">
        <v>599.79999999999995</v>
      </c>
      <c r="O675" s="396">
        <v>32.799999999999997</v>
      </c>
      <c r="P675" s="396">
        <v>32.9</v>
      </c>
      <c r="Q675" s="397">
        <v>0.46250000000000002</v>
      </c>
      <c r="R675" s="396"/>
      <c r="S675" s="410"/>
      <c r="T675" s="409"/>
      <c r="U675" s="398" t="str">
        <f t="shared" si="29"/>
        <v/>
      </c>
      <c r="V675" s="400"/>
      <c r="W675" s="410">
        <f t="shared" si="28"/>
        <v>32.9</v>
      </c>
      <c r="X675" s="472">
        <f t="shared" si="30"/>
        <v>60</v>
      </c>
      <c r="AT675" s="232"/>
      <c r="AV675" s="198"/>
      <c r="AW675" s="274"/>
    </row>
    <row r="676" spans="2:49" x14ac:dyDescent="0.25">
      <c r="B676" s="274">
        <v>18.7</v>
      </c>
      <c r="C676" s="274">
        <v>72</v>
      </c>
      <c r="D676" s="274">
        <v>18.7</v>
      </c>
      <c r="E676" s="274">
        <v>0.7</v>
      </c>
      <c r="F676" s="274">
        <v>1.8</v>
      </c>
      <c r="G676" s="274">
        <v>96</v>
      </c>
      <c r="H676" s="274">
        <v>1023.6</v>
      </c>
      <c r="I676" s="274">
        <v>73594</v>
      </c>
      <c r="J676" s="274">
        <v>0</v>
      </c>
      <c r="K676" s="274">
        <v>0</v>
      </c>
      <c r="L676" s="274">
        <v>0</v>
      </c>
      <c r="M676" s="274">
        <v>65.3</v>
      </c>
      <c r="N676" s="396">
        <v>599.79999999999995</v>
      </c>
      <c r="O676" s="396">
        <v>32.799999999999997</v>
      </c>
      <c r="P676" s="396">
        <v>32.9</v>
      </c>
      <c r="Q676" s="397">
        <v>0.46319444444444402</v>
      </c>
      <c r="R676" s="396"/>
      <c r="S676" s="410"/>
      <c r="T676" s="409"/>
      <c r="U676" s="398" t="str">
        <f t="shared" si="29"/>
        <v/>
      </c>
      <c r="V676" s="400"/>
      <c r="W676" s="410">
        <f t="shared" si="28"/>
        <v>32.9</v>
      </c>
      <c r="X676" s="472">
        <f t="shared" si="30"/>
        <v>60</v>
      </c>
      <c r="AT676" s="232"/>
      <c r="AV676" s="198"/>
      <c r="AW676" s="274"/>
    </row>
    <row r="677" spans="2:49" x14ac:dyDescent="0.25">
      <c r="B677" s="274">
        <v>18.899999999999999</v>
      </c>
      <c r="C677" s="274">
        <v>71</v>
      </c>
      <c r="D677" s="274">
        <v>18.899999999999999</v>
      </c>
      <c r="E677" s="274">
        <v>3.6</v>
      </c>
      <c r="F677" s="274">
        <v>5.4</v>
      </c>
      <c r="G677" s="274">
        <v>83</v>
      </c>
      <c r="H677" s="274">
        <v>1024</v>
      </c>
      <c r="I677" s="274">
        <v>73640</v>
      </c>
      <c r="J677" s="274">
        <v>0</v>
      </c>
      <c r="K677" s="274">
        <v>0</v>
      </c>
      <c r="L677" s="274">
        <v>0</v>
      </c>
      <c r="M677" s="274">
        <v>65.3</v>
      </c>
      <c r="N677" s="396">
        <v>599.79999999999995</v>
      </c>
      <c r="O677" s="396">
        <v>32.799999999999997</v>
      </c>
      <c r="P677" s="396">
        <v>32.9</v>
      </c>
      <c r="Q677" s="397">
        <v>0.46388888888888902</v>
      </c>
      <c r="R677" s="396"/>
      <c r="S677" s="410"/>
      <c r="T677" s="409"/>
      <c r="U677" s="398" t="str">
        <f t="shared" si="29"/>
        <v/>
      </c>
      <c r="V677" s="400"/>
      <c r="W677" s="410">
        <f t="shared" si="28"/>
        <v>32.9</v>
      </c>
      <c r="X677" s="472">
        <f t="shared" si="30"/>
        <v>60</v>
      </c>
      <c r="AT677" s="232"/>
      <c r="AV677" s="198"/>
      <c r="AW677" s="274"/>
    </row>
    <row r="678" spans="2:49" x14ac:dyDescent="0.25">
      <c r="B678" s="274">
        <v>19.100000000000001</v>
      </c>
      <c r="C678" s="274">
        <v>71</v>
      </c>
      <c r="D678" s="274">
        <v>19.100000000000001</v>
      </c>
      <c r="E678" s="274">
        <v>5.4</v>
      </c>
      <c r="F678" s="274">
        <v>5.4</v>
      </c>
      <c r="G678" s="274">
        <v>94</v>
      </c>
      <c r="H678" s="274">
        <v>1023.6</v>
      </c>
      <c r="I678" s="274">
        <v>73857</v>
      </c>
      <c r="J678" s="274">
        <v>0</v>
      </c>
      <c r="K678" s="274">
        <v>0</v>
      </c>
      <c r="L678" s="274">
        <v>0</v>
      </c>
      <c r="M678" s="274">
        <v>65.3</v>
      </c>
      <c r="N678" s="396">
        <v>599.79999999999995</v>
      </c>
      <c r="O678" s="396">
        <v>33</v>
      </c>
      <c r="P678" s="396">
        <v>32.9</v>
      </c>
      <c r="Q678" s="397">
        <v>0.46458333333333302</v>
      </c>
      <c r="R678" s="396"/>
      <c r="S678" s="410"/>
      <c r="T678" s="409"/>
      <c r="U678" s="398" t="str">
        <f t="shared" si="29"/>
        <v/>
      </c>
      <c r="V678" s="400"/>
      <c r="W678" s="410">
        <f t="shared" si="28"/>
        <v>33</v>
      </c>
      <c r="X678" s="472">
        <f t="shared" si="30"/>
        <v>60</v>
      </c>
      <c r="AT678" s="232"/>
      <c r="AV678" s="198"/>
      <c r="AW678" s="274"/>
    </row>
    <row r="679" spans="2:49" x14ac:dyDescent="0.25">
      <c r="B679" s="274">
        <v>19.100000000000001</v>
      </c>
      <c r="C679" s="274">
        <v>72</v>
      </c>
      <c r="D679" s="274">
        <v>19.100000000000001</v>
      </c>
      <c r="E679" s="274">
        <v>0.7</v>
      </c>
      <c r="F679" s="274">
        <v>3.6</v>
      </c>
      <c r="G679" s="274">
        <v>96</v>
      </c>
      <c r="H679" s="274">
        <v>1023.8</v>
      </c>
      <c r="I679" s="274">
        <v>74136</v>
      </c>
      <c r="J679" s="274">
        <v>0</v>
      </c>
      <c r="K679" s="274">
        <v>0</v>
      </c>
      <c r="L679" s="274">
        <v>0</v>
      </c>
      <c r="M679" s="274">
        <v>65.3</v>
      </c>
      <c r="N679" s="396">
        <v>599.79999999999995</v>
      </c>
      <c r="O679" s="396">
        <v>33.1</v>
      </c>
      <c r="P679" s="396">
        <v>32.9</v>
      </c>
      <c r="Q679" s="397">
        <v>0.46527777777777801</v>
      </c>
      <c r="R679" s="396"/>
      <c r="S679" s="410"/>
      <c r="T679" s="409"/>
      <c r="U679" s="398" t="str">
        <f t="shared" si="29"/>
        <v/>
      </c>
      <c r="V679" s="400"/>
      <c r="W679" s="410">
        <f t="shared" si="28"/>
        <v>33.1</v>
      </c>
      <c r="X679" s="472">
        <f t="shared" si="30"/>
        <v>60</v>
      </c>
      <c r="AT679" s="232"/>
      <c r="AV679" s="198"/>
      <c r="AW679" s="274"/>
    </row>
    <row r="680" spans="2:49" x14ac:dyDescent="0.25">
      <c r="B680" s="274">
        <v>19</v>
      </c>
      <c r="C680" s="274">
        <v>72</v>
      </c>
      <c r="D680" s="274">
        <v>19</v>
      </c>
      <c r="E680" s="274">
        <v>0.7</v>
      </c>
      <c r="F680" s="274">
        <v>1.8</v>
      </c>
      <c r="G680" s="274">
        <v>86</v>
      </c>
      <c r="H680" s="274">
        <v>1023.8</v>
      </c>
      <c r="I680" s="274">
        <v>74803</v>
      </c>
      <c r="J680" s="274">
        <v>0</v>
      </c>
      <c r="K680" s="274">
        <v>0</v>
      </c>
      <c r="L680" s="274">
        <v>0</v>
      </c>
      <c r="M680" s="274">
        <v>65.3</v>
      </c>
      <c r="N680" s="396">
        <v>599.79999999999995</v>
      </c>
      <c r="O680" s="396">
        <v>33.200000000000003</v>
      </c>
      <c r="P680" s="396">
        <v>32.9</v>
      </c>
      <c r="Q680" s="397">
        <v>0.46597222222222201</v>
      </c>
      <c r="R680" s="396"/>
      <c r="S680" s="410"/>
      <c r="T680" s="409"/>
      <c r="U680" s="398" t="str">
        <f t="shared" si="29"/>
        <v/>
      </c>
      <c r="V680" s="400"/>
      <c r="W680" s="410">
        <f t="shared" si="28"/>
        <v>33.200000000000003</v>
      </c>
      <c r="X680" s="472">
        <f t="shared" si="30"/>
        <v>60</v>
      </c>
      <c r="AT680" s="232"/>
      <c r="AV680" s="198"/>
      <c r="AW680" s="274"/>
    </row>
    <row r="681" spans="2:49" x14ac:dyDescent="0.25">
      <c r="B681" s="274">
        <v>19.100000000000001</v>
      </c>
      <c r="C681" s="274">
        <v>71</v>
      </c>
      <c r="D681" s="274">
        <v>19.100000000000001</v>
      </c>
      <c r="E681" s="274">
        <v>0</v>
      </c>
      <c r="F681" s="274">
        <v>0</v>
      </c>
      <c r="G681" s="274">
        <v>86</v>
      </c>
      <c r="H681" s="274">
        <v>1023.6</v>
      </c>
      <c r="I681" s="274">
        <v>75624</v>
      </c>
      <c r="J681" s="274">
        <v>0</v>
      </c>
      <c r="K681" s="274">
        <v>0</v>
      </c>
      <c r="L681" s="274">
        <v>0</v>
      </c>
      <c r="M681" s="274">
        <v>65.3</v>
      </c>
      <c r="N681" s="396">
        <v>599.79999999999995</v>
      </c>
      <c r="O681" s="396">
        <v>33.299999999999997</v>
      </c>
      <c r="P681" s="396">
        <v>32.9</v>
      </c>
      <c r="Q681" s="397">
        <v>0.46666666666666701</v>
      </c>
      <c r="R681" s="396"/>
      <c r="S681" s="410"/>
      <c r="T681" s="409"/>
      <c r="U681" s="398" t="str">
        <f t="shared" si="29"/>
        <v/>
      </c>
      <c r="V681" s="400"/>
      <c r="W681" s="410">
        <f t="shared" si="28"/>
        <v>33.299999999999997</v>
      </c>
      <c r="X681" s="472">
        <f t="shared" si="30"/>
        <v>60</v>
      </c>
      <c r="AT681" s="232"/>
      <c r="AV681" s="198"/>
      <c r="AW681" s="274"/>
    </row>
    <row r="682" spans="2:49" x14ac:dyDescent="0.25">
      <c r="B682" s="274">
        <v>19.3</v>
      </c>
      <c r="C682" s="274">
        <v>70</v>
      </c>
      <c r="D682" s="274">
        <v>19.3</v>
      </c>
      <c r="E682" s="274">
        <v>1.1000000000000001</v>
      </c>
      <c r="F682" s="274">
        <v>1.8</v>
      </c>
      <c r="G682" s="274">
        <v>97</v>
      </c>
      <c r="H682" s="274">
        <v>1023.7</v>
      </c>
      <c r="I682" s="274">
        <v>75454</v>
      </c>
      <c r="J682" s="274">
        <v>0</v>
      </c>
      <c r="K682" s="274">
        <v>0</v>
      </c>
      <c r="L682" s="274">
        <v>0</v>
      </c>
      <c r="M682" s="274">
        <v>65.3</v>
      </c>
      <c r="N682" s="396">
        <v>599.79999999999995</v>
      </c>
      <c r="O682" s="396">
        <v>33.4</v>
      </c>
      <c r="P682" s="396">
        <v>33</v>
      </c>
      <c r="Q682" s="397">
        <v>0.46736111111111101</v>
      </c>
      <c r="R682" s="396"/>
      <c r="S682" s="410"/>
      <c r="T682" s="409"/>
      <c r="U682" s="398" t="str">
        <f t="shared" si="29"/>
        <v/>
      </c>
      <c r="V682" s="400"/>
      <c r="W682" s="410">
        <f t="shared" si="28"/>
        <v>33.4</v>
      </c>
      <c r="X682" s="472">
        <f t="shared" si="30"/>
        <v>60</v>
      </c>
      <c r="AT682" s="232"/>
      <c r="AV682" s="198"/>
      <c r="AW682" s="274"/>
    </row>
    <row r="683" spans="2:49" x14ac:dyDescent="0.25">
      <c r="B683" s="274">
        <v>19.399999999999999</v>
      </c>
      <c r="C683" s="274">
        <v>70</v>
      </c>
      <c r="D683" s="274">
        <v>19.399999999999999</v>
      </c>
      <c r="E683" s="274">
        <v>1.4</v>
      </c>
      <c r="F683" s="274">
        <v>3.6</v>
      </c>
      <c r="G683" s="274">
        <v>69</v>
      </c>
      <c r="H683" s="274">
        <v>1023.6</v>
      </c>
      <c r="I683" s="274">
        <v>76167</v>
      </c>
      <c r="J683" s="274">
        <v>0</v>
      </c>
      <c r="K683" s="274">
        <v>0</v>
      </c>
      <c r="L683" s="274">
        <v>0</v>
      </c>
      <c r="M683" s="274">
        <v>65.3</v>
      </c>
      <c r="N683" s="396">
        <v>599.79999999999995</v>
      </c>
      <c r="O683" s="396">
        <v>33.700000000000003</v>
      </c>
      <c r="P683" s="396">
        <v>33.1</v>
      </c>
      <c r="Q683" s="397">
        <v>0.468055555555556</v>
      </c>
      <c r="R683" s="396"/>
      <c r="S683" s="410"/>
      <c r="T683" s="409"/>
      <c r="U683" s="398" t="str">
        <f t="shared" si="29"/>
        <v/>
      </c>
      <c r="V683" s="400"/>
      <c r="W683" s="410">
        <f t="shared" si="28"/>
        <v>33.700000000000003</v>
      </c>
      <c r="X683" s="472">
        <f t="shared" si="30"/>
        <v>60</v>
      </c>
      <c r="AT683" s="232"/>
      <c r="AV683" s="198"/>
      <c r="AW683" s="274"/>
    </row>
    <row r="684" spans="2:49" x14ac:dyDescent="0.25">
      <c r="B684" s="274">
        <v>19.399999999999999</v>
      </c>
      <c r="C684" s="274">
        <v>71</v>
      </c>
      <c r="D684" s="274">
        <v>19.399999999999999</v>
      </c>
      <c r="E684" s="274">
        <v>6.1</v>
      </c>
      <c r="F684" s="274">
        <v>7.2</v>
      </c>
      <c r="G684" s="274">
        <v>52</v>
      </c>
      <c r="H684" s="274">
        <v>1023.7</v>
      </c>
      <c r="I684" s="274">
        <v>77376</v>
      </c>
      <c r="J684" s="274">
        <v>0</v>
      </c>
      <c r="K684" s="274">
        <v>0</v>
      </c>
      <c r="L684" s="274">
        <v>0</v>
      </c>
      <c r="M684" s="274">
        <v>65.3</v>
      </c>
      <c r="N684" s="396">
        <v>599.79999999999995</v>
      </c>
      <c r="O684" s="396">
        <v>33.799999999999997</v>
      </c>
      <c r="P684" s="396">
        <v>33.1</v>
      </c>
      <c r="Q684" s="397">
        <v>0.46875</v>
      </c>
      <c r="R684" s="396"/>
      <c r="S684" s="410"/>
      <c r="T684" s="409"/>
      <c r="U684" s="398" t="str">
        <f t="shared" si="29"/>
        <v/>
      </c>
      <c r="V684" s="400"/>
      <c r="W684" s="410">
        <f t="shared" si="28"/>
        <v>33.799999999999997</v>
      </c>
      <c r="X684" s="472">
        <f t="shared" si="30"/>
        <v>60</v>
      </c>
      <c r="AT684" s="232"/>
      <c r="AV684" s="198"/>
      <c r="AW684" s="274"/>
    </row>
    <row r="685" spans="2:49" x14ac:dyDescent="0.25">
      <c r="B685" s="274">
        <v>19.2</v>
      </c>
      <c r="C685" s="274">
        <v>71</v>
      </c>
      <c r="D685" s="274">
        <v>19.2</v>
      </c>
      <c r="E685" s="274">
        <v>2.2000000000000002</v>
      </c>
      <c r="F685" s="274">
        <v>3.6</v>
      </c>
      <c r="G685" s="274">
        <v>94</v>
      </c>
      <c r="H685" s="274">
        <v>1023.7</v>
      </c>
      <c r="I685" s="274">
        <v>78368</v>
      </c>
      <c r="J685" s="274">
        <v>0</v>
      </c>
      <c r="K685" s="274">
        <v>0</v>
      </c>
      <c r="L685" s="274">
        <v>0</v>
      </c>
      <c r="M685" s="274">
        <v>65.3</v>
      </c>
      <c r="N685" s="396">
        <v>599.79999999999995</v>
      </c>
      <c r="O685" s="396">
        <v>33.9</v>
      </c>
      <c r="P685" s="396">
        <v>33.1</v>
      </c>
      <c r="Q685" s="397">
        <v>0.469444444444444</v>
      </c>
      <c r="R685" s="396"/>
      <c r="S685" s="410"/>
      <c r="T685" s="409"/>
      <c r="U685" s="398" t="str">
        <f t="shared" si="29"/>
        <v/>
      </c>
      <c r="V685" s="400"/>
      <c r="W685" s="410">
        <f t="shared" si="28"/>
        <v>33.9</v>
      </c>
      <c r="X685" s="472">
        <f t="shared" si="30"/>
        <v>60</v>
      </c>
      <c r="AT685" s="232"/>
      <c r="AV685" s="198"/>
      <c r="AW685" s="274"/>
    </row>
    <row r="686" spans="2:49" x14ac:dyDescent="0.25">
      <c r="B686" s="274">
        <v>19.2</v>
      </c>
      <c r="C686" s="274">
        <v>71</v>
      </c>
      <c r="D686" s="274">
        <v>19.2</v>
      </c>
      <c r="E686" s="274">
        <v>1.8</v>
      </c>
      <c r="F686" s="274">
        <v>1.8</v>
      </c>
      <c r="G686" s="274">
        <v>107</v>
      </c>
      <c r="H686" s="274">
        <v>1023.8</v>
      </c>
      <c r="I686" s="274">
        <v>79081</v>
      </c>
      <c r="J686" s="274">
        <v>0</v>
      </c>
      <c r="K686" s="274">
        <v>0</v>
      </c>
      <c r="L686" s="274">
        <v>0</v>
      </c>
      <c r="M686" s="274">
        <v>65.3</v>
      </c>
      <c r="N686" s="396">
        <v>599.79999999999995</v>
      </c>
      <c r="O686" s="396">
        <v>33.9</v>
      </c>
      <c r="P686" s="396">
        <v>33</v>
      </c>
      <c r="Q686" s="397">
        <v>0.47013888888888899</v>
      </c>
      <c r="R686" s="396"/>
      <c r="S686" s="410"/>
      <c r="T686" s="409"/>
      <c r="U686" s="398" t="str">
        <f t="shared" si="29"/>
        <v/>
      </c>
      <c r="V686" s="400"/>
      <c r="W686" s="410">
        <f t="shared" si="28"/>
        <v>33.9</v>
      </c>
      <c r="X686" s="472">
        <f t="shared" si="30"/>
        <v>60</v>
      </c>
      <c r="AT686" s="232"/>
      <c r="AV686" s="198"/>
      <c r="AW686" s="274"/>
    </row>
    <row r="687" spans="2:49" x14ac:dyDescent="0.25">
      <c r="B687" s="274">
        <v>19.2</v>
      </c>
      <c r="C687" s="274">
        <v>70</v>
      </c>
      <c r="D687" s="274">
        <v>19.2</v>
      </c>
      <c r="E687" s="274">
        <v>4.7</v>
      </c>
      <c r="F687" s="274">
        <v>7.2</v>
      </c>
      <c r="G687" s="274">
        <v>91</v>
      </c>
      <c r="H687" s="274">
        <v>1023.8</v>
      </c>
      <c r="I687" s="274">
        <v>78926</v>
      </c>
      <c r="J687" s="274">
        <v>0</v>
      </c>
      <c r="K687" s="274">
        <v>0</v>
      </c>
      <c r="L687" s="274">
        <v>0</v>
      </c>
      <c r="M687" s="274">
        <v>65.3</v>
      </c>
      <c r="N687" s="396">
        <v>599.79999999999995</v>
      </c>
      <c r="O687" s="396">
        <v>34</v>
      </c>
      <c r="P687" s="396">
        <v>33.1</v>
      </c>
      <c r="Q687" s="397">
        <v>0.47083333333333299</v>
      </c>
      <c r="R687" s="396"/>
      <c r="S687" s="410"/>
      <c r="T687" s="409"/>
      <c r="U687" s="398" t="str">
        <f t="shared" si="29"/>
        <v/>
      </c>
      <c r="V687" s="400"/>
      <c r="W687" s="410">
        <f t="shared" si="28"/>
        <v>34</v>
      </c>
      <c r="X687" s="472">
        <f t="shared" si="30"/>
        <v>60</v>
      </c>
      <c r="AT687" s="232"/>
      <c r="AV687" s="198"/>
      <c r="AW687" s="274"/>
    </row>
    <row r="688" spans="2:49" x14ac:dyDescent="0.25">
      <c r="B688" s="274">
        <v>19.2</v>
      </c>
      <c r="C688" s="274">
        <v>70</v>
      </c>
      <c r="D688" s="274">
        <v>19.2</v>
      </c>
      <c r="E688" s="274">
        <v>4</v>
      </c>
      <c r="F688" s="274">
        <v>5.4</v>
      </c>
      <c r="G688" s="274">
        <v>99</v>
      </c>
      <c r="H688" s="274">
        <v>1023.6</v>
      </c>
      <c r="I688" s="274">
        <v>78972</v>
      </c>
      <c r="J688" s="274">
        <v>0</v>
      </c>
      <c r="K688" s="274">
        <v>0</v>
      </c>
      <c r="L688" s="274">
        <v>0</v>
      </c>
      <c r="M688" s="274">
        <v>65.3</v>
      </c>
      <c r="N688" s="396">
        <v>599.79999999999995</v>
      </c>
      <c r="O688" s="396">
        <v>34</v>
      </c>
      <c r="P688" s="396">
        <v>33.1</v>
      </c>
      <c r="Q688" s="397">
        <v>0.47152777777777799</v>
      </c>
      <c r="R688" s="396"/>
      <c r="S688" s="410"/>
      <c r="T688" s="409"/>
      <c r="U688" s="398" t="str">
        <f t="shared" si="29"/>
        <v/>
      </c>
      <c r="V688" s="400"/>
      <c r="W688" s="410">
        <f t="shared" si="28"/>
        <v>34</v>
      </c>
      <c r="X688" s="472">
        <f t="shared" si="30"/>
        <v>60</v>
      </c>
      <c r="AT688" s="232"/>
      <c r="AV688" s="198"/>
      <c r="AW688" s="274"/>
    </row>
    <row r="689" spans="2:49" x14ac:dyDescent="0.25">
      <c r="B689" s="274">
        <v>19.2</v>
      </c>
      <c r="C689" s="274">
        <v>70</v>
      </c>
      <c r="D689" s="274">
        <v>19.2</v>
      </c>
      <c r="E689" s="274">
        <v>1.1000000000000001</v>
      </c>
      <c r="F689" s="274">
        <v>1.8</v>
      </c>
      <c r="G689" s="274">
        <v>102</v>
      </c>
      <c r="H689" s="274">
        <v>1023.7</v>
      </c>
      <c r="I689" s="274">
        <v>79468</v>
      </c>
      <c r="J689" s="274">
        <v>0</v>
      </c>
      <c r="K689" s="274">
        <v>0</v>
      </c>
      <c r="L689" s="274">
        <v>0</v>
      </c>
      <c r="M689" s="274">
        <v>65.3</v>
      </c>
      <c r="N689" s="396">
        <v>599.79999999999995</v>
      </c>
      <c r="O689" s="396">
        <v>34</v>
      </c>
      <c r="P689" s="396">
        <v>33.1</v>
      </c>
      <c r="Q689" s="397">
        <v>0.47222222222222199</v>
      </c>
      <c r="R689" s="396"/>
      <c r="S689" s="410"/>
      <c r="T689" s="409"/>
      <c r="U689" s="398" t="str">
        <f t="shared" si="29"/>
        <v/>
      </c>
      <c r="V689" s="400"/>
      <c r="W689" s="410">
        <f t="shared" si="28"/>
        <v>34</v>
      </c>
      <c r="X689" s="472">
        <f t="shared" si="30"/>
        <v>60</v>
      </c>
      <c r="AT689" s="232"/>
      <c r="AV689" s="198"/>
      <c r="AW689" s="274"/>
    </row>
    <row r="690" spans="2:49" x14ac:dyDescent="0.25">
      <c r="B690" s="274">
        <v>19.2</v>
      </c>
      <c r="C690" s="274">
        <v>70</v>
      </c>
      <c r="D690" s="274">
        <v>19.2</v>
      </c>
      <c r="E690" s="274">
        <v>0</v>
      </c>
      <c r="F690" s="274">
        <v>0</v>
      </c>
      <c r="G690" s="274">
        <v>101</v>
      </c>
      <c r="H690" s="274">
        <v>1023.7</v>
      </c>
      <c r="I690" s="274">
        <v>79856</v>
      </c>
      <c r="J690" s="274">
        <v>0</v>
      </c>
      <c r="K690" s="274">
        <v>0</v>
      </c>
      <c r="L690" s="274">
        <v>0</v>
      </c>
      <c r="M690" s="274">
        <v>65.3</v>
      </c>
      <c r="N690" s="396">
        <v>599.79999999999995</v>
      </c>
      <c r="O690" s="396">
        <v>34.1</v>
      </c>
      <c r="P690" s="396">
        <v>33.200000000000003</v>
      </c>
      <c r="Q690" s="397">
        <v>0.47291666666666698</v>
      </c>
      <c r="R690" s="396"/>
      <c r="S690" s="410"/>
      <c r="T690" s="409"/>
      <c r="U690" s="398" t="str">
        <f t="shared" si="29"/>
        <v/>
      </c>
      <c r="V690" s="400"/>
      <c r="W690" s="410">
        <f t="shared" ref="W690:W753" si="31">MAX(O690:P690)</f>
        <v>34.1</v>
      </c>
      <c r="X690" s="472">
        <f t="shared" si="30"/>
        <v>60</v>
      </c>
      <c r="AT690" s="232"/>
      <c r="AV690" s="198"/>
      <c r="AW690" s="274"/>
    </row>
    <row r="691" spans="2:49" x14ac:dyDescent="0.25">
      <c r="B691" s="274">
        <v>19.3</v>
      </c>
      <c r="C691" s="274">
        <v>70</v>
      </c>
      <c r="D691" s="274">
        <v>19.3</v>
      </c>
      <c r="E691" s="274">
        <v>1.4</v>
      </c>
      <c r="F691" s="274">
        <v>1.8</v>
      </c>
      <c r="G691" s="274">
        <v>101</v>
      </c>
      <c r="H691" s="274">
        <v>1023.7</v>
      </c>
      <c r="I691" s="274">
        <v>79856</v>
      </c>
      <c r="J691" s="274">
        <v>0</v>
      </c>
      <c r="K691" s="274">
        <v>0</v>
      </c>
      <c r="L691" s="274">
        <v>0</v>
      </c>
      <c r="M691" s="274">
        <v>65.3</v>
      </c>
      <c r="N691" s="396">
        <v>599.79999999999995</v>
      </c>
      <c r="O691" s="396">
        <v>34.200000000000003</v>
      </c>
      <c r="P691" s="396">
        <v>33.299999999999997</v>
      </c>
      <c r="Q691" s="397">
        <v>0.47361111111111098</v>
      </c>
      <c r="R691" s="396"/>
      <c r="S691" s="410"/>
      <c r="T691" s="409"/>
      <c r="U691" s="398" t="str">
        <f t="shared" si="29"/>
        <v/>
      </c>
      <c r="V691" s="400"/>
      <c r="W691" s="410">
        <f t="shared" si="31"/>
        <v>34.200000000000003</v>
      </c>
      <c r="X691" s="472">
        <f t="shared" si="30"/>
        <v>60</v>
      </c>
      <c r="AT691" s="232"/>
      <c r="AV691" s="198"/>
      <c r="AW691" s="274"/>
    </row>
    <row r="692" spans="2:49" x14ac:dyDescent="0.25">
      <c r="B692" s="274">
        <v>19.600000000000001</v>
      </c>
      <c r="C692" s="274">
        <v>69</v>
      </c>
      <c r="D692" s="274">
        <v>19.600000000000001</v>
      </c>
      <c r="E692" s="274">
        <v>4</v>
      </c>
      <c r="F692" s="274">
        <v>5.4</v>
      </c>
      <c r="G692" s="274">
        <v>86</v>
      </c>
      <c r="H692" s="274">
        <v>1023.4</v>
      </c>
      <c r="I692" s="274">
        <v>80243</v>
      </c>
      <c r="J692" s="274">
        <v>0</v>
      </c>
      <c r="K692" s="274">
        <v>0</v>
      </c>
      <c r="L692" s="274">
        <v>0</v>
      </c>
      <c r="M692" s="274">
        <v>65.3</v>
      </c>
      <c r="N692" s="396">
        <v>599.79999999999995</v>
      </c>
      <c r="O692" s="396">
        <v>34.299999999999997</v>
      </c>
      <c r="P692" s="396">
        <v>33.6</v>
      </c>
      <c r="Q692" s="397">
        <v>0.47430555555555598</v>
      </c>
      <c r="R692" s="396"/>
      <c r="S692" s="410"/>
      <c r="T692" s="409"/>
      <c r="U692" s="398" t="str">
        <f t="shared" si="29"/>
        <v/>
      </c>
      <c r="V692" s="400"/>
      <c r="W692" s="410">
        <f t="shared" si="31"/>
        <v>34.299999999999997</v>
      </c>
      <c r="X692" s="472">
        <f t="shared" si="30"/>
        <v>60</v>
      </c>
      <c r="AT692" s="232"/>
      <c r="AV692" s="198"/>
      <c r="AW692" s="274"/>
    </row>
    <row r="693" spans="2:49" x14ac:dyDescent="0.25">
      <c r="B693" s="274">
        <v>19.600000000000001</v>
      </c>
      <c r="C693" s="274">
        <v>70</v>
      </c>
      <c r="D693" s="274">
        <v>19.600000000000001</v>
      </c>
      <c r="E693" s="274">
        <v>4</v>
      </c>
      <c r="F693" s="274">
        <v>5.4</v>
      </c>
      <c r="G693" s="274">
        <v>107</v>
      </c>
      <c r="H693" s="274">
        <v>1023.7</v>
      </c>
      <c r="I693" s="274">
        <v>80956</v>
      </c>
      <c r="J693" s="274">
        <v>0</v>
      </c>
      <c r="K693" s="274">
        <v>0</v>
      </c>
      <c r="L693" s="274">
        <v>0</v>
      </c>
      <c r="M693" s="274">
        <v>65.3</v>
      </c>
      <c r="N693" s="396">
        <v>599.79999999999995</v>
      </c>
      <c r="O693" s="396">
        <v>34.5</v>
      </c>
      <c r="P693" s="396">
        <v>33.799999999999997</v>
      </c>
      <c r="Q693" s="397">
        <v>0.47499999999999998</v>
      </c>
      <c r="R693" s="396"/>
      <c r="S693" s="410"/>
      <c r="T693" s="409"/>
      <c r="U693" s="398" t="str">
        <f t="shared" si="29"/>
        <v/>
      </c>
      <c r="V693" s="400"/>
      <c r="W693" s="410">
        <f t="shared" si="31"/>
        <v>34.5</v>
      </c>
      <c r="X693" s="472">
        <f t="shared" si="30"/>
        <v>60</v>
      </c>
      <c r="AT693" s="232"/>
      <c r="AV693" s="198"/>
      <c r="AW693" s="274"/>
    </row>
    <row r="694" spans="2:49" x14ac:dyDescent="0.25">
      <c r="B694" s="274">
        <v>19.7</v>
      </c>
      <c r="C694" s="274">
        <v>69</v>
      </c>
      <c r="D694" s="274">
        <v>19.7</v>
      </c>
      <c r="E694" s="274">
        <v>2.9</v>
      </c>
      <c r="F694" s="274">
        <v>3.6</v>
      </c>
      <c r="G694" s="274">
        <v>110</v>
      </c>
      <c r="H694" s="274">
        <v>1023.8</v>
      </c>
      <c r="I694" s="274">
        <v>80631</v>
      </c>
      <c r="J694" s="274">
        <v>0</v>
      </c>
      <c r="K694" s="274">
        <v>0</v>
      </c>
      <c r="L694" s="274">
        <v>0</v>
      </c>
      <c r="M694" s="274">
        <v>65.3</v>
      </c>
      <c r="N694" s="396">
        <v>599.79999999999995</v>
      </c>
      <c r="O694" s="396">
        <v>34.5</v>
      </c>
      <c r="P694" s="396">
        <v>33.799999999999997</v>
      </c>
      <c r="Q694" s="397">
        <v>0.47569444444444398</v>
      </c>
      <c r="R694" s="396"/>
      <c r="S694" s="410"/>
      <c r="T694" s="409"/>
      <c r="U694" s="398" t="str">
        <f t="shared" si="29"/>
        <v/>
      </c>
      <c r="V694" s="400"/>
      <c r="W694" s="410">
        <f>MAX(O694:P694)</f>
        <v>34.5</v>
      </c>
      <c r="X694" s="472">
        <f t="shared" si="30"/>
        <v>60</v>
      </c>
      <c r="AT694" s="232"/>
      <c r="AV694" s="198"/>
      <c r="AW694" s="274"/>
    </row>
    <row r="695" spans="2:49" x14ac:dyDescent="0.25">
      <c r="B695" s="274">
        <v>19.600000000000001</v>
      </c>
      <c r="C695" s="274">
        <v>69</v>
      </c>
      <c r="D695" s="274">
        <v>19.600000000000001</v>
      </c>
      <c r="E695" s="274">
        <v>6.1</v>
      </c>
      <c r="F695" s="274">
        <v>7.2</v>
      </c>
      <c r="G695" s="274">
        <v>87</v>
      </c>
      <c r="H695" s="274">
        <v>1023.7</v>
      </c>
      <c r="I695" s="274">
        <v>80677</v>
      </c>
      <c r="J695" s="274">
        <v>0</v>
      </c>
      <c r="K695" s="274">
        <v>0</v>
      </c>
      <c r="L695" s="274">
        <v>0</v>
      </c>
      <c r="M695" s="274">
        <v>65.3</v>
      </c>
      <c r="N695" s="396">
        <v>599.79999999999995</v>
      </c>
      <c r="O695" s="396">
        <v>34.6</v>
      </c>
      <c r="P695" s="396">
        <v>33.799999999999997</v>
      </c>
      <c r="Q695" s="397">
        <v>0.47638888888888897</v>
      </c>
      <c r="R695" s="396"/>
      <c r="S695" s="410"/>
      <c r="T695" s="409"/>
      <c r="U695" s="398" t="str">
        <f t="shared" si="29"/>
        <v/>
      </c>
      <c r="V695" s="400"/>
      <c r="W695" s="410">
        <f t="shared" si="31"/>
        <v>34.6</v>
      </c>
      <c r="X695" s="472">
        <f t="shared" si="30"/>
        <v>60</v>
      </c>
      <c r="AT695" s="232"/>
      <c r="AV695" s="198"/>
      <c r="AW695" s="274"/>
    </row>
    <row r="696" spans="2:49" x14ac:dyDescent="0.25">
      <c r="B696" s="274">
        <v>19.399999999999999</v>
      </c>
      <c r="C696" s="274">
        <v>71</v>
      </c>
      <c r="D696" s="274">
        <v>19.399999999999999</v>
      </c>
      <c r="E696" s="274">
        <v>0.7</v>
      </c>
      <c r="F696" s="274">
        <v>1.8</v>
      </c>
      <c r="G696" s="274">
        <v>98</v>
      </c>
      <c r="H696" s="274">
        <v>1023.7</v>
      </c>
      <c r="I696" s="274">
        <v>80894</v>
      </c>
      <c r="J696" s="274">
        <v>0</v>
      </c>
      <c r="K696" s="274">
        <v>0</v>
      </c>
      <c r="L696" s="274">
        <v>0</v>
      </c>
      <c r="M696" s="274">
        <v>65.3</v>
      </c>
      <c r="N696" s="396">
        <v>599.79999999999995</v>
      </c>
      <c r="O696" s="396">
        <v>34.6</v>
      </c>
      <c r="P696" s="396">
        <v>33.700000000000003</v>
      </c>
      <c r="Q696" s="397">
        <v>0.47708333333333303</v>
      </c>
      <c r="R696" s="396"/>
      <c r="S696" s="410"/>
      <c r="T696" s="409"/>
      <c r="U696" s="398" t="str">
        <f t="shared" si="29"/>
        <v/>
      </c>
      <c r="V696" s="400"/>
      <c r="W696" s="410">
        <f t="shared" si="31"/>
        <v>34.6</v>
      </c>
      <c r="X696" s="472">
        <f t="shared" si="30"/>
        <v>60</v>
      </c>
      <c r="AT696" s="232"/>
      <c r="AV696" s="198"/>
      <c r="AW696" s="274"/>
    </row>
    <row r="697" spans="2:49" x14ac:dyDescent="0.25">
      <c r="B697" s="274">
        <v>19.399999999999999</v>
      </c>
      <c r="C697" s="274">
        <v>70</v>
      </c>
      <c r="D697" s="274">
        <v>19.399999999999999</v>
      </c>
      <c r="E697" s="274">
        <v>2.2000000000000002</v>
      </c>
      <c r="F697" s="274">
        <v>5.4</v>
      </c>
      <c r="G697" s="274">
        <v>123</v>
      </c>
      <c r="H697" s="274">
        <v>1023.5</v>
      </c>
      <c r="I697" s="274">
        <v>17577</v>
      </c>
      <c r="J697" s="274">
        <v>0</v>
      </c>
      <c r="K697" s="274">
        <v>0</v>
      </c>
      <c r="L697" s="274">
        <v>0</v>
      </c>
      <c r="M697" s="274">
        <v>65.3</v>
      </c>
      <c r="N697" s="396">
        <v>599.79999999999995</v>
      </c>
      <c r="O697" s="396">
        <v>34.6</v>
      </c>
      <c r="P697" s="396">
        <v>33.6</v>
      </c>
      <c r="Q697" s="397">
        <v>0.47777777777777802</v>
      </c>
      <c r="R697" s="396"/>
      <c r="S697" s="410"/>
      <c r="T697" s="409"/>
      <c r="U697" s="398" t="str">
        <f t="shared" si="29"/>
        <v/>
      </c>
      <c r="V697" s="400"/>
      <c r="W697" s="410">
        <f t="shared" si="31"/>
        <v>34.6</v>
      </c>
      <c r="X697" s="472">
        <f t="shared" si="30"/>
        <v>60</v>
      </c>
      <c r="AT697" s="232"/>
      <c r="AV697" s="198"/>
      <c r="AW697" s="274"/>
    </row>
    <row r="698" spans="2:49" x14ac:dyDescent="0.25">
      <c r="B698" s="274">
        <v>19.5</v>
      </c>
      <c r="C698" s="274">
        <v>70</v>
      </c>
      <c r="D698" s="274">
        <v>19.5</v>
      </c>
      <c r="E698" s="274">
        <v>1.4</v>
      </c>
      <c r="F698" s="274">
        <v>1.8</v>
      </c>
      <c r="G698" s="274">
        <v>111</v>
      </c>
      <c r="H698" s="274">
        <v>1023.4</v>
      </c>
      <c r="I698" s="274">
        <v>81886</v>
      </c>
      <c r="J698" s="274">
        <v>0</v>
      </c>
      <c r="K698" s="274">
        <v>0</v>
      </c>
      <c r="L698" s="274">
        <v>0</v>
      </c>
      <c r="M698" s="274">
        <v>65.3</v>
      </c>
      <c r="N698" s="396">
        <v>599.79999999999995</v>
      </c>
      <c r="O698" s="396">
        <v>34.6</v>
      </c>
      <c r="P698" s="396">
        <v>33.6</v>
      </c>
      <c r="Q698" s="397">
        <v>0.47847222222222202</v>
      </c>
      <c r="R698" s="396"/>
      <c r="S698" s="410"/>
      <c r="T698" s="409"/>
      <c r="U698" s="398" t="str">
        <f t="shared" si="29"/>
        <v/>
      </c>
      <c r="V698" s="400"/>
      <c r="W698" s="410">
        <f t="shared" si="31"/>
        <v>34.6</v>
      </c>
      <c r="X698" s="472">
        <f t="shared" si="30"/>
        <v>60</v>
      </c>
      <c r="AT698" s="232"/>
      <c r="AV698" s="198"/>
      <c r="AW698" s="274"/>
    </row>
    <row r="699" spans="2:49" x14ac:dyDescent="0.25">
      <c r="B699" s="274">
        <v>19.5</v>
      </c>
      <c r="C699" s="274">
        <v>70</v>
      </c>
      <c r="D699" s="274">
        <v>19.5</v>
      </c>
      <c r="E699" s="274">
        <v>1.1000000000000001</v>
      </c>
      <c r="F699" s="274">
        <v>1.8</v>
      </c>
      <c r="G699" s="274">
        <v>83</v>
      </c>
      <c r="H699" s="274">
        <v>1023.7</v>
      </c>
      <c r="I699" s="274">
        <v>81778</v>
      </c>
      <c r="J699" s="274">
        <v>0</v>
      </c>
      <c r="K699" s="274">
        <v>0</v>
      </c>
      <c r="L699" s="274">
        <v>0</v>
      </c>
      <c r="M699" s="274">
        <v>65.3</v>
      </c>
      <c r="N699" s="396">
        <v>599.79999999999995</v>
      </c>
      <c r="O699" s="396">
        <v>34.6</v>
      </c>
      <c r="P699" s="396">
        <v>33.6</v>
      </c>
      <c r="Q699" s="397">
        <v>0.47916666666666702</v>
      </c>
      <c r="R699" s="396"/>
      <c r="S699" s="410"/>
      <c r="T699" s="409"/>
      <c r="U699" s="398" t="str">
        <f t="shared" si="29"/>
        <v/>
      </c>
      <c r="V699" s="400"/>
      <c r="W699" s="410">
        <f t="shared" si="31"/>
        <v>34.6</v>
      </c>
      <c r="X699" s="472">
        <f t="shared" si="30"/>
        <v>60</v>
      </c>
      <c r="AT699" s="232"/>
      <c r="AV699" s="198"/>
      <c r="AW699" s="274"/>
    </row>
    <row r="700" spans="2:49" x14ac:dyDescent="0.25">
      <c r="B700" s="274">
        <v>19.5</v>
      </c>
      <c r="C700" s="274">
        <v>70</v>
      </c>
      <c r="D700" s="274">
        <v>19.5</v>
      </c>
      <c r="E700" s="274">
        <v>2.2000000000000002</v>
      </c>
      <c r="F700" s="274">
        <v>3.6</v>
      </c>
      <c r="G700" s="274">
        <v>178</v>
      </c>
      <c r="H700" s="274">
        <v>1023.8</v>
      </c>
      <c r="I700" s="274">
        <v>82770</v>
      </c>
      <c r="J700" s="274">
        <v>0</v>
      </c>
      <c r="K700" s="274">
        <v>0</v>
      </c>
      <c r="L700" s="274">
        <v>0</v>
      </c>
      <c r="M700" s="274">
        <v>65.3</v>
      </c>
      <c r="N700" s="396">
        <v>599.79999999999995</v>
      </c>
      <c r="O700" s="396">
        <v>34.6</v>
      </c>
      <c r="P700" s="396">
        <v>33.700000000000003</v>
      </c>
      <c r="Q700" s="397">
        <v>0.47986111111111102</v>
      </c>
      <c r="R700" s="396"/>
      <c r="S700" s="410"/>
      <c r="T700" s="409"/>
      <c r="U700" s="398" t="str">
        <f t="shared" si="29"/>
        <v/>
      </c>
      <c r="V700" s="400"/>
      <c r="W700" s="410">
        <f t="shared" si="31"/>
        <v>34.6</v>
      </c>
      <c r="X700" s="472">
        <f t="shared" si="30"/>
        <v>60</v>
      </c>
      <c r="AT700" s="232"/>
      <c r="AV700" s="198"/>
      <c r="AW700" s="274"/>
    </row>
    <row r="701" spans="2:49" x14ac:dyDescent="0.25">
      <c r="B701" s="274">
        <v>19.5</v>
      </c>
      <c r="C701" s="274">
        <v>70</v>
      </c>
      <c r="D701" s="274">
        <v>19.5</v>
      </c>
      <c r="E701" s="274">
        <v>1.8</v>
      </c>
      <c r="F701" s="274">
        <v>3.6</v>
      </c>
      <c r="G701" s="274">
        <v>164</v>
      </c>
      <c r="H701" s="274">
        <v>1023.6</v>
      </c>
      <c r="I701" s="274">
        <v>82708</v>
      </c>
      <c r="J701" s="274">
        <v>0</v>
      </c>
      <c r="K701" s="274">
        <v>0</v>
      </c>
      <c r="L701" s="274">
        <v>0</v>
      </c>
      <c r="M701" s="274">
        <v>65.3</v>
      </c>
      <c r="N701" s="396">
        <v>599.79999999999995</v>
      </c>
      <c r="O701" s="396">
        <v>34.700000000000003</v>
      </c>
      <c r="P701" s="396">
        <v>33.799999999999997</v>
      </c>
      <c r="Q701" s="397">
        <v>0.48055555555555601</v>
      </c>
      <c r="R701" s="396"/>
      <c r="S701" s="410"/>
      <c r="T701" s="409"/>
      <c r="U701" s="398" t="str">
        <f t="shared" si="29"/>
        <v/>
      </c>
      <c r="V701" s="400"/>
      <c r="W701" s="410">
        <f t="shared" si="31"/>
        <v>34.700000000000003</v>
      </c>
      <c r="X701" s="472">
        <f t="shared" si="30"/>
        <v>60</v>
      </c>
      <c r="AT701" s="232"/>
      <c r="AV701" s="198"/>
      <c r="AW701" s="274"/>
    </row>
    <row r="702" spans="2:49" x14ac:dyDescent="0.25">
      <c r="B702" s="274">
        <v>19.5</v>
      </c>
      <c r="C702" s="274">
        <v>68</v>
      </c>
      <c r="D702" s="274">
        <v>19.5</v>
      </c>
      <c r="E702" s="274">
        <v>5.4</v>
      </c>
      <c r="F702" s="274">
        <v>5.4</v>
      </c>
      <c r="G702" s="274">
        <v>121</v>
      </c>
      <c r="H702" s="274">
        <v>1023.8</v>
      </c>
      <c r="I702" s="274">
        <v>82336</v>
      </c>
      <c r="J702" s="274">
        <v>0</v>
      </c>
      <c r="K702" s="274">
        <v>0</v>
      </c>
      <c r="L702" s="274">
        <v>0</v>
      </c>
      <c r="M702" s="274">
        <v>65.3</v>
      </c>
      <c r="N702" s="396">
        <v>599.79999999999995</v>
      </c>
      <c r="O702" s="396">
        <v>34.799999999999997</v>
      </c>
      <c r="P702" s="396">
        <v>34</v>
      </c>
      <c r="Q702" s="397">
        <v>0.48125000000000001</v>
      </c>
      <c r="R702" s="396"/>
      <c r="S702" s="410"/>
      <c r="T702" s="409"/>
      <c r="U702" s="398" t="str">
        <f t="shared" si="29"/>
        <v/>
      </c>
      <c r="V702" s="400"/>
      <c r="W702" s="410">
        <f t="shared" si="31"/>
        <v>34.799999999999997</v>
      </c>
      <c r="X702" s="472">
        <f t="shared" si="30"/>
        <v>60</v>
      </c>
      <c r="AT702" s="232"/>
      <c r="AV702" s="198"/>
      <c r="AW702" s="274"/>
    </row>
    <row r="703" spans="2:49" x14ac:dyDescent="0.25">
      <c r="B703" s="274">
        <v>19.5</v>
      </c>
      <c r="C703" s="274">
        <v>70</v>
      </c>
      <c r="D703" s="274">
        <v>19.5</v>
      </c>
      <c r="E703" s="274">
        <v>5.4</v>
      </c>
      <c r="F703" s="274">
        <v>7.2</v>
      </c>
      <c r="G703" s="274">
        <v>147</v>
      </c>
      <c r="H703" s="274">
        <v>1023.7</v>
      </c>
      <c r="I703" s="274">
        <v>84754</v>
      </c>
      <c r="J703" s="274">
        <v>0</v>
      </c>
      <c r="K703" s="274">
        <v>0</v>
      </c>
      <c r="L703" s="274">
        <v>0</v>
      </c>
      <c r="M703" s="274">
        <v>65.3</v>
      </c>
      <c r="N703" s="396">
        <v>599.79999999999995</v>
      </c>
      <c r="O703" s="396">
        <v>34.9</v>
      </c>
      <c r="P703" s="396">
        <v>34</v>
      </c>
      <c r="Q703" s="397">
        <v>0.48194444444444401</v>
      </c>
      <c r="R703" s="396"/>
      <c r="S703" s="410"/>
      <c r="T703" s="409"/>
      <c r="U703" s="398" t="str">
        <f t="shared" si="29"/>
        <v/>
      </c>
      <c r="V703" s="400"/>
      <c r="W703" s="410">
        <f t="shared" si="31"/>
        <v>34.9</v>
      </c>
      <c r="X703" s="472">
        <f t="shared" si="30"/>
        <v>60</v>
      </c>
      <c r="AT703" s="232"/>
      <c r="AV703" s="198"/>
      <c r="AW703" s="274"/>
    </row>
    <row r="704" spans="2:49" x14ac:dyDescent="0.25">
      <c r="B704" s="274">
        <v>19.5</v>
      </c>
      <c r="C704" s="274">
        <v>69</v>
      </c>
      <c r="D704" s="274">
        <v>19.5</v>
      </c>
      <c r="E704" s="274">
        <v>0.4</v>
      </c>
      <c r="F704" s="274">
        <v>1.8</v>
      </c>
      <c r="G704" s="274">
        <v>107</v>
      </c>
      <c r="H704" s="274">
        <v>1023.5</v>
      </c>
      <c r="I704" s="274">
        <v>85622</v>
      </c>
      <c r="J704" s="274">
        <v>0</v>
      </c>
      <c r="K704" s="274">
        <v>0</v>
      </c>
      <c r="L704" s="274">
        <v>0</v>
      </c>
      <c r="M704" s="274">
        <v>65.3</v>
      </c>
      <c r="N704" s="396">
        <v>599.79999999999995</v>
      </c>
      <c r="O704" s="396">
        <v>35</v>
      </c>
      <c r="P704" s="396">
        <v>34.200000000000003</v>
      </c>
      <c r="Q704" s="397">
        <v>0.48263888888888901</v>
      </c>
      <c r="R704" s="396"/>
      <c r="S704" s="410"/>
      <c r="T704" s="409"/>
      <c r="U704" s="398" t="str">
        <f t="shared" si="29"/>
        <v/>
      </c>
      <c r="V704" s="400"/>
      <c r="W704" s="410">
        <f t="shared" si="31"/>
        <v>35</v>
      </c>
      <c r="X704" s="472">
        <f t="shared" si="30"/>
        <v>60</v>
      </c>
      <c r="AT704" s="232"/>
      <c r="AV704" s="198"/>
      <c r="AW704" s="274"/>
    </row>
    <row r="705" spans="2:49" x14ac:dyDescent="0.25">
      <c r="B705" s="274">
        <v>19.5</v>
      </c>
      <c r="C705" s="274">
        <v>69</v>
      </c>
      <c r="D705" s="274">
        <v>19.5</v>
      </c>
      <c r="E705" s="274">
        <v>1.4</v>
      </c>
      <c r="F705" s="274">
        <v>3.6</v>
      </c>
      <c r="G705" s="274">
        <v>121</v>
      </c>
      <c r="H705" s="274">
        <v>1023.5</v>
      </c>
      <c r="I705" s="274">
        <v>83870</v>
      </c>
      <c r="J705" s="274">
        <v>0</v>
      </c>
      <c r="K705" s="274">
        <v>0</v>
      </c>
      <c r="L705" s="274">
        <v>0</v>
      </c>
      <c r="M705" s="274">
        <v>65.3</v>
      </c>
      <c r="N705" s="396">
        <v>599.79999999999995</v>
      </c>
      <c r="O705" s="396">
        <v>35</v>
      </c>
      <c r="P705" s="396">
        <v>34.4</v>
      </c>
      <c r="Q705" s="397">
        <v>0.483333333333333</v>
      </c>
      <c r="R705" s="396"/>
      <c r="S705" s="410"/>
      <c r="T705" s="409"/>
      <c r="U705" s="398" t="str">
        <f t="shared" si="29"/>
        <v/>
      </c>
      <c r="V705" s="400"/>
      <c r="W705" s="410">
        <f t="shared" si="31"/>
        <v>35</v>
      </c>
      <c r="X705" s="472">
        <f t="shared" si="30"/>
        <v>60</v>
      </c>
      <c r="AT705" s="232"/>
      <c r="AV705" s="198"/>
      <c r="AW705" s="274"/>
    </row>
    <row r="706" spans="2:49" x14ac:dyDescent="0.25">
      <c r="B706" s="274">
        <v>19.7</v>
      </c>
      <c r="C706" s="274">
        <v>70</v>
      </c>
      <c r="D706" s="274">
        <v>19.7</v>
      </c>
      <c r="E706" s="274">
        <v>6.1</v>
      </c>
      <c r="F706" s="274">
        <v>9.4</v>
      </c>
      <c r="G706" s="274">
        <v>94</v>
      </c>
      <c r="H706" s="274">
        <v>1023.7</v>
      </c>
      <c r="I706" s="274">
        <v>87280</v>
      </c>
      <c r="J706" s="274">
        <v>0</v>
      </c>
      <c r="K706" s="274">
        <v>0</v>
      </c>
      <c r="L706" s="274">
        <v>0</v>
      </c>
      <c r="M706" s="274">
        <v>65.3</v>
      </c>
      <c r="N706" s="396">
        <v>599.79999999999995</v>
      </c>
      <c r="O706" s="396">
        <v>35.1</v>
      </c>
      <c r="P706" s="396">
        <v>34.5</v>
      </c>
      <c r="Q706" s="397">
        <v>0.484027777777778</v>
      </c>
      <c r="R706" s="396"/>
      <c r="S706" s="410"/>
      <c r="T706" s="409"/>
      <c r="U706" s="398" t="str">
        <f t="shared" si="29"/>
        <v/>
      </c>
      <c r="V706" s="400"/>
      <c r="W706" s="410">
        <f t="shared" si="31"/>
        <v>35.1</v>
      </c>
      <c r="X706" s="472">
        <f t="shared" si="30"/>
        <v>60</v>
      </c>
      <c r="AT706" s="232"/>
      <c r="AV706" s="198"/>
      <c r="AW706" s="274"/>
    </row>
    <row r="707" spans="2:49" x14ac:dyDescent="0.25">
      <c r="B707" s="274">
        <v>19.7</v>
      </c>
      <c r="C707" s="274">
        <v>70</v>
      </c>
      <c r="D707" s="274">
        <v>19.7</v>
      </c>
      <c r="E707" s="274">
        <v>3.6</v>
      </c>
      <c r="F707" s="274">
        <v>3.6</v>
      </c>
      <c r="G707" s="274">
        <v>101</v>
      </c>
      <c r="H707" s="274">
        <v>1023.6</v>
      </c>
      <c r="I707" s="274">
        <v>87327</v>
      </c>
      <c r="J707" s="274">
        <v>0</v>
      </c>
      <c r="K707" s="274">
        <v>0</v>
      </c>
      <c r="L707" s="274">
        <v>0</v>
      </c>
      <c r="M707" s="274">
        <v>65.3</v>
      </c>
      <c r="N707" s="396">
        <v>599.79999999999995</v>
      </c>
      <c r="O707" s="396">
        <v>35.200000000000003</v>
      </c>
      <c r="P707" s="396">
        <v>34.5</v>
      </c>
      <c r="Q707" s="397">
        <v>0.484722222222222</v>
      </c>
      <c r="R707" s="396"/>
      <c r="S707" s="410"/>
      <c r="T707" s="409"/>
      <c r="U707" s="398" t="str">
        <f t="shared" si="29"/>
        <v/>
      </c>
      <c r="V707" s="400"/>
      <c r="W707" s="410">
        <f t="shared" si="31"/>
        <v>35.200000000000003</v>
      </c>
      <c r="X707" s="472">
        <f t="shared" si="30"/>
        <v>60</v>
      </c>
      <c r="AT707" s="232"/>
      <c r="AV707" s="198"/>
      <c r="AW707" s="274"/>
    </row>
    <row r="708" spans="2:49" x14ac:dyDescent="0.25">
      <c r="B708" s="274">
        <v>19.399999999999999</v>
      </c>
      <c r="C708" s="274">
        <v>69</v>
      </c>
      <c r="D708" s="274">
        <v>19.399999999999999</v>
      </c>
      <c r="E708" s="274">
        <v>1.1000000000000001</v>
      </c>
      <c r="F708" s="274">
        <v>1.8</v>
      </c>
      <c r="G708" s="274">
        <v>56</v>
      </c>
      <c r="H708" s="274">
        <v>1023.8</v>
      </c>
      <c r="I708" s="274">
        <v>87389</v>
      </c>
      <c r="J708" s="274">
        <v>0</v>
      </c>
      <c r="K708" s="274">
        <v>0</v>
      </c>
      <c r="L708" s="274">
        <v>0</v>
      </c>
      <c r="M708" s="274">
        <v>65.3</v>
      </c>
      <c r="N708" s="396">
        <v>599.79999999999995</v>
      </c>
      <c r="O708" s="396">
        <v>35.1</v>
      </c>
      <c r="P708" s="396">
        <v>34.4</v>
      </c>
      <c r="Q708" s="397">
        <v>0.485416666666667</v>
      </c>
      <c r="R708" s="396"/>
      <c r="S708" s="410"/>
      <c r="T708" s="409"/>
      <c r="U708" s="398" t="str">
        <f t="shared" si="29"/>
        <v/>
      </c>
      <c r="V708" s="400"/>
      <c r="W708" s="410">
        <f t="shared" si="31"/>
        <v>35.1</v>
      </c>
      <c r="X708" s="472">
        <f t="shared" si="30"/>
        <v>60</v>
      </c>
      <c r="AT708" s="232"/>
      <c r="AV708" s="198"/>
      <c r="AW708" s="274"/>
    </row>
    <row r="709" spans="2:49" x14ac:dyDescent="0.25">
      <c r="B709" s="274">
        <v>19.5</v>
      </c>
      <c r="C709" s="274">
        <v>69</v>
      </c>
      <c r="D709" s="274">
        <v>19.5</v>
      </c>
      <c r="E709" s="274">
        <v>1.4</v>
      </c>
      <c r="F709" s="274">
        <v>1.8</v>
      </c>
      <c r="G709" s="274">
        <v>92</v>
      </c>
      <c r="H709" s="274">
        <v>1023.5</v>
      </c>
      <c r="I709" s="274">
        <v>87280</v>
      </c>
      <c r="J709" s="274">
        <v>0</v>
      </c>
      <c r="K709" s="274">
        <v>0</v>
      </c>
      <c r="L709" s="274">
        <v>0</v>
      </c>
      <c r="M709" s="274">
        <v>65.3</v>
      </c>
      <c r="N709" s="396">
        <v>599.79999999999995</v>
      </c>
      <c r="O709" s="396">
        <v>35.1</v>
      </c>
      <c r="P709" s="396">
        <v>34.299999999999997</v>
      </c>
      <c r="Q709" s="397">
        <v>0.48611111111111099</v>
      </c>
      <c r="R709" s="396"/>
      <c r="S709" s="410"/>
      <c r="T709" s="409"/>
      <c r="U709" s="398" t="str">
        <f t="shared" si="29"/>
        <v/>
      </c>
      <c r="V709" s="400"/>
      <c r="W709" s="410">
        <f t="shared" si="31"/>
        <v>35.1</v>
      </c>
      <c r="X709" s="472">
        <f t="shared" si="30"/>
        <v>60</v>
      </c>
      <c r="AT709" s="232"/>
      <c r="AV709" s="198"/>
      <c r="AW709" s="274"/>
    </row>
    <row r="710" spans="2:49" x14ac:dyDescent="0.25">
      <c r="B710" s="274">
        <v>19.600000000000001</v>
      </c>
      <c r="C710" s="274">
        <v>68</v>
      </c>
      <c r="D710" s="274">
        <v>19.600000000000001</v>
      </c>
      <c r="E710" s="274">
        <v>3.2</v>
      </c>
      <c r="F710" s="274">
        <v>5.4</v>
      </c>
      <c r="G710" s="274">
        <v>86</v>
      </c>
      <c r="H710" s="274">
        <v>1023.7</v>
      </c>
      <c r="I710" s="274">
        <v>87544</v>
      </c>
      <c r="J710" s="274">
        <v>0</v>
      </c>
      <c r="K710" s="274">
        <v>0</v>
      </c>
      <c r="L710" s="274">
        <v>0</v>
      </c>
      <c r="M710" s="274">
        <v>65.3</v>
      </c>
      <c r="N710" s="396">
        <v>599.79999999999995</v>
      </c>
      <c r="O710" s="396">
        <v>35.200000000000003</v>
      </c>
      <c r="P710" s="396">
        <v>34.1</v>
      </c>
      <c r="Q710" s="397">
        <v>0.48680555555555599</v>
      </c>
      <c r="R710" s="396"/>
      <c r="S710" s="410"/>
      <c r="T710" s="409"/>
      <c r="U710" s="398" t="str">
        <f t="shared" si="29"/>
        <v/>
      </c>
      <c r="V710" s="400"/>
      <c r="W710" s="410">
        <f t="shared" si="31"/>
        <v>35.200000000000003</v>
      </c>
      <c r="X710" s="472">
        <f t="shared" si="30"/>
        <v>60</v>
      </c>
      <c r="AT710" s="232"/>
      <c r="AV710" s="198"/>
      <c r="AW710" s="274"/>
    </row>
    <row r="711" spans="2:49" x14ac:dyDescent="0.25">
      <c r="B711" s="274">
        <v>19.8</v>
      </c>
      <c r="C711" s="274">
        <v>69</v>
      </c>
      <c r="D711" s="274">
        <v>19.8</v>
      </c>
      <c r="E711" s="274">
        <v>5</v>
      </c>
      <c r="F711" s="274">
        <v>7.2</v>
      </c>
      <c r="G711" s="274">
        <v>132</v>
      </c>
      <c r="H711" s="274">
        <v>1023.6</v>
      </c>
      <c r="I711" s="274">
        <v>88319</v>
      </c>
      <c r="J711" s="274">
        <v>0</v>
      </c>
      <c r="K711" s="274">
        <v>0</v>
      </c>
      <c r="L711" s="274">
        <v>0</v>
      </c>
      <c r="M711" s="274">
        <v>65.3</v>
      </c>
      <c r="N711" s="396">
        <v>599.79999999999995</v>
      </c>
      <c r="O711" s="396">
        <v>35.299999999999997</v>
      </c>
      <c r="P711" s="396">
        <v>34.200000000000003</v>
      </c>
      <c r="Q711" s="397">
        <v>0.48749999999999999</v>
      </c>
      <c r="R711" s="396"/>
      <c r="S711" s="410"/>
      <c r="T711" s="409"/>
      <c r="U711" s="398" t="str">
        <f t="shared" si="29"/>
        <v/>
      </c>
      <c r="V711" s="400"/>
      <c r="W711" s="410">
        <f t="shared" si="31"/>
        <v>35.299999999999997</v>
      </c>
      <c r="X711" s="472">
        <f t="shared" si="30"/>
        <v>60</v>
      </c>
      <c r="AT711" s="232"/>
      <c r="AV711" s="198"/>
      <c r="AW711" s="274"/>
    </row>
    <row r="712" spans="2:49" x14ac:dyDescent="0.25">
      <c r="B712" s="274">
        <v>19.8</v>
      </c>
      <c r="C712" s="274">
        <v>69</v>
      </c>
      <c r="D712" s="274">
        <v>19.8</v>
      </c>
      <c r="E712" s="274">
        <v>2.5</v>
      </c>
      <c r="F712" s="274">
        <v>3.6</v>
      </c>
      <c r="G712" s="274">
        <v>103</v>
      </c>
      <c r="H712" s="274">
        <v>1023.6</v>
      </c>
      <c r="I712" s="274">
        <v>88923</v>
      </c>
      <c r="J712" s="274">
        <v>0</v>
      </c>
      <c r="K712" s="274">
        <v>0</v>
      </c>
      <c r="L712" s="274">
        <v>0</v>
      </c>
      <c r="M712" s="274">
        <v>65.3</v>
      </c>
      <c r="N712" s="396">
        <v>599.79999999999995</v>
      </c>
      <c r="O712" s="396">
        <v>35.299999999999997</v>
      </c>
      <c r="P712" s="396">
        <v>34.299999999999997</v>
      </c>
      <c r="Q712" s="397">
        <v>0.48819444444444399</v>
      </c>
      <c r="R712" s="396"/>
      <c r="S712" s="410"/>
      <c r="T712" s="409"/>
      <c r="U712" s="398" t="str">
        <f t="shared" si="29"/>
        <v/>
      </c>
      <c r="V712" s="400"/>
      <c r="W712" s="410">
        <f t="shared" si="31"/>
        <v>35.299999999999997</v>
      </c>
      <c r="X712" s="472">
        <f t="shared" si="30"/>
        <v>60</v>
      </c>
      <c r="AT712" s="232"/>
      <c r="AV712" s="198"/>
      <c r="AW712" s="274"/>
    </row>
    <row r="713" spans="2:49" x14ac:dyDescent="0.25">
      <c r="B713" s="274">
        <v>19.8</v>
      </c>
      <c r="C713" s="274">
        <v>69</v>
      </c>
      <c r="D713" s="274">
        <v>19.8</v>
      </c>
      <c r="E713" s="274">
        <v>3.2</v>
      </c>
      <c r="F713" s="274">
        <v>3.6</v>
      </c>
      <c r="G713" s="274">
        <v>91</v>
      </c>
      <c r="H713" s="274">
        <v>1023.9</v>
      </c>
      <c r="I713" s="274">
        <v>89249</v>
      </c>
      <c r="J713" s="274">
        <v>0</v>
      </c>
      <c r="K713" s="274">
        <v>0</v>
      </c>
      <c r="L713" s="274">
        <v>0</v>
      </c>
      <c r="M713" s="274">
        <v>65.3</v>
      </c>
      <c r="N713" s="396">
        <v>599.79999999999995</v>
      </c>
      <c r="O713" s="396">
        <v>35.5</v>
      </c>
      <c r="P713" s="396">
        <v>34.4</v>
      </c>
      <c r="Q713" s="397">
        <v>0.48888888888888898</v>
      </c>
      <c r="R713" s="396"/>
      <c r="S713" s="410"/>
      <c r="T713" s="409"/>
      <c r="U713" s="398" t="str">
        <f t="shared" si="29"/>
        <v/>
      </c>
      <c r="V713" s="400"/>
      <c r="W713" s="410">
        <f t="shared" si="31"/>
        <v>35.5</v>
      </c>
      <c r="X713" s="472">
        <f t="shared" si="30"/>
        <v>60</v>
      </c>
      <c r="AT713" s="232"/>
      <c r="AV713" s="198"/>
      <c r="AW713" s="274"/>
    </row>
    <row r="714" spans="2:49" x14ac:dyDescent="0.25">
      <c r="B714" s="274">
        <v>19.8</v>
      </c>
      <c r="C714" s="274">
        <v>69</v>
      </c>
      <c r="D714" s="274">
        <v>19.8</v>
      </c>
      <c r="E714" s="274">
        <v>4</v>
      </c>
      <c r="F714" s="274">
        <v>7.2</v>
      </c>
      <c r="G714" s="274">
        <v>110</v>
      </c>
      <c r="H714" s="274">
        <v>1023.8</v>
      </c>
      <c r="I714" s="274">
        <v>89419</v>
      </c>
      <c r="J714" s="274">
        <v>0</v>
      </c>
      <c r="K714" s="274">
        <v>0</v>
      </c>
      <c r="L714" s="274">
        <v>0</v>
      </c>
      <c r="M714" s="274">
        <v>65.3</v>
      </c>
      <c r="N714" s="396">
        <v>599.79999999999995</v>
      </c>
      <c r="O714" s="396">
        <v>35.5</v>
      </c>
      <c r="P714" s="396">
        <v>34.4</v>
      </c>
      <c r="Q714" s="397">
        <v>0.48958333333333298</v>
      </c>
      <c r="R714" s="396"/>
      <c r="S714" s="410"/>
      <c r="T714" s="409"/>
      <c r="U714" s="398" t="str">
        <f t="shared" si="29"/>
        <v/>
      </c>
      <c r="V714" s="400"/>
      <c r="W714" s="410">
        <f t="shared" si="31"/>
        <v>35.5</v>
      </c>
      <c r="X714" s="472">
        <f t="shared" si="30"/>
        <v>60</v>
      </c>
      <c r="AT714" s="232"/>
      <c r="AV714" s="198"/>
      <c r="AW714" s="274"/>
    </row>
    <row r="715" spans="2:49" x14ac:dyDescent="0.25">
      <c r="B715" s="274">
        <v>19.7</v>
      </c>
      <c r="C715" s="274">
        <v>69</v>
      </c>
      <c r="D715" s="274">
        <v>19.7</v>
      </c>
      <c r="E715" s="274">
        <v>4.7</v>
      </c>
      <c r="F715" s="274">
        <v>7.2</v>
      </c>
      <c r="G715" s="274">
        <v>111</v>
      </c>
      <c r="H715" s="274">
        <v>1023.6</v>
      </c>
      <c r="I715" s="274">
        <v>89357</v>
      </c>
      <c r="J715" s="274">
        <v>0</v>
      </c>
      <c r="K715" s="274">
        <v>0</v>
      </c>
      <c r="L715" s="274">
        <v>0</v>
      </c>
      <c r="M715" s="274">
        <v>65.3</v>
      </c>
      <c r="N715" s="396">
        <v>599.79999999999995</v>
      </c>
      <c r="O715" s="396">
        <v>35.5</v>
      </c>
      <c r="P715" s="396">
        <v>34.4</v>
      </c>
      <c r="Q715" s="397">
        <v>0.49027777777777798</v>
      </c>
      <c r="R715" s="396"/>
      <c r="S715" s="410"/>
      <c r="T715" s="409"/>
      <c r="U715" s="398" t="str">
        <f t="shared" ref="U715:U778" si="32">IF(J715&gt;0,60,"")</f>
        <v/>
      </c>
      <c r="V715" s="400"/>
      <c r="W715" s="410">
        <f t="shared" si="31"/>
        <v>35.5</v>
      </c>
      <c r="X715" s="472">
        <f t="shared" si="30"/>
        <v>60</v>
      </c>
      <c r="AT715" s="232"/>
      <c r="AV715" s="198"/>
      <c r="AW715" s="274"/>
    </row>
    <row r="716" spans="2:49" x14ac:dyDescent="0.25">
      <c r="B716" s="274">
        <v>19.600000000000001</v>
      </c>
      <c r="C716" s="274">
        <v>69</v>
      </c>
      <c r="D716" s="274">
        <v>19.600000000000001</v>
      </c>
      <c r="E716" s="274">
        <v>0</v>
      </c>
      <c r="F716" s="274">
        <v>0</v>
      </c>
      <c r="G716" s="274">
        <v>146</v>
      </c>
      <c r="H716" s="274">
        <v>1023.6</v>
      </c>
      <c r="I716" s="274">
        <v>89807</v>
      </c>
      <c r="J716" s="274">
        <v>0</v>
      </c>
      <c r="K716" s="274">
        <v>0</v>
      </c>
      <c r="L716" s="274">
        <v>0</v>
      </c>
      <c r="M716" s="274">
        <v>65.3</v>
      </c>
      <c r="N716" s="396">
        <v>599.79999999999995</v>
      </c>
      <c r="O716" s="396">
        <v>35.4</v>
      </c>
      <c r="P716" s="396">
        <v>34.4</v>
      </c>
      <c r="Q716" s="397">
        <v>0.49097222222222198</v>
      </c>
      <c r="R716" s="396"/>
      <c r="S716" s="410"/>
      <c r="T716" s="409"/>
      <c r="U716" s="398" t="str">
        <f t="shared" si="32"/>
        <v/>
      </c>
      <c r="V716" s="400"/>
      <c r="W716" s="410">
        <f t="shared" si="31"/>
        <v>35.4</v>
      </c>
      <c r="X716" s="472">
        <f t="shared" si="30"/>
        <v>60</v>
      </c>
      <c r="AT716" s="232"/>
      <c r="AV716" s="198"/>
      <c r="AW716" s="274"/>
    </row>
    <row r="717" spans="2:49" x14ac:dyDescent="0.25">
      <c r="B717" s="274">
        <v>19.7</v>
      </c>
      <c r="C717" s="274">
        <v>67</v>
      </c>
      <c r="D717" s="274">
        <v>19.7</v>
      </c>
      <c r="E717" s="274">
        <v>2.9</v>
      </c>
      <c r="F717" s="274">
        <v>3.6</v>
      </c>
      <c r="G717" s="274">
        <v>76</v>
      </c>
      <c r="H717" s="274">
        <v>1023.7</v>
      </c>
      <c r="I717" s="274">
        <v>90132</v>
      </c>
      <c r="J717" s="274">
        <v>0</v>
      </c>
      <c r="K717" s="274">
        <v>0</v>
      </c>
      <c r="L717" s="274">
        <v>0</v>
      </c>
      <c r="M717" s="274">
        <v>65.3</v>
      </c>
      <c r="N717" s="396">
        <v>599.79999999999995</v>
      </c>
      <c r="O717" s="396">
        <v>35.4</v>
      </c>
      <c r="P717" s="396">
        <v>34.5</v>
      </c>
      <c r="Q717" s="397">
        <v>0.49166666666666697</v>
      </c>
      <c r="R717" s="396"/>
      <c r="S717" s="410"/>
      <c r="T717" s="409"/>
      <c r="U717" s="398" t="str">
        <f t="shared" si="32"/>
        <v/>
      </c>
      <c r="V717" s="400"/>
      <c r="W717" s="410">
        <f t="shared" si="31"/>
        <v>35.4</v>
      </c>
      <c r="X717" s="472">
        <f t="shared" si="30"/>
        <v>60</v>
      </c>
      <c r="AT717" s="232"/>
      <c r="AV717" s="198"/>
      <c r="AW717" s="274"/>
    </row>
    <row r="718" spans="2:49" x14ac:dyDescent="0.25">
      <c r="B718" s="274">
        <v>19.8</v>
      </c>
      <c r="C718" s="274">
        <v>68</v>
      </c>
      <c r="D718" s="274">
        <v>19.8</v>
      </c>
      <c r="E718" s="274">
        <v>6.5</v>
      </c>
      <c r="F718" s="274">
        <v>9.4</v>
      </c>
      <c r="G718" s="274">
        <v>97</v>
      </c>
      <c r="H718" s="274">
        <v>1023.6</v>
      </c>
      <c r="I718" s="274">
        <v>90907</v>
      </c>
      <c r="J718" s="274">
        <v>0</v>
      </c>
      <c r="K718" s="274">
        <v>0</v>
      </c>
      <c r="L718" s="274">
        <v>0</v>
      </c>
      <c r="M718" s="274">
        <v>65.3</v>
      </c>
      <c r="N718" s="396">
        <v>599.79999999999995</v>
      </c>
      <c r="O718" s="396">
        <v>35.4</v>
      </c>
      <c r="P718" s="396">
        <v>34.4</v>
      </c>
      <c r="Q718" s="397">
        <v>0.49236111111111103</v>
      </c>
      <c r="R718" s="396"/>
      <c r="S718" s="410"/>
      <c r="T718" s="409"/>
      <c r="U718" s="398" t="str">
        <f t="shared" si="32"/>
        <v/>
      </c>
      <c r="V718" s="400"/>
      <c r="W718" s="410">
        <f t="shared" si="31"/>
        <v>35.4</v>
      </c>
      <c r="X718" s="472">
        <f t="shared" si="30"/>
        <v>60</v>
      </c>
      <c r="AT718" s="232"/>
      <c r="AV718" s="198"/>
      <c r="AW718" s="274"/>
    </row>
    <row r="719" spans="2:49" x14ac:dyDescent="0.25">
      <c r="B719" s="274">
        <v>19.7</v>
      </c>
      <c r="C719" s="274">
        <v>69</v>
      </c>
      <c r="D719" s="274">
        <v>19.7</v>
      </c>
      <c r="E719" s="274">
        <v>4.7</v>
      </c>
      <c r="F719" s="274">
        <v>5.4</v>
      </c>
      <c r="G719" s="274">
        <v>91</v>
      </c>
      <c r="H719" s="274">
        <v>1023.4</v>
      </c>
      <c r="I719" s="274">
        <v>91341</v>
      </c>
      <c r="J719" s="274">
        <v>0</v>
      </c>
      <c r="K719" s="274">
        <v>0</v>
      </c>
      <c r="L719" s="274">
        <v>0</v>
      </c>
      <c r="M719" s="274">
        <v>65.3</v>
      </c>
      <c r="N719" s="396">
        <v>599.79999999999995</v>
      </c>
      <c r="O719" s="396">
        <v>35.4</v>
      </c>
      <c r="P719" s="396">
        <v>34.4</v>
      </c>
      <c r="Q719" s="397">
        <v>0.49305555555555602</v>
      </c>
      <c r="R719" s="396"/>
      <c r="S719" s="410"/>
      <c r="T719" s="409"/>
      <c r="U719" s="398" t="str">
        <f t="shared" si="32"/>
        <v/>
      </c>
      <c r="V719" s="400"/>
      <c r="W719" s="410">
        <f t="shared" si="31"/>
        <v>35.4</v>
      </c>
      <c r="X719" s="472">
        <f t="shared" si="30"/>
        <v>60</v>
      </c>
      <c r="AT719" s="232"/>
      <c r="AV719" s="198"/>
      <c r="AW719" s="274"/>
    </row>
    <row r="720" spans="2:49" x14ac:dyDescent="0.25">
      <c r="B720" s="274">
        <v>19.5</v>
      </c>
      <c r="C720" s="274">
        <v>69</v>
      </c>
      <c r="D720" s="274">
        <v>19.5</v>
      </c>
      <c r="E720" s="274">
        <v>1.4</v>
      </c>
      <c r="F720" s="274">
        <v>1.8</v>
      </c>
      <c r="G720" s="274">
        <v>136</v>
      </c>
      <c r="H720" s="274">
        <v>1023.6</v>
      </c>
      <c r="I720" s="274">
        <v>91620</v>
      </c>
      <c r="J720" s="274">
        <v>0</v>
      </c>
      <c r="K720" s="274">
        <v>0</v>
      </c>
      <c r="L720" s="274">
        <v>0</v>
      </c>
      <c r="M720" s="274">
        <v>65.3</v>
      </c>
      <c r="N720" s="396">
        <v>599.79999999999995</v>
      </c>
      <c r="O720" s="396">
        <v>35.4</v>
      </c>
      <c r="P720" s="396">
        <v>34.200000000000003</v>
      </c>
      <c r="Q720" s="397">
        <v>0.49375000000000002</v>
      </c>
      <c r="R720" s="396"/>
      <c r="S720" s="410"/>
      <c r="T720" s="409"/>
      <c r="U720" s="398" t="str">
        <f t="shared" si="32"/>
        <v/>
      </c>
      <c r="V720" s="400"/>
      <c r="W720" s="410">
        <f t="shared" si="31"/>
        <v>35.4</v>
      </c>
      <c r="X720" s="472">
        <f t="shared" si="30"/>
        <v>60</v>
      </c>
      <c r="AT720" s="232"/>
      <c r="AV720" s="198"/>
      <c r="AW720" s="274"/>
    </row>
    <row r="721" spans="2:49" x14ac:dyDescent="0.25">
      <c r="B721" s="274">
        <v>19.600000000000001</v>
      </c>
      <c r="C721" s="274">
        <v>67</v>
      </c>
      <c r="D721" s="274">
        <v>19.600000000000001</v>
      </c>
      <c r="E721" s="274">
        <v>3.6</v>
      </c>
      <c r="F721" s="274">
        <v>5.4</v>
      </c>
      <c r="G721" s="274">
        <v>85</v>
      </c>
      <c r="H721" s="274">
        <v>1023.5</v>
      </c>
      <c r="I721" s="274">
        <v>91512</v>
      </c>
      <c r="J721" s="274">
        <v>0</v>
      </c>
      <c r="K721" s="274">
        <v>0</v>
      </c>
      <c r="L721" s="274">
        <v>0</v>
      </c>
      <c r="M721" s="274">
        <v>65.3</v>
      </c>
      <c r="N721" s="396">
        <v>599.79999999999995</v>
      </c>
      <c r="O721" s="396">
        <v>35.299999999999997</v>
      </c>
      <c r="P721" s="396">
        <v>34.1</v>
      </c>
      <c r="Q721" s="397">
        <v>0.49444444444444402</v>
      </c>
      <c r="R721" s="396"/>
      <c r="S721" s="410"/>
      <c r="T721" s="409"/>
      <c r="U721" s="398" t="str">
        <f t="shared" si="32"/>
        <v/>
      </c>
      <c r="V721" s="400"/>
      <c r="W721" s="410">
        <f t="shared" si="31"/>
        <v>35.299999999999997</v>
      </c>
      <c r="X721" s="472">
        <f t="shared" ref="X721:X784" si="33">IF(W721&gt;B721+3,60,"")</f>
        <v>60</v>
      </c>
      <c r="AT721" s="232"/>
      <c r="AV721" s="198"/>
      <c r="AW721" s="274"/>
    </row>
    <row r="722" spans="2:49" x14ac:dyDescent="0.25">
      <c r="B722" s="274">
        <v>19.899999999999999</v>
      </c>
      <c r="C722" s="274">
        <v>67</v>
      </c>
      <c r="D722" s="274">
        <v>19.899999999999999</v>
      </c>
      <c r="E722" s="274">
        <v>1.1000000000000001</v>
      </c>
      <c r="F722" s="274">
        <v>1.8</v>
      </c>
      <c r="G722" s="274">
        <v>85</v>
      </c>
      <c r="H722" s="274">
        <v>1023.7</v>
      </c>
      <c r="I722" s="274">
        <v>91558</v>
      </c>
      <c r="J722" s="274">
        <v>0</v>
      </c>
      <c r="K722" s="274">
        <v>0</v>
      </c>
      <c r="L722" s="274">
        <v>0</v>
      </c>
      <c r="M722" s="274">
        <v>65.3</v>
      </c>
      <c r="N722" s="396">
        <v>599.79999999999995</v>
      </c>
      <c r="O722" s="396">
        <v>35.299999999999997</v>
      </c>
      <c r="P722" s="396">
        <v>34</v>
      </c>
      <c r="Q722" s="397">
        <v>0.49513888888888902</v>
      </c>
      <c r="R722" s="396"/>
      <c r="S722" s="410"/>
      <c r="T722" s="409"/>
      <c r="U722" s="398" t="str">
        <f t="shared" si="32"/>
        <v/>
      </c>
      <c r="V722" s="400"/>
      <c r="W722" s="410">
        <f t="shared" si="31"/>
        <v>35.299999999999997</v>
      </c>
      <c r="X722" s="472">
        <f t="shared" si="33"/>
        <v>60</v>
      </c>
      <c r="AT722" s="232"/>
      <c r="AV722" s="198"/>
      <c r="AW722" s="274"/>
    </row>
    <row r="723" spans="2:49" x14ac:dyDescent="0.25">
      <c r="B723" s="274">
        <v>20.2</v>
      </c>
      <c r="C723" s="274">
        <v>66</v>
      </c>
      <c r="D723" s="274">
        <v>20.2</v>
      </c>
      <c r="E723" s="274">
        <v>2.9</v>
      </c>
      <c r="F723" s="274">
        <v>3.6</v>
      </c>
      <c r="G723" s="274">
        <v>93</v>
      </c>
      <c r="H723" s="274">
        <v>1023.5</v>
      </c>
      <c r="I723" s="274">
        <v>91667</v>
      </c>
      <c r="J723" s="274">
        <v>0</v>
      </c>
      <c r="K723" s="274">
        <v>0</v>
      </c>
      <c r="L723" s="274">
        <v>0</v>
      </c>
      <c r="M723" s="274">
        <v>65.3</v>
      </c>
      <c r="N723" s="396">
        <v>599.79999999999995</v>
      </c>
      <c r="O723" s="396">
        <v>35.4</v>
      </c>
      <c r="P723" s="396">
        <v>34</v>
      </c>
      <c r="Q723" s="397">
        <v>0.49583333333333302</v>
      </c>
      <c r="R723" s="396"/>
      <c r="S723" s="410"/>
      <c r="T723" s="409"/>
      <c r="U723" s="398" t="str">
        <f t="shared" si="32"/>
        <v/>
      </c>
      <c r="V723" s="400"/>
      <c r="W723" s="410">
        <f t="shared" si="31"/>
        <v>35.4</v>
      </c>
      <c r="X723" s="472">
        <f t="shared" si="33"/>
        <v>60</v>
      </c>
      <c r="AT723" s="232"/>
      <c r="AV723" s="198"/>
      <c r="AW723" s="274"/>
    </row>
    <row r="724" spans="2:49" x14ac:dyDescent="0.25">
      <c r="B724" s="274">
        <v>20.2</v>
      </c>
      <c r="C724" s="274">
        <v>66</v>
      </c>
      <c r="D724" s="274">
        <v>20.2</v>
      </c>
      <c r="E724" s="274">
        <v>7.2</v>
      </c>
      <c r="F724" s="274">
        <v>11.2</v>
      </c>
      <c r="G724" s="274">
        <v>86</v>
      </c>
      <c r="H724" s="274">
        <v>1023.6</v>
      </c>
      <c r="I724" s="274">
        <v>91667</v>
      </c>
      <c r="J724" s="274">
        <v>0</v>
      </c>
      <c r="K724" s="274">
        <v>0</v>
      </c>
      <c r="L724" s="274">
        <v>0</v>
      </c>
      <c r="M724" s="274">
        <v>65.3</v>
      </c>
      <c r="N724" s="396">
        <v>599.79999999999995</v>
      </c>
      <c r="O724" s="396">
        <v>35.6</v>
      </c>
      <c r="P724" s="396">
        <v>34</v>
      </c>
      <c r="Q724" s="397">
        <v>0.49652777777777801</v>
      </c>
      <c r="R724" s="396"/>
      <c r="S724" s="410"/>
      <c r="T724" s="409"/>
      <c r="U724" s="398" t="str">
        <f t="shared" si="32"/>
        <v/>
      </c>
      <c r="V724" s="400"/>
      <c r="W724" s="410">
        <f t="shared" si="31"/>
        <v>35.6</v>
      </c>
      <c r="X724" s="472">
        <f t="shared" si="33"/>
        <v>60</v>
      </c>
      <c r="AT724" s="232"/>
      <c r="AV724" s="198"/>
      <c r="AW724" s="274"/>
    </row>
    <row r="725" spans="2:49" x14ac:dyDescent="0.25">
      <c r="B725" s="274">
        <v>20.2</v>
      </c>
      <c r="C725" s="274">
        <v>68</v>
      </c>
      <c r="D725" s="274">
        <v>20.2</v>
      </c>
      <c r="E725" s="274">
        <v>2.5</v>
      </c>
      <c r="F725" s="274">
        <v>3.6</v>
      </c>
      <c r="G725" s="274">
        <v>83</v>
      </c>
      <c r="H725" s="274">
        <v>1023.7</v>
      </c>
      <c r="I725" s="274">
        <v>91341</v>
      </c>
      <c r="J725" s="274">
        <v>0</v>
      </c>
      <c r="K725" s="274">
        <v>0</v>
      </c>
      <c r="L725" s="274">
        <v>0</v>
      </c>
      <c r="M725" s="274">
        <v>65.3</v>
      </c>
      <c r="N725" s="396">
        <v>599.79999999999995</v>
      </c>
      <c r="O725" s="396">
        <v>35.700000000000003</v>
      </c>
      <c r="P725" s="396">
        <v>33.9</v>
      </c>
      <c r="Q725" s="397">
        <v>0.49722222222222201</v>
      </c>
      <c r="R725" s="396"/>
      <c r="S725" s="410"/>
      <c r="T725" s="409"/>
      <c r="U725" s="398" t="str">
        <f t="shared" si="32"/>
        <v/>
      </c>
      <c r="V725" s="400"/>
      <c r="W725" s="410">
        <f t="shared" si="31"/>
        <v>35.700000000000003</v>
      </c>
      <c r="X725" s="472">
        <f t="shared" si="33"/>
        <v>60</v>
      </c>
      <c r="AT725" s="232"/>
      <c r="AV725" s="198"/>
      <c r="AW725" s="274"/>
    </row>
    <row r="726" spans="2:49" x14ac:dyDescent="0.25">
      <c r="B726" s="274">
        <v>19.8</v>
      </c>
      <c r="C726" s="274">
        <v>67</v>
      </c>
      <c r="D726" s="274">
        <v>19.8</v>
      </c>
      <c r="E726" s="274">
        <v>5.4</v>
      </c>
      <c r="F726" s="274">
        <v>5.4</v>
      </c>
      <c r="G726" s="274">
        <v>81</v>
      </c>
      <c r="H726" s="274">
        <v>1023.6</v>
      </c>
      <c r="I726" s="274">
        <v>91512</v>
      </c>
      <c r="J726" s="274">
        <v>0</v>
      </c>
      <c r="K726" s="274">
        <v>0</v>
      </c>
      <c r="L726" s="274">
        <v>0</v>
      </c>
      <c r="M726" s="274">
        <v>65.3</v>
      </c>
      <c r="N726" s="396">
        <v>599.79999999999995</v>
      </c>
      <c r="O726" s="396">
        <v>35.799999999999997</v>
      </c>
      <c r="P726" s="396">
        <v>33.799999999999997</v>
      </c>
      <c r="Q726" s="397">
        <v>0.49791666666666701</v>
      </c>
      <c r="R726" s="396"/>
      <c r="S726" s="410"/>
      <c r="T726" s="409"/>
      <c r="U726" s="398" t="str">
        <f t="shared" si="32"/>
        <v/>
      </c>
      <c r="V726" s="400"/>
      <c r="W726" s="410">
        <f t="shared" si="31"/>
        <v>35.799999999999997</v>
      </c>
      <c r="X726" s="472">
        <f t="shared" si="33"/>
        <v>60</v>
      </c>
      <c r="AT726" s="232"/>
      <c r="AV726" s="198"/>
      <c r="AW726" s="274"/>
    </row>
    <row r="727" spans="2:49" x14ac:dyDescent="0.25">
      <c r="B727" s="274">
        <v>19.7</v>
      </c>
      <c r="C727" s="274">
        <v>68</v>
      </c>
      <c r="D727" s="274">
        <v>19.7</v>
      </c>
      <c r="E727" s="274">
        <v>2.5</v>
      </c>
      <c r="F727" s="274">
        <v>3.6</v>
      </c>
      <c r="G727" s="274">
        <v>116</v>
      </c>
      <c r="H727" s="274">
        <v>1023.7</v>
      </c>
      <c r="I727" s="274">
        <v>92116</v>
      </c>
      <c r="J727" s="274">
        <v>0</v>
      </c>
      <c r="K727" s="274">
        <v>0</v>
      </c>
      <c r="L727" s="274">
        <v>0</v>
      </c>
      <c r="M727" s="274">
        <v>65.3</v>
      </c>
      <c r="N727" s="396">
        <v>599.79999999999995</v>
      </c>
      <c r="O727" s="396">
        <v>35.799999999999997</v>
      </c>
      <c r="P727" s="396">
        <v>33.700000000000003</v>
      </c>
      <c r="Q727" s="397">
        <v>0.49861111111111101</v>
      </c>
      <c r="R727" s="396"/>
      <c r="S727" s="410"/>
      <c r="T727" s="409"/>
      <c r="U727" s="398" t="str">
        <f t="shared" si="32"/>
        <v/>
      </c>
      <c r="V727" s="400"/>
      <c r="W727" s="410">
        <f t="shared" si="31"/>
        <v>35.799999999999997</v>
      </c>
      <c r="X727" s="472">
        <f t="shared" si="33"/>
        <v>60</v>
      </c>
      <c r="AT727" s="232"/>
      <c r="AV727" s="198"/>
      <c r="AW727" s="274"/>
    </row>
    <row r="728" spans="2:49" x14ac:dyDescent="0.25">
      <c r="B728" s="274">
        <v>19.7</v>
      </c>
      <c r="C728" s="274">
        <v>68</v>
      </c>
      <c r="D728" s="274">
        <v>19.7</v>
      </c>
      <c r="E728" s="274">
        <v>4.7</v>
      </c>
      <c r="F728" s="274">
        <v>5.4</v>
      </c>
      <c r="G728" s="274">
        <v>61</v>
      </c>
      <c r="H728" s="274">
        <v>1023.7</v>
      </c>
      <c r="I728" s="274">
        <v>92008</v>
      </c>
      <c r="J728" s="274">
        <v>0</v>
      </c>
      <c r="K728" s="274">
        <v>0</v>
      </c>
      <c r="L728" s="274">
        <v>0</v>
      </c>
      <c r="M728" s="274">
        <v>65.3</v>
      </c>
      <c r="N728" s="396">
        <v>599.79999999999995</v>
      </c>
      <c r="O728" s="396">
        <v>35.700000000000003</v>
      </c>
      <c r="P728" s="396">
        <v>33.6</v>
      </c>
      <c r="Q728" s="397">
        <v>0.499305555555556</v>
      </c>
      <c r="R728" s="396"/>
      <c r="S728" s="410"/>
      <c r="T728" s="409"/>
      <c r="U728" s="398" t="str">
        <f t="shared" si="32"/>
        <v/>
      </c>
      <c r="V728" s="400"/>
      <c r="W728" s="410">
        <f t="shared" si="31"/>
        <v>35.700000000000003</v>
      </c>
      <c r="X728" s="472">
        <f t="shared" si="33"/>
        <v>60</v>
      </c>
      <c r="AT728" s="232"/>
      <c r="AV728" s="198"/>
      <c r="AW728" s="274"/>
    </row>
    <row r="729" spans="2:49" x14ac:dyDescent="0.25">
      <c r="B729" s="274">
        <v>19.7</v>
      </c>
      <c r="C729" s="274">
        <v>69</v>
      </c>
      <c r="D729" s="274">
        <v>19.7</v>
      </c>
      <c r="E729" s="274">
        <v>1.8</v>
      </c>
      <c r="F729" s="274">
        <v>3.6</v>
      </c>
      <c r="G729" s="274">
        <v>98</v>
      </c>
      <c r="H729" s="274">
        <v>1023.5</v>
      </c>
      <c r="I729" s="274">
        <v>92163</v>
      </c>
      <c r="J729" s="274">
        <v>0</v>
      </c>
      <c r="K729" s="274">
        <v>0</v>
      </c>
      <c r="L729" s="274">
        <v>0</v>
      </c>
      <c r="M729" s="274">
        <v>65.3</v>
      </c>
      <c r="N729" s="396">
        <v>599.79999999999995</v>
      </c>
      <c r="O729" s="396">
        <v>35.6</v>
      </c>
      <c r="P729" s="396">
        <v>33.5</v>
      </c>
      <c r="Q729" s="397">
        <v>0.5</v>
      </c>
      <c r="R729" s="396"/>
      <c r="S729" s="410"/>
      <c r="T729" s="409"/>
      <c r="U729" s="398" t="str">
        <f t="shared" si="32"/>
        <v/>
      </c>
      <c r="V729" s="400"/>
      <c r="W729" s="410">
        <f t="shared" si="31"/>
        <v>35.6</v>
      </c>
      <c r="X729" s="472">
        <f t="shared" si="33"/>
        <v>60</v>
      </c>
      <c r="AT729" s="232"/>
      <c r="AV729" s="198"/>
      <c r="AW729" s="274"/>
    </row>
    <row r="730" spans="2:49" x14ac:dyDescent="0.25">
      <c r="B730" s="274">
        <v>19.7</v>
      </c>
      <c r="C730" s="274">
        <v>69</v>
      </c>
      <c r="D730" s="274">
        <v>19.7</v>
      </c>
      <c r="E730" s="274">
        <v>2.2000000000000002</v>
      </c>
      <c r="F730" s="274">
        <v>3.6</v>
      </c>
      <c r="G730" s="274">
        <v>95</v>
      </c>
      <c r="H730" s="274">
        <v>1023.6</v>
      </c>
      <c r="I730" s="274">
        <v>92163</v>
      </c>
      <c r="J730" s="274">
        <v>0</v>
      </c>
      <c r="K730" s="274">
        <v>0</v>
      </c>
      <c r="L730" s="274">
        <v>0</v>
      </c>
      <c r="M730" s="274">
        <v>65.3</v>
      </c>
      <c r="N730" s="396">
        <v>599.79999999999995</v>
      </c>
      <c r="O730" s="396">
        <v>35.6</v>
      </c>
      <c r="P730" s="396">
        <v>33.5</v>
      </c>
      <c r="Q730" s="397">
        <v>0.500694444444444</v>
      </c>
      <c r="R730" s="396"/>
      <c r="S730" s="410"/>
      <c r="T730" s="409"/>
      <c r="U730" s="398" t="str">
        <f t="shared" si="32"/>
        <v/>
      </c>
      <c r="V730" s="400"/>
      <c r="W730" s="410">
        <f t="shared" si="31"/>
        <v>35.6</v>
      </c>
      <c r="X730" s="472">
        <f t="shared" si="33"/>
        <v>60</v>
      </c>
      <c r="AT730" s="232"/>
      <c r="AV730" s="198"/>
      <c r="AW730" s="274"/>
    </row>
    <row r="731" spans="2:49" x14ac:dyDescent="0.25">
      <c r="B731" s="274">
        <v>19.7</v>
      </c>
      <c r="C731" s="274">
        <v>68</v>
      </c>
      <c r="D731" s="274">
        <v>19.7</v>
      </c>
      <c r="E731" s="274">
        <v>3.6</v>
      </c>
      <c r="F731" s="274">
        <v>5.4</v>
      </c>
      <c r="G731" s="274">
        <v>139</v>
      </c>
      <c r="H731" s="274">
        <v>1023.6</v>
      </c>
      <c r="I731" s="274">
        <v>92442</v>
      </c>
      <c r="J731" s="274">
        <v>0</v>
      </c>
      <c r="K731" s="274">
        <v>0</v>
      </c>
      <c r="L731" s="274">
        <v>0</v>
      </c>
      <c r="M731" s="274">
        <v>65.3</v>
      </c>
      <c r="N731" s="396">
        <v>599.79999999999995</v>
      </c>
      <c r="O731" s="396">
        <v>35.6</v>
      </c>
      <c r="P731" s="396">
        <v>33.700000000000003</v>
      </c>
      <c r="Q731" s="397">
        <v>0.50138888888888899</v>
      </c>
      <c r="R731" s="396"/>
      <c r="S731" s="410"/>
      <c r="T731" s="409"/>
      <c r="U731" s="398" t="str">
        <f t="shared" si="32"/>
        <v/>
      </c>
      <c r="V731" s="400"/>
      <c r="W731" s="410">
        <f t="shared" si="31"/>
        <v>35.6</v>
      </c>
      <c r="X731" s="472">
        <f t="shared" si="33"/>
        <v>60</v>
      </c>
      <c r="AT731" s="232"/>
      <c r="AV731" s="198"/>
      <c r="AW731" s="274"/>
    </row>
    <row r="732" spans="2:49" x14ac:dyDescent="0.25">
      <c r="B732" s="274">
        <v>20</v>
      </c>
      <c r="C732" s="274">
        <v>67</v>
      </c>
      <c r="D732" s="274">
        <v>20</v>
      </c>
      <c r="E732" s="274">
        <v>2.9</v>
      </c>
      <c r="F732" s="274">
        <v>3.6</v>
      </c>
      <c r="G732" s="274">
        <v>83</v>
      </c>
      <c r="H732" s="274">
        <v>1023.7</v>
      </c>
      <c r="I732" s="274">
        <v>87389</v>
      </c>
      <c r="J732" s="274">
        <v>0</v>
      </c>
      <c r="K732" s="274">
        <v>0</v>
      </c>
      <c r="L732" s="274">
        <v>0</v>
      </c>
      <c r="M732" s="274">
        <v>65.3</v>
      </c>
      <c r="N732" s="396">
        <v>599.79999999999995</v>
      </c>
      <c r="O732" s="396">
        <v>35.700000000000003</v>
      </c>
      <c r="P732" s="396">
        <v>33.799999999999997</v>
      </c>
      <c r="Q732" s="397">
        <v>0.50208333333333299</v>
      </c>
      <c r="R732" s="396"/>
      <c r="S732" s="410"/>
      <c r="T732" s="409"/>
      <c r="U732" s="398" t="str">
        <f t="shared" si="32"/>
        <v/>
      </c>
      <c r="V732" s="400"/>
      <c r="W732" s="410">
        <f t="shared" si="31"/>
        <v>35.700000000000003</v>
      </c>
      <c r="X732" s="472">
        <f t="shared" si="33"/>
        <v>60</v>
      </c>
      <c r="AT732" s="232"/>
      <c r="AV732" s="198"/>
      <c r="AW732" s="274"/>
    </row>
    <row r="733" spans="2:49" x14ac:dyDescent="0.25">
      <c r="B733" s="274">
        <v>20</v>
      </c>
      <c r="C733" s="274">
        <v>65</v>
      </c>
      <c r="D733" s="274">
        <v>20</v>
      </c>
      <c r="E733" s="274">
        <v>5.8</v>
      </c>
      <c r="F733" s="274">
        <v>7.2</v>
      </c>
      <c r="G733" s="274">
        <v>118</v>
      </c>
      <c r="H733" s="274">
        <v>1023.6</v>
      </c>
      <c r="I733" s="274">
        <v>93542</v>
      </c>
      <c r="J733" s="274">
        <v>0</v>
      </c>
      <c r="K733" s="274">
        <v>0</v>
      </c>
      <c r="L733" s="274">
        <v>0</v>
      </c>
      <c r="M733" s="274">
        <v>65.3</v>
      </c>
      <c r="N733" s="396">
        <v>599.79999999999995</v>
      </c>
      <c r="O733" s="396">
        <v>35.9</v>
      </c>
      <c r="P733" s="396">
        <v>34</v>
      </c>
      <c r="Q733" s="397">
        <v>0.50277777777777799</v>
      </c>
      <c r="R733" s="396"/>
      <c r="S733" s="410"/>
      <c r="T733" s="409"/>
      <c r="U733" s="398" t="str">
        <f t="shared" si="32"/>
        <v/>
      </c>
      <c r="V733" s="400"/>
      <c r="W733" s="410">
        <f t="shared" si="31"/>
        <v>35.9</v>
      </c>
      <c r="X733" s="472">
        <f t="shared" si="33"/>
        <v>60</v>
      </c>
      <c r="AT733" s="232"/>
      <c r="AV733" s="198"/>
      <c r="AW733" s="274"/>
    </row>
    <row r="734" spans="2:49" x14ac:dyDescent="0.25">
      <c r="B734" s="274">
        <v>20</v>
      </c>
      <c r="C734" s="274">
        <v>67</v>
      </c>
      <c r="D734" s="274">
        <v>20</v>
      </c>
      <c r="E734" s="274">
        <v>5.4</v>
      </c>
      <c r="F734" s="274">
        <v>7.2</v>
      </c>
      <c r="G734" s="274">
        <v>100</v>
      </c>
      <c r="H734" s="274">
        <v>1023.6</v>
      </c>
      <c r="I734" s="274">
        <v>94147</v>
      </c>
      <c r="J734" s="274">
        <v>0</v>
      </c>
      <c r="K734" s="274">
        <v>0</v>
      </c>
      <c r="L734" s="274">
        <v>0</v>
      </c>
      <c r="M734" s="274">
        <v>65.3</v>
      </c>
      <c r="N734" s="396">
        <v>599.79999999999995</v>
      </c>
      <c r="O734" s="396">
        <v>36</v>
      </c>
      <c r="P734" s="396">
        <v>34</v>
      </c>
      <c r="Q734" s="397">
        <v>0.50347222222222199</v>
      </c>
      <c r="R734" s="396"/>
      <c r="S734" s="410"/>
      <c r="T734" s="409"/>
      <c r="U734" s="398" t="str">
        <f t="shared" si="32"/>
        <v/>
      </c>
      <c r="V734" s="400"/>
      <c r="W734" s="410">
        <f t="shared" si="31"/>
        <v>36</v>
      </c>
      <c r="X734" s="472">
        <f t="shared" si="33"/>
        <v>60</v>
      </c>
      <c r="AT734" s="232"/>
      <c r="AV734" s="198"/>
      <c r="AW734" s="274"/>
    </row>
    <row r="735" spans="2:49" x14ac:dyDescent="0.25">
      <c r="B735" s="274">
        <v>19.7</v>
      </c>
      <c r="C735" s="274">
        <v>69</v>
      </c>
      <c r="D735" s="274">
        <v>19.7</v>
      </c>
      <c r="E735" s="274">
        <v>5.4</v>
      </c>
      <c r="F735" s="274">
        <v>7.2</v>
      </c>
      <c r="G735" s="274">
        <v>80</v>
      </c>
      <c r="H735" s="274">
        <v>1023.6</v>
      </c>
      <c r="I735" s="274">
        <v>94085</v>
      </c>
      <c r="J735" s="274">
        <v>0</v>
      </c>
      <c r="K735" s="274">
        <v>0</v>
      </c>
      <c r="L735" s="274">
        <v>0</v>
      </c>
      <c r="M735" s="274">
        <v>65.3</v>
      </c>
      <c r="N735" s="396">
        <v>599.79999999999995</v>
      </c>
      <c r="O735" s="396">
        <v>36.1</v>
      </c>
      <c r="P735" s="396">
        <v>34.1</v>
      </c>
      <c r="Q735" s="397">
        <v>0.50416666666666698</v>
      </c>
      <c r="R735" s="396"/>
      <c r="S735" s="410"/>
      <c r="T735" s="409"/>
      <c r="U735" s="398" t="str">
        <f t="shared" si="32"/>
        <v/>
      </c>
      <c r="V735" s="400"/>
      <c r="W735" s="410">
        <f t="shared" si="31"/>
        <v>36.1</v>
      </c>
      <c r="X735" s="472">
        <f t="shared" si="33"/>
        <v>60</v>
      </c>
      <c r="AT735" s="232"/>
      <c r="AV735" s="198"/>
      <c r="AW735" s="274"/>
    </row>
    <row r="736" spans="2:49" x14ac:dyDescent="0.25">
      <c r="B736" s="274">
        <v>19.600000000000001</v>
      </c>
      <c r="C736" s="274">
        <v>68</v>
      </c>
      <c r="D736" s="274">
        <v>19.600000000000001</v>
      </c>
      <c r="E736" s="274">
        <v>4.3</v>
      </c>
      <c r="F736" s="274">
        <v>5.4</v>
      </c>
      <c r="G736" s="274">
        <v>164</v>
      </c>
      <c r="H736" s="274">
        <v>1023.9</v>
      </c>
      <c r="I736" s="274">
        <v>94426</v>
      </c>
      <c r="J736" s="274">
        <v>0</v>
      </c>
      <c r="K736" s="274">
        <v>0</v>
      </c>
      <c r="L736" s="274">
        <v>0</v>
      </c>
      <c r="M736" s="274">
        <v>65.3</v>
      </c>
      <c r="N736" s="396">
        <v>599.79999999999995</v>
      </c>
      <c r="O736" s="396">
        <v>36.1</v>
      </c>
      <c r="P736" s="396">
        <v>34.200000000000003</v>
      </c>
      <c r="Q736" s="397">
        <v>0.50486111111111098</v>
      </c>
      <c r="R736" s="396"/>
      <c r="S736" s="410"/>
      <c r="T736" s="409"/>
      <c r="U736" s="398" t="str">
        <f t="shared" si="32"/>
        <v/>
      </c>
      <c r="V736" s="400"/>
      <c r="W736" s="410">
        <f t="shared" si="31"/>
        <v>36.1</v>
      </c>
      <c r="X736" s="472">
        <f t="shared" si="33"/>
        <v>60</v>
      </c>
      <c r="AT736" s="232"/>
      <c r="AV736" s="198"/>
      <c r="AW736" s="274"/>
    </row>
    <row r="737" spans="2:49" x14ac:dyDescent="0.25">
      <c r="B737" s="274">
        <v>19.600000000000001</v>
      </c>
      <c r="C737" s="274">
        <v>67</v>
      </c>
      <c r="D737" s="274">
        <v>19.600000000000001</v>
      </c>
      <c r="E737" s="274">
        <v>2.5</v>
      </c>
      <c r="F737" s="274">
        <v>3.6</v>
      </c>
      <c r="G737" s="274">
        <v>118</v>
      </c>
      <c r="H737" s="274">
        <v>1023.8</v>
      </c>
      <c r="I737" s="274">
        <v>95139</v>
      </c>
      <c r="J737" s="274">
        <v>0</v>
      </c>
      <c r="K737" s="274">
        <v>0</v>
      </c>
      <c r="L737" s="274">
        <v>0</v>
      </c>
      <c r="M737" s="274">
        <v>65.3</v>
      </c>
      <c r="N737" s="396">
        <v>599.79999999999995</v>
      </c>
      <c r="O737" s="396">
        <v>36.1</v>
      </c>
      <c r="P737" s="396">
        <v>34.4</v>
      </c>
      <c r="Q737" s="397">
        <v>0.50555555555555598</v>
      </c>
      <c r="R737" s="396"/>
      <c r="S737" s="410"/>
      <c r="T737" s="409"/>
      <c r="U737" s="398" t="str">
        <f t="shared" si="32"/>
        <v/>
      </c>
      <c r="V737" s="400"/>
      <c r="W737" s="410">
        <f t="shared" si="31"/>
        <v>36.1</v>
      </c>
      <c r="X737" s="472">
        <f t="shared" si="33"/>
        <v>60</v>
      </c>
      <c r="AT737" s="232"/>
      <c r="AV737" s="198"/>
      <c r="AW737" s="274"/>
    </row>
    <row r="738" spans="2:49" x14ac:dyDescent="0.25">
      <c r="B738" s="274">
        <v>19.7</v>
      </c>
      <c r="C738" s="274">
        <v>68</v>
      </c>
      <c r="D738" s="274">
        <v>19.7</v>
      </c>
      <c r="E738" s="274">
        <v>1.1000000000000001</v>
      </c>
      <c r="F738" s="274">
        <v>1.8</v>
      </c>
      <c r="G738" s="274">
        <v>81</v>
      </c>
      <c r="H738" s="274">
        <v>1023.8</v>
      </c>
      <c r="I738" s="274">
        <v>95077</v>
      </c>
      <c r="J738" s="274">
        <v>0</v>
      </c>
      <c r="K738" s="274">
        <v>0</v>
      </c>
      <c r="L738" s="274">
        <v>0</v>
      </c>
      <c r="M738" s="274">
        <v>65.3</v>
      </c>
      <c r="N738" s="396">
        <v>599.79999999999995</v>
      </c>
      <c r="O738" s="396">
        <v>36</v>
      </c>
      <c r="P738" s="396">
        <v>34.6</v>
      </c>
      <c r="Q738" s="397">
        <v>0.50624999999999998</v>
      </c>
      <c r="R738" s="396"/>
      <c r="S738" s="410"/>
      <c r="T738" s="409"/>
      <c r="U738" s="398" t="str">
        <f t="shared" si="32"/>
        <v/>
      </c>
      <c r="V738" s="400"/>
      <c r="W738" s="410">
        <f t="shared" si="31"/>
        <v>36</v>
      </c>
      <c r="X738" s="472">
        <f t="shared" si="33"/>
        <v>60</v>
      </c>
      <c r="AT738" s="232"/>
      <c r="AV738" s="198"/>
      <c r="AW738" s="274"/>
    </row>
    <row r="739" spans="2:49" x14ac:dyDescent="0.25">
      <c r="B739" s="274">
        <v>19.8</v>
      </c>
      <c r="C739" s="274">
        <v>66</v>
      </c>
      <c r="D739" s="274">
        <v>19.8</v>
      </c>
      <c r="E739" s="274">
        <v>1.4</v>
      </c>
      <c r="F739" s="274">
        <v>1.8</v>
      </c>
      <c r="G739" s="274">
        <v>82</v>
      </c>
      <c r="H739" s="274">
        <v>1023.8</v>
      </c>
      <c r="I739" s="274">
        <v>94860</v>
      </c>
      <c r="J739" s="274">
        <v>0</v>
      </c>
      <c r="K739" s="274">
        <v>0</v>
      </c>
      <c r="L739" s="274">
        <v>0</v>
      </c>
      <c r="M739" s="274">
        <v>65.3</v>
      </c>
      <c r="N739" s="396">
        <v>599.79999999999995</v>
      </c>
      <c r="O739" s="396">
        <v>36.1</v>
      </c>
      <c r="P739" s="396">
        <v>34.9</v>
      </c>
      <c r="Q739" s="397">
        <v>0.50694444444444398</v>
      </c>
      <c r="R739" s="396"/>
      <c r="S739" s="410"/>
      <c r="T739" s="409"/>
      <c r="U739" s="398" t="str">
        <f t="shared" si="32"/>
        <v/>
      </c>
      <c r="V739" s="400"/>
      <c r="W739" s="410">
        <f t="shared" si="31"/>
        <v>36.1</v>
      </c>
      <c r="X739" s="472">
        <f t="shared" si="33"/>
        <v>60</v>
      </c>
      <c r="AT739" s="232"/>
      <c r="AV739" s="198"/>
      <c r="AW739" s="274"/>
    </row>
    <row r="740" spans="2:49" x14ac:dyDescent="0.25">
      <c r="B740" s="274">
        <v>19.899999999999999</v>
      </c>
      <c r="C740" s="274">
        <v>66</v>
      </c>
      <c r="D740" s="274">
        <v>19.899999999999999</v>
      </c>
      <c r="E740" s="274">
        <v>3.6</v>
      </c>
      <c r="F740" s="274">
        <v>5.4</v>
      </c>
      <c r="G740" s="274">
        <v>96</v>
      </c>
      <c r="H740" s="274">
        <v>1023.6</v>
      </c>
      <c r="I740" s="274">
        <v>96348</v>
      </c>
      <c r="J740" s="274">
        <v>0</v>
      </c>
      <c r="K740" s="274">
        <v>0</v>
      </c>
      <c r="L740" s="274">
        <v>0</v>
      </c>
      <c r="M740" s="274">
        <v>65.3</v>
      </c>
      <c r="N740" s="396">
        <v>599.79999999999995</v>
      </c>
      <c r="O740" s="396">
        <v>36.1</v>
      </c>
      <c r="P740" s="396">
        <v>35.1</v>
      </c>
      <c r="Q740" s="397">
        <v>0.50763888888888897</v>
      </c>
      <c r="R740" s="396"/>
      <c r="S740" s="410"/>
      <c r="T740" s="409"/>
      <c r="U740" s="398" t="str">
        <f t="shared" si="32"/>
        <v/>
      </c>
      <c r="V740" s="400"/>
      <c r="W740" s="410">
        <f t="shared" si="31"/>
        <v>36.1</v>
      </c>
      <c r="X740" s="472">
        <f t="shared" si="33"/>
        <v>60</v>
      </c>
      <c r="AT740" s="232"/>
      <c r="AV740" s="198"/>
      <c r="AW740" s="274"/>
    </row>
    <row r="741" spans="2:49" x14ac:dyDescent="0.25">
      <c r="B741" s="274">
        <v>19.899999999999999</v>
      </c>
      <c r="C741" s="274">
        <v>67</v>
      </c>
      <c r="D741" s="274">
        <v>19.899999999999999</v>
      </c>
      <c r="E741" s="274">
        <v>4.7</v>
      </c>
      <c r="F741" s="274">
        <v>5.4</v>
      </c>
      <c r="G741" s="274">
        <v>88</v>
      </c>
      <c r="H741" s="274">
        <v>1023.6</v>
      </c>
      <c r="I741" s="274">
        <v>96627</v>
      </c>
      <c r="J741" s="274">
        <v>0</v>
      </c>
      <c r="K741" s="274">
        <v>0</v>
      </c>
      <c r="L741" s="274">
        <v>0</v>
      </c>
      <c r="M741" s="274">
        <v>65.3</v>
      </c>
      <c r="N741" s="396">
        <v>599.79999999999995</v>
      </c>
      <c r="O741" s="396">
        <v>36.200000000000003</v>
      </c>
      <c r="P741" s="396">
        <v>35.200000000000003</v>
      </c>
      <c r="Q741" s="397">
        <v>0.50833333333333297</v>
      </c>
      <c r="R741" s="396"/>
      <c r="S741" s="410"/>
      <c r="T741" s="409"/>
      <c r="U741" s="398" t="str">
        <f t="shared" si="32"/>
        <v/>
      </c>
      <c r="V741" s="400"/>
      <c r="W741" s="410">
        <f t="shared" si="31"/>
        <v>36.200000000000003</v>
      </c>
      <c r="X741" s="472">
        <f t="shared" si="33"/>
        <v>60</v>
      </c>
      <c r="AT741" s="232"/>
      <c r="AV741" s="198"/>
      <c r="AW741" s="274"/>
    </row>
    <row r="742" spans="2:49" x14ac:dyDescent="0.25">
      <c r="B742" s="274">
        <v>19.899999999999999</v>
      </c>
      <c r="C742" s="274">
        <v>67</v>
      </c>
      <c r="D742" s="274">
        <v>19.899999999999999</v>
      </c>
      <c r="E742" s="274">
        <v>1.8</v>
      </c>
      <c r="F742" s="274">
        <v>1.8</v>
      </c>
      <c r="G742" s="274">
        <v>105</v>
      </c>
      <c r="H742" s="274">
        <v>1023.7</v>
      </c>
      <c r="I742" s="274">
        <v>96565</v>
      </c>
      <c r="J742" s="274">
        <v>0</v>
      </c>
      <c r="K742" s="274">
        <v>0</v>
      </c>
      <c r="L742" s="274">
        <v>0</v>
      </c>
      <c r="M742" s="274">
        <v>65.3</v>
      </c>
      <c r="N742" s="396">
        <v>599.79999999999995</v>
      </c>
      <c r="O742" s="396">
        <v>36.200000000000003</v>
      </c>
      <c r="P742" s="396">
        <v>35.299999999999997</v>
      </c>
      <c r="Q742" s="397">
        <v>0.50902777777777797</v>
      </c>
      <c r="R742" s="396"/>
      <c r="S742" s="410"/>
      <c r="T742" s="409"/>
      <c r="U742" s="398" t="str">
        <f t="shared" si="32"/>
        <v/>
      </c>
      <c r="V742" s="400"/>
      <c r="W742" s="410">
        <f t="shared" si="31"/>
        <v>36.200000000000003</v>
      </c>
      <c r="X742" s="472">
        <f t="shared" si="33"/>
        <v>60</v>
      </c>
      <c r="AT742" s="232"/>
      <c r="AV742" s="198"/>
      <c r="AW742" s="274"/>
    </row>
    <row r="743" spans="2:49" x14ac:dyDescent="0.25">
      <c r="B743" s="274">
        <v>20</v>
      </c>
      <c r="C743" s="274">
        <v>67</v>
      </c>
      <c r="D743" s="274">
        <v>20</v>
      </c>
      <c r="E743" s="274">
        <v>2.9</v>
      </c>
      <c r="F743" s="274">
        <v>3.6</v>
      </c>
      <c r="G743" s="274">
        <v>92</v>
      </c>
      <c r="H743" s="274">
        <v>1023.7</v>
      </c>
      <c r="I743" s="274">
        <v>97061</v>
      </c>
      <c r="J743" s="274">
        <v>0</v>
      </c>
      <c r="K743" s="274">
        <v>0</v>
      </c>
      <c r="L743" s="274">
        <v>0</v>
      </c>
      <c r="M743" s="274">
        <v>65.3</v>
      </c>
      <c r="N743" s="396">
        <v>599.79999999999995</v>
      </c>
      <c r="O743" s="396">
        <v>36.200000000000003</v>
      </c>
      <c r="P743" s="396">
        <v>35.299999999999997</v>
      </c>
      <c r="Q743" s="397">
        <v>0.50972222222222197</v>
      </c>
      <c r="R743" s="396"/>
      <c r="S743" s="410"/>
      <c r="T743" s="409"/>
      <c r="U743" s="398" t="str">
        <f t="shared" si="32"/>
        <v/>
      </c>
      <c r="V743" s="400"/>
      <c r="W743" s="410">
        <f t="shared" si="31"/>
        <v>36.200000000000003</v>
      </c>
      <c r="X743" s="472">
        <f t="shared" si="33"/>
        <v>60</v>
      </c>
      <c r="AT743" s="232"/>
      <c r="AV743" s="198"/>
      <c r="AW743" s="274"/>
    </row>
    <row r="744" spans="2:49" x14ac:dyDescent="0.25">
      <c r="B744" s="274">
        <v>20.100000000000001</v>
      </c>
      <c r="C744" s="274">
        <v>66</v>
      </c>
      <c r="D744" s="274">
        <v>20.100000000000001</v>
      </c>
      <c r="E744" s="274">
        <v>1.4</v>
      </c>
      <c r="F744" s="274">
        <v>1.8</v>
      </c>
      <c r="G744" s="274">
        <v>75</v>
      </c>
      <c r="H744" s="274">
        <v>1023.7</v>
      </c>
      <c r="I744" s="274">
        <v>96844</v>
      </c>
      <c r="J744" s="274">
        <v>0</v>
      </c>
      <c r="K744" s="274">
        <v>0</v>
      </c>
      <c r="L744" s="274">
        <v>0</v>
      </c>
      <c r="M744" s="274">
        <v>65.3</v>
      </c>
      <c r="N744" s="396">
        <v>599.79999999999995</v>
      </c>
      <c r="O744" s="396">
        <v>36.299999999999997</v>
      </c>
      <c r="P744" s="396">
        <v>35.299999999999997</v>
      </c>
      <c r="Q744" s="397">
        <v>0.51041666666666696</v>
      </c>
      <c r="R744" s="396"/>
      <c r="S744" s="410"/>
      <c r="T744" s="409"/>
      <c r="U744" s="398" t="str">
        <f t="shared" si="32"/>
        <v/>
      </c>
      <c r="V744" s="400"/>
      <c r="W744" s="410">
        <f t="shared" si="31"/>
        <v>36.299999999999997</v>
      </c>
      <c r="X744" s="472">
        <f t="shared" si="33"/>
        <v>60</v>
      </c>
      <c r="AT744" s="232"/>
      <c r="AV744" s="198"/>
      <c r="AW744" s="274"/>
    </row>
    <row r="745" spans="2:49" x14ac:dyDescent="0.25">
      <c r="B745" s="274">
        <v>20.100000000000001</v>
      </c>
      <c r="C745" s="274">
        <v>66</v>
      </c>
      <c r="D745" s="274">
        <v>20.100000000000001</v>
      </c>
      <c r="E745" s="274">
        <v>5.4</v>
      </c>
      <c r="F745" s="274">
        <v>5.4</v>
      </c>
      <c r="G745" s="274">
        <v>131</v>
      </c>
      <c r="H745" s="274">
        <v>1023.7</v>
      </c>
      <c r="I745" s="274">
        <v>96735</v>
      </c>
      <c r="J745" s="274">
        <v>0</v>
      </c>
      <c r="K745" s="274">
        <v>0</v>
      </c>
      <c r="L745" s="274">
        <v>0</v>
      </c>
      <c r="M745" s="274">
        <v>65.3</v>
      </c>
      <c r="N745" s="396">
        <v>599.79999999999995</v>
      </c>
      <c r="O745" s="396">
        <v>36.4</v>
      </c>
      <c r="P745" s="396">
        <v>35.299999999999997</v>
      </c>
      <c r="Q745" s="397">
        <v>0.51111111111111096</v>
      </c>
      <c r="R745" s="396"/>
      <c r="S745" s="410"/>
      <c r="T745" s="409"/>
      <c r="U745" s="398" t="str">
        <f t="shared" si="32"/>
        <v/>
      </c>
      <c r="V745" s="400"/>
      <c r="W745" s="410">
        <f t="shared" si="31"/>
        <v>36.4</v>
      </c>
      <c r="X745" s="472">
        <f t="shared" si="33"/>
        <v>60</v>
      </c>
      <c r="AT745" s="232"/>
      <c r="AV745" s="198"/>
      <c r="AW745" s="274"/>
    </row>
    <row r="746" spans="2:49" x14ac:dyDescent="0.25">
      <c r="B746" s="274">
        <v>20.3</v>
      </c>
      <c r="C746" s="274">
        <v>67</v>
      </c>
      <c r="D746" s="274">
        <v>20.3</v>
      </c>
      <c r="E746" s="274">
        <v>0.4</v>
      </c>
      <c r="F746" s="274">
        <v>1.8</v>
      </c>
      <c r="G746" s="274">
        <v>91</v>
      </c>
      <c r="H746" s="274">
        <v>1023.5</v>
      </c>
      <c r="I746" s="274">
        <v>96782</v>
      </c>
      <c r="J746" s="274">
        <v>0</v>
      </c>
      <c r="K746" s="274">
        <v>0</v>
      </c>
      <c r="L746" s="274">
        <v>0</v>
      </c>
      <c r="M746" s="274">
        <v>65.3</v>
      </c>
      <c r="N746" s="396">
        <v>599.79999999999995</v>
      </c>
      <c r="O746" s="396">
        <v>36.5</v>
      </c>
      <c r="P746" s="396">
        <v>35.299999999999997</v>
      </c>
      <c r="Q746" s="397">
        <v>0.51180555555555596</v>
      </c>
      <c r="R746" s="396"/>
      <c r="S746" s="410"/>
      <c r="T746" s="409"/>
      <c r="U746" s="398" t="str">
        <f t="shared" si="32"/>
        <v/>
      </c>
      <c r="V746" s="400"/>
      <c r="W746" s="410">
        <f t="shared" si="31"/>
        <v>36.5</v>
      </c>
      <c r="X746" s="472">
        <f t="shared" si="33"/>
        <v>60</v>
      </c>
      <c r="AT746" s="232"/>
      <c r="AV746" s="198"/>
      <c r="AW746" s="274"/>
    </row>
    <row r="747" spans="2:49" x14ac:dyDescent="0.25">
      <c r="B747" s="274">
        <v>20.3</v>
      </c>
      <c r="C747" s="274">
        <v>64</v>
      </c>
      <c r="D747" s="274">
        <v>20.3</v>
      </c>
      <c r="E747" s="274">
        <v>2.2000000000000002</v>
      </c>
      <c r="F747" s="274">
        <v>3.6</v>
      </c>
      <c r="G747" s="274">
        <v>84</v>
      </c>
      <c r="H747" s="274">
        <v>1023.5</v>
      </c>
      <c r="I747" s="274">
        <v>97278</v>
      </c>
      <c r="J747" s="274">
        <v>0</v>
      </c>
      <c r="K747" s="274">
        <v>0</v>
      </c>
      <c r="L747" s="274">
        <v>0</v>
      </c>
      <c r="M747" s="274">
        <v>65.3</v>
      </c>
      <c r="N747" s="396">
        <v>599.79999999999995</v>
      </c>
      <c r="O747" s="396">
        <v>36.700000000000003</v>
      </c>
      <c r="P747" s="396">
        <v>35.299999999999997</v>
      </c>
      <c r="Q747" s="397">
        <v>0.51249999999999996</v>
      </c>
      <c r="R747" s="396"/>
      <c r="S747" s="410"/>
      <c r="T747" s="409"/>
      <c r="U747" s="398" t="str">
        <f t="shared" si="32"/>
        <v/>
      </c>
      <c r="V747" s="400"/>
      <c r="W747" s="410">
        <f t="shared" si="31"/>
        <v>36.700000000000003</v>
      </c>
      <c r="X747" s="472">
        <f t="shared" si="33"/>
        <v>60</v>
      </c>
      <c r="AT747" s="232"/>
      <c r="AV747" s="198"/>
      <c r="AW747" s="274"/>
    </row>
    <row r="748" spans="2:49" x14ac:dyDescent="0.25">
      <c r="B748" s="274">
        <v>20.6</v>
      </c>
      <c r="C748" s="274">
        <v>64</v>
      </c>
      <c r="D748" s="274">
        <v>20.6</v>
      </c>
      <c r="E748" s="274">
        <v>1.4</v>
      </c>
      <c r="F748" s="274">
        <v>3.6</v>
      </c>
      <c r="G748" s="274">
        <v>85</v>
      </c>
      <c r="H748" s="274">
        <v>1023.7</v>
      </c>
      <c r="I748" s="274">
        <v>96673</v>
      </c>
      <c r="J748" s="274">
        <v>0</v>
      </c>
      <c r="K748" s="274">
        <v>0</v>
      </c>
      <c r="L748" s="274">
        <v>0</v>
      </c>
      <c r="M748" s="274">
        <v>65.3</v>
      </c>
      <c r="N748" s="396">
        <v>599.79999999999995</v>
      </c>
      <c r="O748" s="396">
        <v>36.799999999999997</v>
      </c>
      <c r="P748" s="396">
        <v>35.5</v>
      </c>
      <c r="Q748" s="397">
        <v>0.51319444444444495</v>
      </c>
      <c r="R748" s="396"/>
      <c r="S748" s="410"/>
      <c r="T748" s="409"/>
      <c r="U748" s="398" t="str">
        <f t="shared" si="32"/>
        <v/>
      </c>
      <c r="V748" s="400"/>
      <c r="W748" s="410">
        <f t="shared" si="31"/>
        <v>36.799999999999997</v>
      </c>
      <c r="X748" s="472">
        <f t="shared" si="33"/>
        <v>60</v>
      </c>
      <c r="AT748" s="232"/>
      <c r="AV748" s="198"/>
      <c r="AW748" s="274"/>
    </row>
    <row r="749" spans="2:49" x14ac:dyDescent="0.25">
      <c r="B749" s="274">
        <v>20.6</v>
      </c>
      <c r="C749" s="274">
        <v>65</v>
      </c>
      <c r="D749" s="274">
        <v>20.6</v>
      </c>
      <c r="E749" s="274">
        <v>1.8</v>
      </c>
      <c r="F749" s="274">
        <v>1.8</v>
      </c>
      <c r="G749" s="274">
        <v>80</v>
      </c>
      <c r="H749" s="274">
        <v>1023.5</v>
      </c>
      <c r="I749" s="274">
        <v>96394</v>
      </c>
      <c r="J749" s="274">
        <v>0</v>
      </c>
      <c r="K749" s="274">
        <v>0</v>
      </c>
      <c r="L749" s="274">
        <v>0</v>
      </c>
      <c r="M749" s="274">
        <v>65.3</v>
      </c>
      <c r="N749" s="396">
        <v>599.79999999999995</v>
      </c>
      <c r="O749" s="396">
        <v>37</v>
      </c>
      <c r="P749" s="396">
        <v>35.799999999999997</v>
      </c>
      <c r="Q749" s="397">
        <v>0.51388888888888895</v>
      </c>
      <c r="R749" s="396"/>
      <c r="S749" s="410"/>
      <c r="T749" s="409"/>
      <c r="U749" s="398" t="str">
        <f t="shared" si="32"/>
        <v/>
      </c>
      <c r="V749" s="400"/>
      <c r="W749" s="410">
        <f t="shared" si="31"/>
        <v>37</v>
      </c>
      <c r="X749" s="472">
        <f t="shared" si="33"/>
        <v>60</v>
      </c>
      <c r="AT749" s="232"/>
      <c r="AV749" s="198"/>
      <c r="AW749" s="274"/>
    </row>
    <row r="750" spans="2:49" x14ac:dyDescent="0.25">
      <c r="B750" s="274">
        <v>20.7</v>
      </c>
      <c r="C750" s="274">
        <v>65</v>
      </c>
      <c r="D750" s="274">
        <v>20.7</v>
      </c>
      <c r="E750" s="274">
        <v>1.1000000000000001</v>
      </c>
      <c r="F750" s="274">
        <v>1.8</v>
      </c>
      <c r="G750" s="274">
        <v>110</v>
      </c>
      <c r="H750" s="274">
        <v>1023.6</v>
      </c>
      <c r="I750" s="274">
        <v>96503</v>
      </c>
      <c r="J750" s="274">
        <v>0</v>
      </c>
      <c r="K750" s="274">
        <v>0</v>
      </c>
      <c r="L750" s="274">
        <v>0</v>
      </c>
      <c r="M750" s="274">
        <v>65.3</v>
      </c>
      <c r="N750" s="396">
        <v>599.79999999999995</v>
      </c>
      <c r="O750" s="396">
        <v>37.200000000000003</v>
      </c>
      <c r="P750" s="396">
        <v>36.1</v>
      </c>
      <c r="Q750" s="397">
        <v>0.51458333333333295</v>
      </c>
      <c r="R750" s="396"/>
      <c r="S750" s="410"/>
      <c r="T750" s="409"/>
      <c r="U750" s="398" t="str">
        <f t="shared" si="32"/>
        <v/>
      </c>
      <c r="V750" s="400"/>
      <c r="W750" s="410">
        <f t="shared" si="31"/>
        <v>37.200000000000003</v>
      </c>
      <c r="X750" s="472">
        <f t="shared" si="33"/>
        <v>60</v>
      </c>
      <c r="AT750" s="232"/>
      <c r="AV750" s="198"/>
      <c r="AW750" s="274"/>
    </row>
    <row r="751" spans="2:49" x14ac:dyDescent="0.25">
      <c r="B751" s="274">
        <v>20.8</v>
      </c>
      <c r="C751" s="274">
        <v>63</v>
      </c>
      <c r="D751" s="274">
        <v>20.8</v>
      </c>
      <c r="E751" s="274">
        <v>5.4</v>
      </c>
      <c r="F751" s="274">
        <v>7.2</v>
      </c>
      <c r="G751" s="274">
        <v>95</v>
      </c>
      <c r="H751" s="274">
        <v>1023.5</v>
      </c>
      <c r="I751" s="274">
        <v>97340</v>
      </c>
      <c r="J751" s="274">
        <v>0</v>
      </c>
      <c r="K751" s="274">
        <v>0</v>
      </c>
      <c r="L751" s="274">
        <v>0</v>
      </c>
      <c r="M751" s="274">
        <v>65.3</v>
      </c>
      <c r="N751" s="396">
        <v>599.79999999999995</v>
      </c>
      <c r="O751" s="396">
        <v>37.4</v>
      </c>
      <c r="P751" s="396">
        <v>36.299999999999997</v>
      </c>
      <c r="Q751" s="397">
        <v>0.51527777777777795</v>
      </c>
      <c r="R751" s="396"/>
      <c r="S751" s="410"/>
      <c r="T751" s="409"/>
      <c r="U751" s="398" t="str">
        <f t="shared" si="32"/>
        <v/>
      </c>
      <c r="V751" s="400"/>
      <c r="W751" s="410">
        <f t="shared" si="31"/>
        <v>37.4</v>
      </c>
      <c r="X751" s="472">
        <f t="shared" si="33"/>
        <v>60</v>
      </c>
      <c r="AT751" s="232"/>
      <c r="AV751" s="198"/>
      <c r="AW751" s="274"/>
    </row>
    <row r="752" spans="2:49" x14ac:dyDescent="0.25">
      <c r="B752" s="274">
        <v>20.8</v>
      </c>
      <c r="C752" s="274">
        <v>64</v>
      </c>
      <c r="D752" s="274">
        <v>20.8</v>
      </c>
      <c r="E752" s="274">
        <v>0.4</v>
      </c>
      <c r="F752" s="274">
        <v>1.8</v>
      </c>
      <c r="G752" s="274">
        <v>107</v>
      </c>
      <c r="H752" s="274">
        <v>1023.7</v>
      </c>
      <c r="I752" s="274">
        <v>97495</v>
      </c>
      <c r="J752" s="274">
        <v>0</v>
      </c>
      <c r="K752" s="274">
        <v>0</v>
      </c>
      <c r="L752" s="274">
        <v>0</v>
      </c>
      <c r="M752" s="274">
        <v>65.3</v>
      </c>
      <c r="N752" s="396">
        <v>599.79999999999995</v>
      </c>
      <c r="O752" s="396">
        <v>37.6</v>
      </c>
      <c r="P752" s="396">
        <v>36.299999999999997</v>
      </c>
      <c r="Q752" s="397">
        <v>0.51597222222222205</v>
      </c>
      <c r="R752" s="396"/>
      <c r="S752" s="410"/>
      <c r="T752" s="409"/>
      <c r="U752" s="398" t="str">
        <f t="shared" si="32"/>
        <v/>
      </c>
      <c r="V752" s="400"/>
      <c r="W752" s="410">
        <f t="shared" si="31"/>
        <v>37.6</v>
      </c>
      <c r="X752" s="472">
        <f t="shared" si="33"/>
        <v>60</v>
      </c>
      <c r="AT752" s="232"/>
      <c r="AV752" s="198"/>
      <c r="AW752" s="274"/>
    </row>
    <row r="753" spans="2:49" x14ac:dyDescent="0.25">
      <c r="B753" s="274">
        <v>20.9</v>
      </c>
      <c r="C753" s="274">
        <v>62</v>
      </c>
      <c r="D753" s="274">
        <v>20.9</v>
      </c>
      <c r="E753" s="274">
        <v>2.2000000000000002</v>
      </c>
      <c r="F753" s="274">
        <v>3.6</v>
      </c>
      <c r="G753" s="274">
        <v>72</v>
      </c>
      <c r="H753" s="274">
        <v>1023.7</v>
      </c>
      <c r="I753" s="274">
        <v>96565</v>
      </c>
      <c r="J753" s="274">
        <v>0</v>
      </c>
      <c r="K753" s="274">
        <v>0</v>
      </c>
      <c r="L753" s="274">
        <v>0</v>
      </c>
      <c r="M753" s="274">
        <v>65.3</v>
      </c>
      <c r="N753" s="396">
        <v>599.79999999999995</v>
      </c>
      <c r="O753" s="396">
        <v>37.700000000000003</v>
      </c>
      <c r="P753" s="396">
        <v>36.5</v>
      </c>
      <c r="Q753" s="397">
        <v>0.51666666666666705</v>
      </c>
      <c r="R753" s="396"/>
      <c r="S753" s="410"/>
      <c r="T753" s="409"/>
      <c r="U753" s="398" t="str">
        <f t="shared" si="32"/>
        <v/>
      </c>
      <c r="V753" s="400"/>
      <c r="W753" s="410">
        <f t="shared" si="31"/>
        <v>37.700000000000003</v>
      </c>
      <c r="X753" s="472">
        <f t="shared" si="33"/>
        <v>60</v>
      </c>
      <c r="AT753" s="232"/>
      <c r="AV753" s="198"/>
      <c r="AW753" s="274"/>
    </row>
    <row r="754" spans="2:49" x14ac:dyDescent="0.25">
      <c r="B754" s="274">
        <v>20.9</v>
      </c>
      <c r="C754" s="274">
        <v>63</v>
      </c>
      <c r="D754" s="274">
        <v>20.9</v>
      </c>
      <c r="E754" s="274">
        <v>1.4</v>
      </c>
      <c r="F754" s="274">
        <v>1.8</v>
      </c>
      <c r="G754" s="274">
        <v>84</v>
      </c>
      <c r="H754" s="274">
        <v>1023.7</v>
      </c>
      <c r="I754" s="274">
        <v>97278</v>
      </c>
      <c r="J754" s="274">
        <v>0</v>
      </c>
      <c r="K754" s="274">
        <v>0</v>
      </c>
      <c r="L754" s="274">
        <v>0</v>
      </c>
      <c r="M754" s="274">
        <v>65.3</v>
      </c>
      <c r="N754" s="396">
        <v>599.79999999999995</v>
      </c>
      <c r="O754" s="396">
        <v>37.9</v>
      </c>
      <c r="P754" s="396">
        <v>36.4</v>
      </c>
      <c r="Q754" s="397">
        <v>0.51736111111111105</v>
      </c>
      <c r="R754" s="396"/>
      <c r="S754" s="410"/>
      <c r="T754" s="409"/>
      <c r="U754" s="398" t="str">
        <f t="shared" si="32"/>
        <v/>
      </c>
      <c r="V754" s="400"/>
      <c r="W754" s="410">
        <f t="shared" ref="W754:W817" si="34">MAX(O754:P754)</f>
        <v>37.9</v>
      </c>
      <c r="X754" s="472">
        <f t="shared" si="33"/>
        <v>60</v>
      </c>
      <c r="AT754" s="232"/>
      <c r="AV754" s="198"/>
      <c r="AW754" s="274"/>
    </row>
    <row r="755" spans="2:49" x14ac:dyDescent="0.25">
      <c r="B755" s="274">
        <v>21</v>
      </c>
      <c r="C755" s="274">
        <v>63</v>
      </c>
      <c r="D755" s="274">
        <v>21</v>
      </c>
      <c r="E755" s="274">
        <v>6.1</v>
      </c>
      <c r="F755" s="274">
        <v>7.2</v>
      </c>
      <c r="G755" s="274">
        <v>103</v>
      </c>
      <c r="H755" s="274">
        <v>1023.7</v>
      </c>
      <c r="I755" s="274">
        <v>97774</v>
      </c>
      <c r="J755" s="274">
        <v>0</v>
      </c>
      <c r="K755" s="274">
        <v>0</v>
      </c>
      <c r="L755" s="274">
        <v>0</v>
      </c>
      <c r="M755" s="274">
        <v>65.3</v>
      </c>
      <c r="N755" s="396">
        <v>599.79999999999995</v>
      </c>
      <c r="O755" s="396">
        <v>38</v>
      </c>
      <c r="P755" s="396">
        <v>36.4</v>
      </c>
      <c r="Q755" s="397">
        <v>0.51805555555555605</v>
      </c>
      <c r="R755" s="396"/>
      <c r="S755" s="410"/>
      <c r="T755" s="409"/>
      <c r="U755" s="398" t="str">
        <f t="shared" si="32"/>
        <v/>
      </c>
      <c r="V755" s="400"/>
      <c r="W755" s="410">
        <f t="shared" si="34"/>
        <v>38</v>
      </c>
      <c r="X755" s="472">
        <f t="shared" si="33"/>
        <v>60</v>
      </c>
      <c r="AT755" s="232"/>
      <c r="AV755" s="198"/>
      <c r="AW755" s="274"/>
    </row>
    <row r="756" spans="2:49" x14ac:dyDescent="0.25">
      <c r="B756" s="274">
        <v>21</v>
      </c>
      <c r="C756" s="274">
        <v>64</v>
      </c>
      <c r="D756" s="274">
        <v>21</v>
      </c>
      <c r="E756" s="274">
        <v>3.6</v>
      </c>
      <c r="F756" s="274">
        <v>5.4</v>
      </c>
      <c r="G756" s="274">
        <v>97</v>
      </c>
      <c r="H756" s="274">
        <v>1023.7</v>
      </c>
      <c r="I756" s="274">
        <v>97836</v>
      </c>
      <c r="J756" s="274">
        <v>0</v>
      </c>
      <c r="K756" s="274">
        <v>0</v>
      </c>
      <c r="L756" s="274">
        <v>0</v>
      </c>
      <c r="M756" s="274">
        <v>65.3</v>
      </c>
      <c r="N756" s="396">
        <v>599.79999999999995</v>
      </c>
      <c r="O756" s="396">
        <v>38.200000000000003</v>
      </c>
      <c r="P756" s="396">
        <v>36.4</v>
      </c>
      <c r="Q756" s="397">
        <v>0.51875000000000004</v>
      </c>
      <c r="R756" s="396"/>
      <c r="S756" s="410"/>
      <c r="T756" s="409"/>
      <c r="U756" s="398" t="str">
        <f t="shared" si="32"/>
        <v/>
      </c>
      <c r="V756" s="400"/>
      <c r="W756" s="410">
        <f t="shared" si="34"/>
        <v>38.200000000000003</v>
      </c>
      <c r="X756" s="472">
        <f t="shared" si="33"/>
        <v>60</v>
      </c>
      <c r="AT756" s="232"/>
      <c r="AV756" s="198"/>
      <c r="AW756" s="274"/>
    </row>
    <row r="757" spans="2:49" x14ac:dyDescent="0.25">
      <c r="B757" s="274">
        <v>20.8</v>
      </c>
      <c r="C757" s="274">
        <v>64</v>
      </c>
      <c r="D757" s="274">
        <v>20.8</v>
      </c>
      <c r="E757" s="274">
        <v>2.2000000000000002</v>
      </c>
      <c r="F757" s="274">
        <v>3.6</v>
      </c>
      <c r="G757" s="274">
        <v>167</v>
      </c>
      <c r="H757" s="274">
        <v>1023.6</v>
      </c>
      <c r="I757" s="274">
        <v>96999</v>
      </c>
      <c r="J757" s="274">
        <v>0</v>
      </c>
      <c r="K757" s="274">
        <v>0</v>
      </c>
      <c r="L757" s="274">
        <v>0</v>
      </c>
      <c r="M757" s="274">
        <v>65.3</v>
      </c>
      <c r="N757" s="396">
        <v>599.79999999999995</v>
      </c>
      <c r="O757" s="396">
        <v>38.299999999999997</v>
      </c>
      <c r="P757" s="396">
        <v>36.299999999999997</v>
      </c>
      <c r="Q757" s="397">
        <v>0.51944444444444404</v>
      </c>
      <c r="R757" s="396"/>
      <c r="S757" s="410"/>
      <c r="T757" s="409"/>
      <c r="U757" s="398" t="str">
        <f t="shared" si="32"/>
        <v/>
      </c>
      <c r="V757" s="400"/>
      <c r="W757" s="410">
        <f t="shared" si="34"/>
        <v>38.299999999999997</v>
      </c>
      <c r="X757" s="472">
        <f t="shared" si="33"/>
        <v>60</v>
      </c>
      <c r="AT757" s="232"/>
      <c r="AV757" s="198"/>
      <c r="AW757" s="274"/>
    </row>
    <row r="758" spans="2:49" x14ac:dyDescent="0.25">
      <c r="B758" s="274">
        <v>20.8</v>
      </c>
      <c r="C758" s="274">
        <v>63</v>
      </c>
      <c r="D758" s="274">
        <v>20.8</v>
      </c>
      <c r="E758" s="274">
        <v>3.6</v>
      </c>
      <c r="F758" s="274">
        <v>5.4</v>
      </c>
      <c r="G758" s="274">
        <v>107</v>
      </c>
      <c r="H758" s="274">
        <v>1023.7</v>
      </c>
      <c r="I758" s="274">
        <v>96131</v>
      </c>
      <c r="J758" s="274">
        <v>0</v>
      </c>
      <c r="K758" s="274">
        <v>0</v>
      </c>
      <c r="L758" s="274">
        <v>0</v>
      </c>
      <c r="M758" s="274">
        <v>65.3</v>
      </c>
      <c r="N758" s="396">
        <v>599.79999999999995</v>
      </c>
      <c r="O758" s="396">
        <v>38.299999999999997</v>
      </c>
      <c r="P758" s="396">
        <v>36.4</v>
      </c>
      <c r="Q758" s="397">
        <v>0.52013888888888904</v>
      </c>
      <c r="R758" s="396"/>
      <c r="S758" s="410"/>
      <c r="T758" s="409"/>
      <c r="U758" s="398" t="str">
        <f t="shared" si="32"/>
        <v/>
      </c>
      <c r="V758" s="400"/>
      <c r="W758" s="410">
        <f t="shared" si="34"/>
        <v>38.299999999999997</v>
      </c>
      <c r="X758" s="472">
        <f t="shared" si="33"/>
        <v>60</v>
      </c>
      <c r="AT758" s="232"/>
      <c r="AV758" s="198"/>
      <c r="AW758" s="274"/>
    </row>
    <row r="759" spans="2:49" x14ac:dyDescent="0.25">
      <c r="B759" s="274">
        <v>21.1</v>
      </c>
      <c r="C759" s="274">
        <v>63</v>
      </c>
      <c r="D759" s="274">
        <v>21.1</v>
      </c>
      <c r="E759" s="274">
        <v>3.6</v>
      </c>
      <c r="F759" s="274">
        <v>7.2</v>
      </c>
      <c r="G759" s="274">
        <v>113</v>
      </c>
      <c r="H759" s="274">
        <v>1023.7</v>
      </c>
      <c r="I759" s="274">
        <v>95185</v>
      </c>
      <c r="J759" s="274">
        <v>0</v>
      </c>
      <c r="K759" s="274">
        <v>0</v>
      </c>
      <c r="L759" s="274">
        <v>0</v>
      </c>
      <c r="M759" s="274">
        <v>65.3</v>
      </c>
      <c r="N759" s="396">
        <v>599.79999999999995</v>
      </c>
      <c r="O759" s="396">
        <v>38.299999999999997</v>
      </c>
      <c r="P759" s="396">
        <v>36.700000000000003</v>
      </c>
      <c r="Q759" s="397">
        <v>0.52083333333333304</v>
      </c>
      <c r="R759" s="396"/>
      <c r="S759" s="410"/>
      <c r="T759" s="409"/>
      <c r="U759" s="398" t="str">
        <f t="shared" si="32"/>
        <v/>
      </c>
      <c r="V759" s="400"/>
      <c r="W759" s="410">
        <f t="shared" si="34"/>
        <v>38.299999999999997</v>
      </c>
      <c r="X759" s="472">
        <f t="shared" si="33"/>
        <v>60</v>
      </c>
      <c r="AT759" s="232"/>
      <c r="AV759" s="198"/>
      <c r="AW759" s="274"/>
    </row>
    <row r="760" spans="2:49" x14ac:dyDescent="0.25">
      <c r="B760" s="274">
        <v>21.1</v>
      </c>
      <c r="C760" s="274">
        <v>64</v>
      </c>
      <c r="D760" s="274">
        <v>21.1</v>
      </c>
      <c r="E760" s="274">
        <v>4</v>
      </c>
      <c r="F760" s="274">
        <v>5.4</v>
      </c>
      <c r="G760" s="274">
        <v>164</v>
      </c>
      <c r="H760" s="274">
        <v>1023.6</v>
      </c>
      <c r="I760" s="274">
        <v>93821</v>
      </c>
      <c r="J760" s="274">
        <v>0</v>
      </c>
      <c r="K760" s="274">
        <v>0</v>
      </c>
      <c r="L760" s="274">
        <v>0</v>
      </c>
      <c r="M760" s="274">
        <v>65.3</v>
      </c>
      <c r="N760" s="396">
        <v>599.79999999999995</v>
      </c>
      <c r="O760" s="396">
        <v>38.4</v>
      </c>
      <c r="P760" s="396">
        <v>36.9</v>
      </c>
      <c r="Q760" s="397">
        <v>0.52152777777777803</v>
      </c>
      <c r="R760" s="396"/>
      <c r="S760" s="410"/>
      <c r="T760" s="409"/>
      <c r="U760" s="398" t="str">
        <f t="shared" si="32"/>
        <v/>
      </c>
      <c r="V760" s="400"/>
      <c r="W760" s="410">
        <f t="shared" si="34"/>
        <v>38.4</v>
      </c>
      <c r="X760" s="472">
        <f t="shared" si="33"/>
        <v>60</v>
      </c>
      <c r="AT760" s="232"/>
      <c r="AV760" s="198"/>
      <c r="AW760" s="274"/>
    </row>
    <row r="761" spans="2:49" x14ac:dyDescent="0.25">
      <c r="B761" s="274">
        <v>20.7</v>
      </c>
      <c r="C761" s="274">
        <v>64</v>
      </c>
      <c r="D761" s="274">
        <v>20.7</v>
      </c>
      <c r="E761" s="274">
        <v>1.4</v>
      </c>
      <c r="F761" s="274">
        <v>3.6</v>
      </c>
      <c r="G761" s="274">
        <v>108</v>
      </c>
      <c r="H761" s="274">
        <v>1023.6</v>
      </c>
      <c r="I761" s="274">
        <v>92829</v>
      </c>
      <c r="J761" s="274">
        <v>0</v>
      </c>
      <c r="K761" s="274">
        <v>0</v>
      </c>
      <c r="L761" s="274">
        <v>0</v>
      </c>
      <c r="M761" s="274">
        <v>65.3</v>
      </c>
      <c r="N761" s="396">
        <v>599.79999999999995</v>
      </c>
      <c r="O761" s="396">
        <v>38.5</v>
      </c>
      <c r="P761" s="396">
        <v>37.1</v>
      </c>
      <c r="Q761" s="397">
        <v>0.52222222222222203</v>
      </c>
      <c r="R761" s="396"/>
      <c r="S761" s="410"/>
      <c r="T761" s="409"/>
      <c r="U761" s="398" t="str">
        <f t="shared" si="32"/>
        <v/>
      </c>
      <c r="V761" s="400"/>
      <c r="W761" s="410">
        <f t="shared" si="34"/>
        <v>38.5</v>
      </c>
      <c r="X761" s="472">
        <f t="shared" si="33"/>
        <v>60</v>
      </c>
      <c r="AT761" s="232"/>
      <c r="AV761" s="198"/>
      <c r="AW761" s="274"/>
    </row>
    <row r="762" spans="2:49" x14ac:dyDescent="0.25">
      <c r="B762" s="274">
        <v>20.7</v>
      </c>
      <c r="C762" s="274">
        <v>65</v>
      </c>
      <c r="D762" s="274">
        <v>20.7</v>
      </c>
      <c r="E762" s="274">
        <v>3.6</v>
      </c>
      <c r="F762" s="274">
        <v>5.4</v>
      </c>
      <c r="G762" s="274">
        <v>113</v>
      </c>
      <c r="H762" s="274">
        <v>1023.4</v>
      </c>
      <c r="I762" s="274">
        <v>93155</v>
      </c>
      <c r="J762" s="274">
        <v>0</v>
      </c>
      <c r="K762" s="274">
        <v>0</v>
      </c>
      <c r="L762" s="274">
        <v>0</v>
      </c>
      <c r="M762" s="274">
        <v>65.3</v>
      </c>
      <c r="N762" s="396">
        <v>599.79999999999995</v>
      </c>
      <c r="O762" s="396">
        <v>38.5</v>
      </c>
      <c r="P762" s="396">
        <v>37.1</v>
      </c>
      <c r="Q762" s="397">
        <v>0.52291666666666703</v>
      </c>
      <c r="R762" s="396"/>
      <c r="S762" s="410"/>
      <c r="T762" s="409"/>
      <c r="U762" s="398" t="str">
        <f t="shared" si="32"/>
        <v/>
      </c>
      <c r="V762" s="400"/>
      <c r="W762" s="410">
        <f t="shared" si="34"/>
        <v>38.5</v>
      </c>
      <c r="X762" s="472">
        <f t="shared" si="33"/>
        <v>60</v>
      </c>
      <c r="AT762" s="232"/>
      <c r="AV762" s="198"/>
      <c r="AW762" s="274"/>
    </row>
    <row r="763" spans="2:49" x14ac:dyDescent="0.25">
      <c r="B763" s="274">
        <v>20.6</v>
      </c>
      <c r="C763" s="274">
        <v>65</v>
      </c>
      <c r="D763" s="274">
        <v>20.6</v>
      </c>
      <c r="E763" s="274">
        <v>0.4</v>
      </c>
      <c r="F763" s="274">
        <v>1.8</v>
      </c>
      <c r="G763" s="274">
        <v>128</v>
      </c>
      <c r="H763" s="274">
        <v>1023.6</v>
      </c>
      <c r="I763" s="274">
        <v>92550</v>
      </c>
      <c r="J763" s="274">
        <v>0</v>
      </c>
      <c r="K763" s="274">
        <v>0</v>
      </c>
      <c r="L763" s="274">
        <v>0</v>
      </c>
      <c r="M763" s="274">
        <v>65.3</v>
      </c>
      <c r="N763" s="396">
        <v>599.79999999999995</v>
      </c>
      <c r="O763" s="396">
        <v>38.5</v>
      </c>
      <c r="P763" s="396">
        <v>37.4</v>
      </c>
      <c r="Q763" s="397">
        <v>0.52361111111111103</v>
      </c>
      <c r="R763" s="396"/>
      <c r="S763" s="410"/>
      <c r="T763" s="409"/>
      <c r="U763" s="398" t="str">
        <f t="shared" si="32"/>
        <v/>
      </c>
      <c r="V763" s="400"/>
      <c r="W763" s="410">
        <f t="shared" si="34"/>
        <v>38.5</v>
      </c>
      <c r="X763" s="472">
        <f t="shared" si="33"/>
        <v>60</v>
      </c>
      <c r="AT763" s="232"/>
      <c r="AV763" s="198"/>
      <c r="AW763" s="274"/>
    </row>
    <row r="764" spans="2:49" x14ac:dyDescent="0.25">
      <c r="B764" s="274">
        <v>20.7</v>
      </c>
      <c r="C764" s="274">
        <v>64</v>
      </c>
      <c r="D764" s="274">
        <v>20.7</v>
      </c>
      <c r="E764" s="274">
        <v>4.7</v>
      </c>
      <c r="F764" s="274">
        <v>5.4</v>
      </c>
      <c r="G764" s="274">
        <v>92</v>
      </c>
      <c r="H764" s="274">
        <v>1023.3</v>
      </c>
      <c r="I764" s="274">
        <v>92271</v>
      </c>
      <c r="J764" s="274">
        <v>0</v>
      </c>
      <c r="K764" s="274">
        <v>0</v>
      </c>
      <c r="L764" s="274">
        <v>0</v>
      </c>
      <c r="M764" s="274">
        <v>65.3</v>
      </c>
      <c r="N764" s="396">
        <v>599.79999999999995</v>
      </c>
      <c r="O764" s="396">
        <v>38.5</v>
      </c>
      <c r="P764" s="396">
        <v>37.6</v>
      </c>
      <c r="Q764" s="397">
        <v>0.52430555555555602</v>
      </c>
      <c r="R764" s="396"/>
      <c r="S764" s="410"/>
      <c r="T764" s="409"/>
      <c r="U764" s="398" t="str">
        <f t="shared" si="32"/>
        <v/>
      </c>
      <c r="V764" s="400"/>
      <c r="W764" s="410">
        <f t="shared" si="34"/>
        <v>38.5</v>
      </c>
      <c r="X764" s="472">
        <f t="shared" si="33"/>
        <v>60</v>
      </c>
      <c r="AT764" s="232"/>
      <c r="AV764" s="198"/>
      <c r="AW764" s="274"/>
    </row>
    <row r="765" spans="2:49" x14ac:dyDescent="0.25">
      <c r="B765" s="274">
        <v>20.9</v>
      </c>
      <c r="C765" s="274">
        <v>64</v>
      </c>
      <c r="D765" s="274">
        <v>20.9</v>
      </c>
      <c r="E765" s="274">
        <v>2.2000000000000002</v>
      </c>
      <c r="F765" s="274">
        <v>3.6</v>
      </c>
      <c r="G765" s="274">
        <v>105</v>
      </c>
      <c r="H765" s="274">
        <v>1023.4</v>
      </c>
      <c r="I765" s="274">
        <v>93217</v>
      </c>
      <c r="J765" s="274">
        <v>0</v>
      </c>
      <c r="K765" s="274">
        <v>0</v>
      </c>
      <c r="L765" s="274">
        <v>0</v>
      </c>
      <c r="M765" s="274">
        <v>65.3</v>
      </c>
      <c r="N765" s="396">
        <v>599.79999999999995</v>
      </c>
      <c r="O765" s="396">
        <v>38.5</v>
      </c>
      <c r="P765" s="396">
        <v>37.6</v>
      </c>
      <c r="Q765" s="397">
        <v>0.52500000000000002</v>
      </c>
      <c r="R765" s="396"/>
      <c r="S765" s="410"/>
      <c r="T765" s="409"/>
      <c r="U765" s="398" t="str">
        <f t="shared" si="32"/>
        <v/>
      </c>
      <c r="V765" s="400"/>
      <c r="W765" s="410">
        <f t="shared" si="34"/>
        <v>38.5</v>
      </c>
      <c r="X765" s="472">
        <f t="shared" si="33"/>
        <v>60</v>
      </c>
      <c r="AT765" s="232"/>
      <c r="AV765" s="198"/>
      <c r="AW765" s="274"/>
    </row>
    <row r="766" spans="2:49" x14ac:dyDescent="0.25">
      <c r="B766" s="274">
        <v>20.9</v>
      </c>
      <c r="C766" s="274">
        <v>63</v>
      </c>
      <c r="D766" s="274">
        <v>20.9</v>
      </c>
      <c r="E766" s="274">
        <v>2.2000000000000002</v>
      </c>
      <c r="F766" s="274">
        <v>5.4</v>
      </c>
      <c r="G766" s="274">
        <v>106</v>
      </c>
      <c r="H766" s="274">
        <v>1023.3</v>
      </c>
      <c r="I766" s="274">
        <v>93263</v>
      </c>
      <c r="J766" s="274">
        <v>0</v>
      </c>
      <c r="K766" s="274">
        <v>0</v>
      </c>
      <c r="L766" s="274">
        <v>0</v>
      </c>
      <c r="M766" s="274">
        <v>65.3</v>
      </c>
      <c r="N766" s="396">
        <v>599.79999999999995</v>
      </c>
      <c r="O766" s="396">
        <v>38.5</v>
      </c>
      <c r="P766" s="396">
        <v>37.799999999999997</v>
      </c>
      <c r="Q766" s="397">
        <v>0.52569444444444402</v>
      </c>
      <c r="R766" s="396"/>
      <c r="S766" s="410"/>
      <c r="T766" s="409"/>
      <c r="U766" s="398" t="str">
        <f t="shared" si="32"/>
        <v/>
      </c>
      <c r="V766" s="400"/>
      <c r="W766" s="410">
        <f t="shared" si="34"/>
        <v>38.5</v>
      </c>
      <c r="X766" s="472">
        <f t="shared" si="33"/>
        <v>60</v>
      </c>
      <c r="AT766" s="232"/>
      <c r="AV766" s="198"/>
      <c r="AW766" s="274"/>
    </row>
    <row r="767" spans="2:49" x14ac:dyDescent="0.25">
      <c r="B767" s="274">
        <v>21</v>
      </c>
      <c r="C767" s="274">
        <v>62</v>
      </c>
      <c r="D767" s="274">
        <v>21</v>
      </c>
      <c r="E767" s="274">
        <v>1.8</v>
      </c>
      <c r="F767" s="274">
        <v>3.6</v>
      </c>
      <c r="G767" s="274">
        <v>107</v>
      </c>
      <c r="H767" s="274">
        <v>1023.5</v>
      </c>
      <c r="I767" s="274">
        <v>95294</v>
      </c>
      <c r="J767" s="274">
        <v>0</v>
      </c>
      <c r="K767" s="274">
        <v>0</v>
      </c>
      <c r="L767" s="274">
        <v>0</v>
      </c>
      <c r="M767" s="274">
        <v>65.3</v>
      </c>
      <c r="N767" s="396">
        <v>599.79999999999995</v>
      </c>
      <c r="O767" s="396">
        <v>38.5</v>
      </c>
      <c r="P767" s="396">
        <v>38</v>
      </c>
      <c r="Q767" s="397">
        <v>0.52638888888888902</v>
      </c>
      <c r="R767" s="396"/>
      <c r="S767" s="410"/>
      <c r="T767" s="409"/>
      <c r="U767" s="398" t="str">
        <f t="shared" si="32"/>
        <v/>
      </c>
      <c r="V767" s="400"/>
      <c r="W767" s="410">
        <f t="shared" si="34"/>
        <v>38.5</v>
      </c>
      <c r="X767" s="472">
        <f t="shared" si="33"/>
        <v>60</v>
      </c>
      <c r="AT767" s="232"/>
      <c r="AV767" s="198"/>
      <c r="AW767" s="274"/>
    </row>
    <row r="768" spans="2:49" x14ac:dyDescent="0.25">
      <c r="B768" s="274">
        <v>21</v>
      </c>
      <c r="C768" s="274">
        <v>62</v>
      </c>
      <c r="D768" s="274">
        <v>21</v>
      </c>
      <c r="E768" s="274">
        <v>2.5</v>
      </c>
      <c r="F768" s="274">
        <v>3.6</v>
      </c>
      <c r="G768" s="274">
        <v>124</v>
      </c>
      <c r="H768" s="274">
        <v>1023.3</v>
      </c>
      <c r="I768" s="274">
        <v>96022</v>
      </c>
      <c r="J768" s="274">
        <v>0</v>
      </c>
      <c r="K768" s="274">
        <v>0</v>
      </c>
      <c r="L768" s="274">
        <v>0</v>
      </c>
      <c r="M768" s="274">
        <v>65.3</v>
      </c>
      <c r="N768" s="396">
        <v>599.79999999999995</v>
      </c>
      <c r="O768" s="396">
        <v>38.6</v>
      </c>
      <c r="P768" s="396">
        <v>38.1</v>
      </c>
      <c r="Q768" s="397">
        <v>0.52708333333333302</v>
      </c>
      <c r="R768" s="396"/>
      <c r="S768" s="410"/>
      <c r="T768" s="409"/>
      <c r="U768" s="398" t="str">
        <f t="shared" si="32"/>
        <v/>
      </c>
      <c r="V768" s="400"/>
      <c r="W768" s="410">
        <f t="shared" si="34"/>
        <v>38.6</v>
      </c>
      <c r="X768" s="472">
        <f t="shared" si="33"/>
        <v>60</v>
      </c>
      <c r="AT768" s="232"/>
      <c r="AV768" s="198"/>
      <c r="AW768" s="274"/>
    </row>
    <row r="769" spans="2:49" x14ac:dyDescent="0.25">
      <c r="B769" s="274">
        <v>21.1</v>
      </c>
      <c r="C769" s="274">
        <v>62</v>
      </c>
      <c r="D769" s="274">
        <v>21.1</v>
      </c>
      <c r="E769" s="274">
        <v>2.5</v>
      </c>
      <c r="F769" s="274">
        <v>3.6</v>
      </c>
      <c r="G769" s="274">
        <v>171</v>
      </c>
      <c r="H769" s="274">
        <v>1023.6</v>
      </c>
      <c r="I769" s="274">
        <v>97340</v>
      </c>
      <c r="J769" s="274">
        <v>0</v>
      </c>
      <c r="K769" s="274">
        <v>0</v>
      </c>
      <c r="L769" s="274">
        <v>0</v>
      </c>
      <c r="M769" s="274">
        <v>65.3</v>
      </c>
      <c r="N769" s="396">
        <v>599.79999999999995</v>
      </c>
      <c r="O769" s="396">
        <v>38.6</v>
      </c>
      <c r="P769" s="396">
        <v>38.1</v>
      </c>
      <c r="Q769" s="397">
        <v>0.52777777777777801</v>
      </c>
      <c r="R769" s="396"/>
      <c r="S769" s="410"/>
      <c r="T769" s="409"/>
      <c r="U769" s="398" t="str">
        <f t="shared" si="32"/>
        <v/>
      </c>
      <c r="V769" s="400"/>
      <c r="W769" s="410">
        <f t="shared" si="34"/>
        <v>38.6</v>
      </c>
      <c r="X769" s="472">
        <f t="shared" si="33"/>
        <v>60</v>
      </c>
      <c r="AT769" s="232"/>
      <c r="AV769" s="198"/>
      <c r="AW769" s="274"/>
    </row>
    <row r="770" spans="2:49" x14ac:dyDescent="0.25">
      <c r="B770" s="274">
        <v>21.2</v>
      </c>
      <c r="C770" s="274">
        <v>62</v>
      </c>
      <c r="D770" s="274">
        <v>21.2</v>
      </c>
      <c r="E770" s="274">
        <v>2.2000000000000002</v>
      </c>
      <c r="F770" s="274">
        <v>5.4</v>
      </c>
      <c r="G770" s="274">
        <v>121</v>
      </c>
      <c r="H770" s="274">
        <v>1023.6</v>
      </c>
      <c r="I770" s="274">
        <v>97712</v>
      </c>
      <c r="J770" s="274">
        <v>0</v>
      </c>
      <c r="K770" s="274">
        <v>0</v>
      </c>
      <c r="L770" s="274">
        <v>0</v>
      </c>
      <c r="M770" s="274">
        <v>65.3</v>
      </c>
      <c r="N770" s="396">
        <v>599.79999999999995</v>
      </c>
      <c r="O770" s="396">
        <v>38.700000000000003</v>
      </c>
      <c r="P770" s="396">
        <v>38.1</v>
      </c>
      <c r="Q770" s="397">
        <v>0.52847222222222201</v>
      </c>
      <c r="R770" s="396"/>
      <c r="S770" s="410"/>
      <c r="T770" s="409"/>
      <c r="U770" s="398" t="str">
        <f t="shared" si="32"/>
        <v/>
      </c>
      <c r="V770" s="400"/>
      <c r="W770" s="410">
        <f t="shared" si="34"/>
        <v>38.700000000000003</v>
      </c>
      <c r="X770" s="472">
        <f t="shared" si="33"/>
        <v>60</v>
      </c>
      <c r="AT770" s="232"/>
      <c r="AV770" s="198"/>
      <c r="AW770" s="274"/>
    </row>
    <row r="771" spans="2:49" x14ac:dyDescent="0.25">
      <c r="B771" s="274">
        <v>21.2</v>
      </c>
      <c r="C771" s="274">
        <v>63</v>
      </c>
      <c r="D771" s="274">
        <v>21.2</v>
      </c>
      <c r="E771" s="274">
        <v>3.2</v>
      </c>
      <c r="F771" s="274">
        <v>5.4</v>
      </c>
      <c r="G771" s="274">
        <v>218</v>
      </c>
      <c r="H771" s="274">
        <v>1023.5</v>
      </c>
      <c r="I771" s="274">
        <v>98316</v>
      </c>
      <c r="J771" s="274">
        <v>0</v>
      </c>
      <c r="K771" s="274">
        <v>0</v>
      </c>
      <c r="L771" s="274">
        <v>0</v>
      </c>
      <c r="M771" s="274">
        <v>65.3</v>
      </c>
      <c r="N771" s="396">
        <v>599.79999999999995</v>
      </c>
      <c r="O771" s="396">
        <v>38.799999999999997</v>
      </c>
      <c r="P771" s="396">
        <v>38.1</v>
      </c>
      <c r="Q771" s="397">
        <v>0.52916666666666701</v>
      </c>
      <c r="R771" s="396"/>
      <c r="S771" s="410"/>
      <c r="T771" s="409"/>
      <c r="U771" s="398" t="str">
        <f t="shared" si="32"/>
        <v/>
      </c>
      <c r="V771" s="400"/>
      <c r="W771" s="410">
        <f t="shared" si="34"/>
        <v>38.799999999999997</v>
      </c>
      <c r="X771" s="472">
        <f t="shared" si="33"/>
        <v>60</v>
      </c>
      <c r="AT771" s="232"/>
      <c r="AV771" s="198"/>
      <c r="AW771" s="274"/>
    </row>
    <row r="772" spans="2:49" x14ac:dyDescent="0.25">
      <c r="B772" s="274">
        <v>20.8</v>
      </c>
      <c r="C772" s="274">
        <v>63</v>
      </c>
      <c r="D772" s="274">
        <v>20.8</v>
      </c>
      <c r="E772" s="274">
        <v>2.2000000000000002</v>
      </c>
      <c r="F772" s="274">
        <v>3.6</v>
      </c>
      <c r="G772" s="274">
        <v>163</v>
      </c>
      <c r="H772" s="274">
        <v>1023.3</v>
      </c>
      <c r="I772" s="274">
        <v>99045</v>
      </c>
      <c r="J772" s="274">
        <v>0</v>
      </c>
      <c r="K772" s="274">
        <v>0</v>
      </c>
      <c r="L772" s="274">
        <v>0</v>
      </c>
      <c r="M772" s="274">
        <v>65.3</v>
      </c>
      <c r="N772" s="396">
        <v>599.79999999999995</v>
      </c>
      <c r="O772" s="396">
        <v>38.9</v>
      </c>
      <c r="P772" s="396">
        <v>38.200000000000003</v>
      </c>
      <c r="Q772" s="397">
        <v>0.52986111111111101</v>
      </c>
      <c r="R772" s="396"/>
      <c r="S772" s="410"/>
      <c r="T772" s="409"/>
      <c r="U772" s="398" t="str">
        <f t="shared" si="32"/>
        <v/>
      </c>
      <c r="V772" s="400"/>
      <c r="W772" s="410">
        <f t="shared" si="34"/>
        <v>38.9</v>
      </c>
      <c r="X772" s="472">
        <f t="shared" si="33"/>
        <v>60</v>
      </c>
      <c r="AT772" s="232"/>
      <c r="AV772" s="198"/>
      <c r="AW772" s="274"/>
    </row>
    <row r="773" spans="2:49" x14ac:dyDescent="0.25">
      <c r="B773" s="274">
        <v>20.9</v>
      </c>
      <c r="C773" s="274">
        <v>63</v>
      </c>
      <c r="D773" s="274">
        <v>20.9</v>
      </c>
      <c r="E773" s="274">
        <v>2.5</v>
      </c>
      <c r="F773" s="274">
        <v>3.6</v>
      </c>
      <c r="G773" s="274">
        <v>104</v>
      </c>
      <c r="H773" s="274">
        <v>1023.5</v>
      </c>
      <c r="I773" s="274">
        <v>100409</v>
      </c>
      <c r="J773" s="274">
        <v>0</v>
      </c>
      <c r="K773" s="274">
        <v>0</v>
      </c>
      <c r="L773" s="274">
        <v>0</v>
      </c>
      <c r="M773" s="274">
        <v>65.3</v>
      </c>
      <c r="N773" s="396">
        <v>599.79999999999995</v>
      </c>
      <c r="O773" s="396">
        <v>38.9</v>
      </c>
      <c r="P773" s="396">
        <v>38.1</v>
      </c>
      <c r="Q773" s="397">
        <v>0.530555555555556</v>
      </c>
      <c r="R773" s="396"/>
      <c r="S773" s="410"/>
      <c r="T773" s="409"/>
      <c r="U773" s="398" t="str">
        <f t="shared" si="32"/>
        <v/>
      </c>
      <c r="V773" s="400"/>
      <c r="W773" s="410">
        <f t="shared" si="34"/>
        <v>38.9</v>
      </c>
      <c r="X773" s="472">
        <f t="shared" si="33"/>
        <v>60</v>
      </c>
      <c r="AT773" s="232"/>
      <c r="AV773" s="198"/>
      <c r="AW773" s="274"/>
    </row>
    <row r="774" spans="2:49" x14ac:dyDescent="0.25">
      <c r="B774" s="274">
        <v>20.9</v>
      </c>
      <c r="C774" s="274">
        <v>64</v>
      </c>
      <c r="D774" s="274">
        <v>20.9</v>
      </c>
      <c r="E774" s="274">
        <v>1.4</v>
      </c>
      <c r="F774" s="274">
        <v>3.6</v>
      </c>
      <c r="G774" s="274">
        <v>105</v>
      </c>
      <c r="H774" s="274">
        <v>1023.7</v>
      </c>
      <c r="I774" s="274">
        <v>101122</v>
      </c>
      <c r="J774" s="274">
        <v>0</v>
      </c>
      <c r="K774" s="274">
        <v>0</v>
      </c>
      <c r="L774" s="274">
        <v>0</v>
      </c>
      <c r="M774" s="274">
        <v>65.3</v>
      </c>
      <c r="N774" s="396">
        <v>599.79999999999995</v>
      </c>
      <c r="O774" s="396">
        <v>38.9</v>
      </c>
      <c r="P774" s="396">
        <v>38</v>
      </c>
      <c r="Q774" s="397">
        <v>0.53125</v>
      </c>
      <c r="R774" s="396"/>
      <c r="S774" s="410"/>
      <c r="T774" s="409"/>
      <c r="U774" s="398" t="str">
        <f t="shared" si="32"/>
        <v/>
      </c>
      <c r="V774" s="400"/>
      <c r="W774" s="410">
        <f t="shared" si="34"/>
        <v>38.9</v>
      </c>
      <c r="X774" s="472">
        <f t="shared" si="33"/>
        <v>60</v>
      </c>
      <c r="AT774" s="232"/>
      <c r="AV774" s="198"/>
      <c r="AW774" s="274"/>
    </row>
    <row r="775" spans="2:49" x14ac:dyDescent="0.25">
      <c r="B775" s="274">
        <v>21</v>
      </c>
      <c r="C775" s="274">
        <v>63</v>
      </c>
      <c r="D775" s="274">
        <v>21</v>
      </c>
      <c r="E775" s="274">
        <v>2.2000000000000002</v>
      </c>
      <c r="F775" s="274">
        <v>3.6</v>
      </c>
      <c r="G775" s="274">
        <v>143</v>
      </c>
      <c r="H775" s="274">
        <v>1023.5</v>
      </c>
      <c r="I775" s="274">
        <v>101463</v>
      </c>
      <c r="J775" s="274">
        <v>0</v>
      </c>
      <c r="K775" s="274">
        <v>0</v>
      </c>
      <c r="L775" s="274">
        <v>0</v>
      </c>
      <c r="M775" s="274">
        <v>65.3</v>
      </c>
      <c r="N775" s="396">
        <v>599.79999999999995</v>
      </c>
      <c r="O775" s="396">
        <v>38.9</v>
      </c>
      <c r="P775" s="396">
        <v>37.9</v>
      </c>
      <c r="Q775" s="397">
        <v>0.531944444444444</v>
      </c>
      <c r="R775" s="396"/>
      <c r="S775" s="410"/>
      <c r="T775" s="409"/>
      <c r="U775" s="398" t="str">
        <f t="shared" si="32"/>
        <v/>
      </c>
      <c r="V775" s="400"/>
      <c r="W775" s="410">
        <f t="shared" si="34"/>
        <v>38.9</v>
      </c>
      <c r="X775" s="472">
        <f t="shared" si="33"/>
        <v>60</v>
      </c>
      <c r="AT775" s="232"/>
      <c r="AV775" s="198"/>
      <c r="AW775" s="274"/>
    </row>
    <row r="776" spans="2:49" x14ac:dyDescent="0.25">
      <c r="B776" s="274">
        <v>21</v>
      </c>
      <c r="C776" s="274">
        <v>63</v>
      </c>
      <c r="D776" s="274">
        <v>21</v>
      </c>
      <c r="E776" s="274">
        <v>1.1000000000000001</v>
      </c>
      <c r="F776" s="274">
        <v>3.6</v>
      </c>
      <c r="G776" s="274">
        <v>125</v>
      </c>
      <c r="H776" s="274">
        <v>1023.3</v>
      </c>
      <c r="I776" s="274">
        <v>101897</v>
      </c>
      <c r="J776" s="274">
        <v>0</v>
      </c>
      <c r="K776" s="274">
        <v>0</v>
      </c>
      <c r="L776" s="274">
        <v>0</v>
      </c>
      <c r="M776" s="274">
        <v>65.3</v>
      </c>
      <c r="N776" s="396">
        <v>599.79999999999995</v>
      </c>
      <c r="O776" s="396">
        <v>38.9</v>
      </c>
      <c r="P776" s="396">
        <v>37.9</v>
      </c>
      <c r="Q776" s="397">
        <v>0.53263888888888899</v>
      </c>
      <c r="R776" s="396"/>
      <c r="S776" s="410"/>
      <c r="T776" s="409"/>
      <c r="U776" s="398" t="str">
        <f t="shared" si="32"/>
        <v/>
      </c>
      <c r="V776" s="400"/>
      <c r="W776" s="410">
        <f t="shared" si="34"/>
        <v>38.9</v>
      </c>
      <c r="X776" s="472">
        <f t="shared" si="33"/>
        <v>60</v>
      </c>
      <c r="AT776" s="232"/>
      <c r="AV776" s="198"/>
      <c r="AW776" s="274"/>
    </row>
    <row r="777" spans="2:49" x14ac:dyDescent="0.25">
      <c r="B777" s="274">
        <v>21.1</v>
      </c>
      <c r="C777" s="274">
        <v>64</v>
      </c>
      <c r="D777" s="274">
        <v>21.1</v>
      </c>
      <c r="E777" s="274">
        <v>2.9</v>
      </c>
      <c r="F777" s="274">
        <v>5.4</v>
      </c>
      <c r="G777" s="274">
        <v>122</v>
      </c>
      <c r="H777" s="274">
        <v>1023.5</v>
      </c>
      <c r="I777" s="274">
        <v>101184</v>
      </c>
      <c r="J777" s="274">
        <v>0</v>
      </c>
      <c r="K777" s="274">
        <v>0</v>
      </c>
      <c r="L777" s="274">
        <v>0</v>
      </c>
      <c r="M777" s="274">
        <v>65.3</v>
      </c>
      <c r="N777" s="396">
        <v>599.79999999999995</v>
      </c>
      <c r="O777" s="396">
        <v>39</v>
      </c>
      <c r="P777" s="396">
        <v>37.9</v>
      </c>
      <c r="Q777" s="397">
        <v>0.53333333333333299</v>
      </c>
      <c r="R777" s="396"/>
      <c r="S777" s="410"/>
      <c r="T777" s="409"/>
      <c r="U777" s="398" t="str">
        <f t="shared" si="32"/>
        <v/>
      </c>
      <c r="V777" s="400"/>
      <c r="W777" s="410">
        <f t="shared" si="34"/>
        <v>39</v>
      </c>
      <c r="X777" s="472">
        <f t="shared" si="33"/>
        <v>60</v>
      </c>
      <c r="AT777" s="232"/>
      <c r="AV777" s="198"/>
      <c r="AW777" s="274"/>
    </row>
    <row r="778" spans="2:49" x14ac:dyDescent="0.25">
      <c r="B778" s="274">
        <v>21.2</v>
      </c>
      <c r="C778" s="274">
        <v>62</v>
      </c>
      <c r="D778" s="274">
        <v>21.2</v>
      </c>
      <c r="E778" s="274">
        <v>4</v>
      </c>
      <c r="F778" s="274">
        <v>5.4</v>
      </c>
      <c r="G778" s="274">
        <v>107</v>
      </c>
      <c r="H778" s="274">
        <v>1023.3</v>
      </c>
      <c r="I778" s="274">
        <v>100626</v>
      </c>
      <c r="J778" s="274">
        <v>0</v>
      </c>
      <c r="K778" s="274">
        <v>0</v>
      </c>
      <c r="L778" s="274">
        <v>0</v>
      </c>
      <c r="M778" s="274">
        <v>65.3</v>
      </c>
      <c r="N778" s="396">
        <v>599.79999999999995</v>
      </c>
      <c r="O778" s="396">
        <v>39.1</v>
      </c>
      <c r="P778" s="396">
        <v>38</v>
      </c>
      <c r="Q778" s="397">
        <v>0.53402777777777799</v>
      </c>
      <c r="R778" s="396"/>
      <c r="S778" s="410"/>
      <c r="T778" s="409"/>
      <c r="U778" s="398" t="str">
        <f t="shared" si="32"/>
        <v/>
      </c>
      <c r="V778" s="400"/>
      <c r="W778" s="410">
        <f t="shared" si="34"/>
        <v>39.1</v>
      </c>
      <c r="X778" s="472">
        <f t="shared" si="33"/>
        <v>60</v>
      </c>
      <c r="AT778" s="232"/>
      <c r="AV778" s="198"/>
      <c r="AW778" s="274"/>
    </row>
    <row r="779" spans="2:49" x14ac:dyDescent="0.25">
      <c r="B779" s="274">
        <v>21.3</v>
      </c>
      <c r="C779" s="274">
        <v>61</v>
      </c>
      <c r="D779" s="274">
        <v>21.3</v>
      </c>
      <c r="E779" s="274">
        <v>2.5</v>
      </c>
      <c r="F779" s="274">
        <v>3.6</v>
      </c>
      <c r="G779" s="274">
        <v>155</v>
      </c>
      <c r="H779" s="274">
        <v>1023.3</v>
      </c>
      <c r="I779" s="274">
        <v>101292</v>
      </c>
      <c r="J779" s="274">
        <v>0</v>
      </c>
      <c r="K779" s="274">
        <v>0</v>
      </c>
      <c r="L779" s="274">
        <v>0</v>
      </c>
      <c r="M779" s="274">
        <v>65.3</v>
      </c>
      <c r="N779" s="396">
        <v>599.79999999999995</v>
      </c>
      <c r="O779" s="396">
        <v>39.1</v>
      </c>
      <c r="P779" s="396">
        <v>38.1</v>
      </c>
      <c r="Q779" s="397">
        <v>0.53472222222222199</v>
      </c>
      <c r="R779" s="396"/>
      <c r="S779" s="410"/>
      <c r="T779" s="409"/>
      <c r="U779" s="398" t="str">
        <f t="shared" ref="U779:U842" si="35">IF(J779&gt;0,60,"")</f>
        <v/>
      </c>
      <c r="V779" s="400"/>
      <c r="W779" s="410">
        <f t="shared" si="34"/>
        <v>39.1</v>
      </c>
      <c r="X779" s="472">
        <f t="shared" si="33"/>
        <v>60</v>
      </c>
      <c r="AT779" s="232"/>
      <c r="AV779" s="198"/>
      <c r="AW779" s="274"/>
    </row>
    <row r="780" spans="2:49" x14ac:dyDescent="0.25">
      <c r="B780" s="274">
        <v>21.4</v>
      </c>
      <c r="C780" s="274">
        <v>60</v>
      </c>
      <c r="D780" s="274">
        <v>21.4</v>
      </c>
      <c r="E780" s="274">
        <v>2.9</v>
      </c>
      <c r="F780" s="274">
        <v>5.4</v>
      </c>
      <c r="G780" s="274">
        <v>120</v>
      </c>
      <c r="H780" s="274">
        <v>1023.4</v>
      </c>
      <c r="I780" s="274">
        <v>101571</v>
      </c>
      <c r="J780" s="274">
        <v>0</v>
      </c>
      <c r="K780" s="274">
        <v>0</v>
      </c>
      <c r="L780" s="274">
        <v>0</v>
      </c>
      <c r="M780" s="274">
        <v>65.3</v>
      </c>
      <c r="N780" s="396">
        <v>599.79999999999995</v>
      </c>
      <c r="O780" s="396">
        <v>39.4</v>
      </c>
      <c r="P780" s="396">
        <v>38.200000000000003</v>
      </c>
      <c r="Q780" s="397">
        <v>0.53541666666666698</v>
      </c>
      <c r="R780" s="396"/>
      <c r="S780" s="410"/>
      <c r="T780" s="409"/>
      <c r="U780" s="398" t="str">
        <f t="shared" si="35"/>
        <v/>
      </c>
      <c r="V780" s="400"/>
      <c r="W780" s="410">
        <f t="shared" si="34"/>
        <v>39.4</v>
      </c>
      <c r="X780" s="472">
        <f t="shared" si="33"/>
        <v>60</v>
      </c>
      <c r="AT780" s="232"/>
      <c r="AV780" s="198"/>
      <c r="AW780" s="274"/>
    </row>
    <row r="781" spans="2:49" x14ac:dyDescent="0.25">
      <c r="B781" s="274">
        <v>21.4</v>
      </c>
      <c r="C781" s="274">
        <v>60</v>
      </c>
      <c r="D781" s="274">
        <v>21.4</v>
      </c>
      <c r="E781" s="274">
        <v>6.8</v>
      </c>
      <c r="F781" s="274">
        <v>11.2</v>
      </c>
      <c r="G781" s="274">
        <v>116</v>
      </c>
      <c r="H781" s="274">
        <v>1023.5</v>
      </c>
      <c r="I781" s="274">
        <v>99913</v>
      </c>
      <c r="J781" s="274">
        <v>0</v>
      </c>
      <c r="K781" s="274">
        <v>0</v>
      </c>
      <c r="L781" s="274">
        <v>0</v>
      </c>
      <c r="M781" s="274">
        <v>65.3</v>
      </c>
      <c r="N781" s="396">
        <v>599.79999999999995</v>
      </c>
      <c r="O781" s="396">
        <v>39.6</v>
      </c>
      <c r="P781" s="396">
        <v>38.200000000000003</v>
      </c>
      <c r="Q781" s="397">
        <v>0.53611111111111098</v>
      </c>
      <c r="R781" s="396"/>
      <c r="S781" s="410"/>
      <c r="T781" s="409"/>
      <c r="U781" s="398" t="str">
        <f t="shared" si="35"/>
        <v/>
      </c>
      <c r="V781" s="400"/>
      <c r="W781" s="410">
        <f t="shared" si="34"/>
        <v>39.6</v>
      </c>
      <c r="X781" s="472">
        <f t="shared" si="33"/>
        <v>60</v>
      </c>
      <c r="AT781" s="232"/>
      <c r="AV781" s="198"/>
      <c r="AW781" s="274"/>
    </row>
    <row r="782" spans="2:49" x14ac:dyDescent="0.25">
      <c r="B782" s="274">
        <v>21.4</v>
      </c>
      <c r="C782" s="274">
        <v>61</v>
      </c>
      <c r="D782" s="274">
        <v>21.4</v>
      </c>
      <c r="E782" s="274">
        <v>3.6</v>
      </c>
      <c r="F782" s="274">
        <v>5.4</v>
      </c>
      <c r="G782" s="274">
        <v>75</v>
      </c>
      <c r="H782" s="274">
        <v>1023.3</v>
      </c>
      <c r="I782" s="274">
        <v>96456</v>
      </c>
      <c r="J782" s="274">
        <v>0</v>
      </c>
      <c r="K782" s="274">
        <v>0</v>
      </c>
      <c r="L782" s="274">
        <v>0</v>
      </c>
      <c r="M782" s="274">
        <v>65.3</v>
      </c>
      <c r="N782" s="396">
        <v>599.79999999999995</v>
      </c>
      <c r="O782" s="396">
        <v>39.700000000000003</v>
      </c>
      <c r="P782" s="396">
        <v>38.200000000000003</v>
      </c>
      <c r="Q782" s="397">
        <v>0.53680555555555598</v>
      </c>
      <c r="R782" s="396"/>
      <c r="S782" s="410"/>
      <c r="T782" s="409"/>
      <c r="U782" s="398" t="str">
        <f t="shared" si="35"/>
        <v/>
      </c>
      <c r="V782" s="400"/>
      <c r="W782" s="410">
        <f t="shared" si="34"/>
        <v>39.700000000000003</v>
      </c>
      <c r="X782" s="472">
        <f t="shared" si="33"/>
        <v>60</v>
      </c>
      <c r="AT782" s="232"/>
      <c r="AV782" s="198"/>
      <c r="AW782" s="274"/>
    </row>
    <row r="783" spans="2:49" x14ac:dyDescent="0.25">
      <c r="B783" s="274">
        <v>20.7</v>
      </c>
      <c r="C783" s="274">
        <v>63</v>
      </c>
      <c r="D783" s="274">
        <v>20.7</v>
      </c>
      <c r="E783" s="274">
        <v>4</v>
      </c>
      <c r="F783" s="274">
        <v>5.4</v>
      </c>
      <c r="G783" s="274">
        <v>102</v>
      </c>
      <c r="H783" s="274">
        <v>1023.4</v>
      </c>
      <c r="I783" s="274">
        <v>96286</v>
      </c>
      <c r="J783" s="274">
        <v>0</v>
      </c>
      <c r="K783" s="274">
        <v>0</v>
      </c>
      <c r="L783" s="274">
        <v>0</v>
      </c>
      <c r="M783" s="274">
        <v>65.3</v>
      </c>
      <c r="N783" s="396">
        <v>599.79999999999995</v>
      </c>
      <c r="O783" s="396">
        <v>39.700000000000003</v>
      </c>
      <c r="P783" s="396">
        <v>38</v>
      </c>
      <c r="Q783" s="397">
        <v>0.53749999999999998</v>
      </c>
      <c r="R783" s="396"/>
      <c r="S783" s="410"/>
      <c r="T783" s="409"/>
      <c r="U783" s="398" t="str">
        <f t="shared" si="35"/>
        <v/>
      </c>
      <c r="V783" s="400"/>
      <c r="W783" s="410">
        <f t="shared" si="34"/>
        <v>39.700000000000003</v>
      </c>
      <c r="X783" s="472">
        <f t="shared" si="33"/>
        <v>60</v>
      </c>
      <c r="AT783" s="232"/>
      <c r="AV783" s="198"/>
      <c r="AW783" s="274"/>
    </row>
    <row r="784" spans="2:49" x14ac:dyDescent="0.25">
      <c r="B784" s="274">
        <v>20.6</v>
      </c>
      <c r="C784" s="274">
        <v>64</v>
      </c>
      <c r="D784" s="274">
        <v>20.6</v>
      </c>
      <c r="E784" s="274">
        <v>8.6</v>
      </c>
      <c r="F784" s="274">
        <v>11.2</v>
      </c>
      <c r="G784" s="274">
        <v>115</v>
      </c>
      <c r="H784" s="274">
        <v>1023.4</v>
      </c>
      <c r="I784" s="274">
        <v>96177</v>
      </c>
      <c r="J784" s="274">
        <v>0</v>
      </c>
      <c r="K784" s="274">
        <v>0</v>
      </c>
      <c r="L784" s="274">
        <v>0</v>
      </c>
      <c r="M784" s="274">
        <v>65.3</v>
      </c>
      <c r="N784" s="396">
        <v>599.79999999999995</v>
      </c>
      <c r="O784" s="396">
        <v>39.6</v>
      </c>
      <c r="P784" s="396">
        <v>37.9</v>
      </c>
      <c r="Q784" s="397">
        <v>0.53819444444444398</v>
      </c>
      <c r="R784" s="396"/>
      <c r="S784" s="410"/>
      <c r="T784" s="409"/>
      <c r="U784" s="398" t="str">
        <f t="shared" si="35"/>
        <v/>
      </c>
      <c r="V784" s="400"/>
      <c r="W784" s="410">
        <f t="shared" si="34"/>
        <v>39.6</v>
      </c>
      <c r="X784" s="472">
        <f t="shared" si="33"/>
        <v>60</v>
      </c>
      <c r="AT784" s="232"/>
      <c r="AV784" s="198"/>
      <c r="AW784" s="274"/>
    </row>
    <row r="785" spans="2:49" x14ac:dyDescent="0.25">
      <c r="B785" s="274">
        <v>20.6</v>
      </c>
      <c r="C785" s="274">
        <v>64</v>
      </c>
      <c r="D785" s="274">
        <v>20.6</v>
      </c>
      <c r="E785" s="274">
        <v>1.4</v>
      </c>
      <c r="F785" s="274">
        <v>3.6</v>
      </c>
      <c r="G785" s="274">
        <v>102</v>
      </c>
      <c r="H785" s="274">
        <v>1023.1</v>
      </c>
      <c r="I785" s="274">
        <v>95573</v>
      </c>
      <c r="J785" s="274">
        <v>0</v>
      </c>
      <c r="K785" s="274">
        <v>0</v>
      </c>
      <c r="L785" s="274">
        <v>0</v>
      </c>
      <c r="M785" s="274">
        <v>65.3</v>
      </c>
      <c r="N785" s="396">
        <v>599.79999999999995</v>
      </c>
      <c r="O785" s="396">
        <v>39.5</v>
      </c>
      <c r="P785" s="396">
        <v>37.700000000000003</v>
      </c>
      <c r="Q785" s="397">
        <v>0.53888888888888897</v>
      </c>
      <c r="R785" s="396"/>
      <c r="S785" s="410"/>
      <c r="T785" s="409"/>
      <c r="U785" s="398" t="str">
        <f t="shared" si="35"/>
        <v/>
      </c>
      <c r="V785" s="400"/>
      <c r="W785" s="410">
        <f t="shared" si="34"/>
        <v>39.5</v>
      </c>
      <c r="X785" s="472">
        <f t="shared" ref="X785:X848" si="36">IF(W785&gt;B785+3,60,"")</f>
        <v>60</v>
      </c>
      <c r="AT785" s="232"/>
      <c r="AV785" s="198"/>
      <c r="AW785" s="274"/>
    </row>
    <row r="786" spans="2:49" x14ac:dyDescent="0.25">
      <c r="B786" s="274">
        <v>20.6</v>
      </c>
      <c r="C786" s="274">
        <v>64</v>
      </c>
      <c r="D786" s="274">
        <v>20.6</v>
      </c>
      <c r="E786" s="274">
        <v>4</v>
      </c>
      <c r="F786" s="274">
        <v>5.4</v>
      </c>
      <c r="G786" s="274">
        <v>117</v>
      </c>
      <c r="H786" s="274">
        <v>1023.5</v>
      </c>
      <c r="I786" s="274">
        <v>95526</v>
      </c>
      <c r="J786" s="274">
        <v>0</v>
      </c>
      <c r="K786" s="274">
        <v>0</v>
      </c>
      <c r="L786" s="274">
        <v>0</v>
      </c>
      <c r="M786" s="274">
        <v>65.3</v>
      </c>
      <c r="N786" s="396">
        <v>599.79999999999995</v>
      </c>
      <c r="O786" s="396">
        <v>39.299999999999997</v>
      </c>
      <c r="P786" s="396">
        <v>37.6</v>
      </c>
      <c r="Q786" s="397">
        <v>0.53958333333333297</v>
      </c>
      <c r="R786" s="396"/>
      <c r="S786" s="410"/>
      <c r="T786" s="409"/>
      <c r="U786" s="398" t="str">
        <f t="shared" si="35"/>
        <v/>
      </c>
      <c r="V786" s="400"/>
      <c r="W786" s="410">
        <f t="shared" si="34"/>
        <v>39.299999999999997</v>
      </c>
      <c r="X786" s="472">
        <f t="shared" si="36"/>
        <v>60</v>
      </c>
      <c r="AT786" s="232"/>
      <c r="AV786" s="198"/>
      <c r="AW786" s="274"/>
    </row>
    <row r="787" spans="2:49" x14ac:dyDescent="0.25">
      <c r="B787" s="274">
        <v>20.399999999999999</v>
      </c>
      <c r="C787" s="274">
        <v>65</v>
      </c>
      <c r="D787" s="274">
        <v>20.399999999999999</v>
      </c>
      <c r="E787" s="274">
        <v>3.6</v>
      </c>
      <c r="F787" s="274">
        <v>5.4</v>
      </c>
      <c r="G787" s="274">
        <v>132</v>
      </c>
      <c r="H787" s="274">
        <v>1023.5</v>
      </c>
      <c r="I787" s="274">
        <v>96022</v>
      </c>
      <c r="J787" s="274">
        <v>0</v>
      </c>
      <c r="K787" s="274">
        <v>0</v>
      </c>
      <c r="L787" s="274">
        <v>0</v>
      </c>
      <c r="M787" s="274">
        <v>65.3</v>
      </c>
      <c r="N787" s="396">
        <v>599.79999999999995</v>
      </c>
      <c r="O787" s="396">
        <v>39.1</v>
      </c>
      <c r="P787" s="396">
        <v>37.6</v>
      </c>
      <c r="Q787" s="397">
        <v>0.54027777777777797</v>
      </c>
      <c r="R787" s="396"/>
      <c r="S787" s="410"/>
      <c r="T787" s="409"/>
      <c r="U787" s="398" t="str">
        <f t="shared" si="35"/>
        <v/>
      </c>
      <c r="V787" s="400"/>
      <c r="W787" s="410">
        <f t="shared" si="34"/>
        <v>39.1</v>
      </c>
      <c r="X787" s="472">
        <f t="shared" si="36"/>
        <v>60</v>
      </c>
      <c r="AT787" s="232"/>
      <c r="AV787" s="198"/>
      <c r="AW787" s="274"/>
    </row>
    <row r="788" spans="2:49" x14ac:dyDescent="0.25">
      <c r="B788" s="274">
        <v>20.399999999999999</v>
      </c>
      <c r="C788" s="274">
        <v>65</v>
      </c>
      <c r="D788" s="274">
        <v>20.399999999999999</v>
      </c>
      <c r="E788" s="274">
        <v>4</v>
      </c>
      <c r="F788" s="274">
        <v>5.4</v>
      </c>
      <c r="G788" s="274">
        <v>75</v>
      </c>
      <c r="H788" s="274">
        <v>1023.3</v>
      </c>
      <c r="I788" s="274">
        <v>96627</v>
      </c>
      <c r="J788" s="274">
        <v>0</v>
      </c>
      <c r="K788" s="274">
        <v>0</v>
      </c>
      <c r="L788" s="274">
        <v>0</v>
      </c>
      <c r="M788" s="274">
        <v>65.3</v>
      </c>
      <c r="N788" s="396">
        <v>599.79999999999995</v>
      </c>
      <c r="O788" s="396">
        <v>39</v>
      </c>
      <c r="P788" s="396">
        <v>37.6</v>
      </c>
      <c r="Q788" s="397">
        <v>0.54097222222222197</v>
      </c>
      <c r="R788" s="396"/>
      <c r="S788" s="410"/>
      <c r="T788" s="409"/>
      <c r="U788" s="398" t="str">
        <f t="shared" si="35"/>
        <v/>
      </c>
      <c r="V788" s="400"/>
      <c r="W788" s="410">
        <f t="shared" si="34"/>
        <v>39</v>
      </c>
      <c r="X788" s="472">
        <f t="shared" si="36"/>
        <v>60</v>
      </c>
      <c r="AT788" s="232"/>
      <c r="AV788" s="198"/>
      <c r="AW788" s="274"/>
    </row>
    <row r="789" spans="2:49" x14ac:dyDescent="0.25">
      <c r="B789" s="274">
        <v>20.3</v>
      </c>
      <c r="C789" s="274">
        <v>65</v>
      </c>
      <c r="D789" s="274">
        <v>20.3</v>
      </c>
      <c r="E789" s="274">
        <v>8.6</v>
      </c>
      <c r="F789" s="274">
        <v>11.2</v>
      </c>
      <c r="G789" s="274">
        <v>117</v>
      </c>
      <c r="H789" s="274">
        <v>1023.3</v>
      </c>
      <c r="I789" s="274">
        <v>97386</v>
      </c>
      <c r="J789" s="274">
        <v>0</v>
      </c>
      <c r="K789" s="274">
        <v>0</v>
      </c>
      <c r="L789" s="274">
        <v>0</v>
      </c>
      <c r="M789" s="274">
        <v>65.3</v>
      </c>
      <c r="N789" s="396">
        <v>599.79999999999995</v>
      </c>
      <c r="O789" s="396">
        <v>38.9</v>
      </c>
      <c r="P789" s="396">
        <v>37.6</v>
      </c>
      <c r="Q789" s="397">
        <v>0.54166666666666696</v>
      </c>
      <c r="R789" s="396"/>
      <c r="S789" s="410"/>
      <c r="T789" s="409"/>
      <c r="U789" s="398" t="str">
        <f t="shared" si="35"/>
        <v/>
      </c>
      <c r="V789" s="400"/>
      <c r="W789" s="410">
        <f t="shared" si="34"/>
        <v>38.9</v>
      </c>
      <c r="X789" s="472">
        <f t="shared" si="36"/>
        <v>60</v>
      </c>
      <c r="AT789" s="232"/>
      <c r="AV789" s="198"/>
      <c r="AW789" s="274"/>
    </row>
    <row r="790" spans="2:49" x14ac:dyDescent="0.25">
      <c r="B790" s="274">
        <v>20.3</v>
      </c>
      <c r="C790" s="274">
        <v>66</v>
      </c>
      <c r="D790" s="274">
        <v>20.3</v>
      </c>
      <c r="E790" s="274">
        <v>7.9</v>
      </c>
      <c r="F790" s="274">
        <v>9.4</v>
      </c>
      <c r="G790" s="274">
        <v>102</v>
      </c>
      <c r="H790" s="274">
        <v>1023.3</v>
      </c>
      <c r="I790" s="274">
        <v>97774</v>
      </c>
      <c r="J790" s="274">
        <v>0</v>
      </c>
      <c r="K790" s="274">
        <v>0</v>
      </c>
      <c r="L790" s="274">
        <v>0</v>
      </c>
      <c r="M790" s="274">
        <v>65.3</v>
      </c>
      <c r="N790" s="396">
        <v>599.79999999999995</v>
      </c>
      <c r="O790" s="396">
        <v>38.700000000000003</v>
      </c>
      <c r="P790" s="396">
        <v>37.6</v>
      </c>
      <c r="Q790" s="397">
        <v>0.54236111111111096</v>
      </c>
      <c r="R790" s="396"/>
      <c r="S790" s="410"/>
      <c r="T790" s="409"/>
      <c r="U790" s="398" t="str">
        <f t="shared" si="35"/>
        <v/>
      </c>
      <c r="V790" s="400"/>
      <c r="W790" s="410">
        <f t="shared" si="34"/>
        <v>38.700000000000003</v>
      </c>
      <c r="X790" s="472">
        <f t="shared" si="36"/>
        <v>60</v>
      </c>
      <c r="AT790" s="232"/>
      <c r="AV790" s="198"/>
      <c r="AW790" s="274"/>
    </row>
    <row r="791" spans="2:49" x14ac:dyDescent="0.25">
      <c r="B791" s="274">
        <v>20</v>
      </c>
      <c r="C791" s="274">
        <v>67</v>
      </c>
      <c r="D791" s="274">
        <v>20</v>
      </c>
      <c r="E791" s="274">
        <v>2.9</v>
      </c>
      <c r="F791" s="274">
        <v>3.6</v>
      </c>
      <c r="G791" s="274">
        <v>122</v>
      </c>
      <c r="H791" s="274">
        <v>1023.3</v>
      </c>
      <c r="I791" s="274">
        <v>97991</v>
      </c>
      <c r="J791" s="274">
        <v>0</v>
      </c>
      <c r="K791" s="274">
        <v>0</v>
      </c>
      <c r="L791" s="274">
        <v>0</v>
      </c>
      <c r="M791" s="274">
        <v>65.3</v>
      </c>
      <c r="N791" s="396">
        <v>599.79999999999995</v>
      </c>
      <c r="O791" s="396">
        <v>38.6</v>
      </c>
      <c r="P791" s="396">
        <v>37.700000000000003</v>
      </c>
      <c r="Q791" s="397">
        <v>0.54305555555555596</v>
      </c>
      <c r="R791" s="396"/>
      <c r="S791" s="410"/>
      <c r="T791" s="409"/>
      <c r="U791" s="398" t="str">
        <f t="shared" si="35"/>
        <v/>
      </c>
      <c r="V791" s="400"/>
      <c r="W791" s="410">
        <f t="shared" si="34"/>
        <v>38.6</v>
      </c>
      <c r="X791" s="472">
        <f t="shared" si="36"/>
        <v>60</v>
      </c>
      <c r="AT791" s="232"/>
      <c r="AV791" s="198"/>
      <c r="AW791" s="274"/>
    </row>
    <row r="792" spans="2:49" x14ac:dyDescent="0.25">
      <c r="B792" s="274">
        <v>20</v>
      </c>
      <c r="C792" s="274">
        <v>65</v>
      </c>
      <c r="D792" s="274">
        <v>20</v>
      </c>
      <c r="E792" s="274">
        <v>4</v>
      </c>
      <c r="F792" s="274">
        <v>5.4</v>
      </c>
      <c r="G792" s="274">
        <v>199</v>
      </c>
      <c r="H792" s="274">
        <v>1023.3</v>
      </c>
      <c r="I792" s="274">
        <v>98766</v>
      </c>
      <c r="J792" s="274">
        <v>0</v>
      </c>
      <c r="K792" s="274">
        <v>0</v>
      </c>
      <c r="L792" s="274">
        <v>0</v>
      </c>
      <c r="M792" s="274">
        <v>65.3</v>
      </c>
      <c r="N792" s="396">
        <v>599.79999999999995</v>
      </c>
      <c r="O792" s="396">
        <v>38.4</v>
      </c>
      <c r="P792" s="396">
        <v>37.6</v>
      </c>
      <c r="Q792" s="397">
        <v>0.54374999999999996</v>
      </c>
      <c r="R792" s="396"/>
      <c r="S792" s="410"/>
      <c r="T792" s="409"/>
      <c r="U792" s="398" t="str">
        <f t="shared" si="35"/>
        <v/>
      </c>
      <c r="V792" s="400"/>
      <c r="W792" s="410">
        <f t="shared" si="34"/>
        <v>38.4</v>
      </c>
      <c r="X792" s="472">
        <f t="shared" si="36"/>
        <v>60</v>
      </c>
      <c r="AT792" s="232"/>
      <c r="AV792" s="198"/>
      <c r="AW792" s="274"/>
    </row>
    <row r="793" spans="2:49" x14ac:dyDescent="0.25">
      <c r="B793" s="274">
        <v>20.3</v>
      </c>
      <c r="C793" s="274">
        <v>65</v>
      </c>
      <c r="D793" s="274">
        <v>20.3</v>
      </c>
      <c r="E793" s="274">
        <v>3.2</v>
      </c>
      <c r="F793" s="274">
        <v>5.4</v>
      </c>
      <c r="G793" s="274">
        <v>167</v>
      </c>
      <c r="H793" s="274">
        <v>1023.4</v>
      </c>
      <c r="I793" s="274">
        <v>98270</v>
      </c>
      <c r="J793" s="274">
        <v>0</v>
      </c>
      <c r="K793" s="274">
        <v>0</v>
      </c>
      <c r="L793" s="274">
        <v>0</v>
      </c>
      <c r="M793" s="274">
        <v>65.3</v>
      </c>
      <c r="N793" s="396">
        <v>599.79999999999995</v>
      </c>
      <c r="O793" s="396">
        <v>38.299999999999997</v>
      </c>
      <c r="P793" s="396">
        <v>37.6</v>
      </c>
      <c r="Q793" s="397">
        <v>0.54444444444444495</v>
      </c>
      <c r="R793" s="396"/>
      <c r="S793" s="410"/>
      <c r="T793" s="409"/>
      <c r="U793" s="398" t="str">
        <f t="shared" si="35"/>
        <v/>
      </c>
      <c r="V793" s="400"/>
      <c r="W793" s="410">
        <f t="shared" si="34"/>
        <v>38.299999999999997</v>
      </c>
      <c r="X793" s="472">
        <f t="shared" si="36"/>
        <v>60</v>
      </c>
      <c r="AT793" s="232"/>
      <c r="AV793" s="198"/>
      <c r="AW793" s="274"/>
    </row>
    <row r="794" spans="2:49" x14ac:dyDescent="0.25">
      <c r="B794" s="274">
        <v>20.399999999999999</v>
      </c>
      <c r="C794" s="274">
        <v>65</v>
      </c>
      <c r="D794" s="274">
        <v>20.399999999999999</v>
      </c>
      <c r="E794" s="274">
        <v>3.6</v>
      </c>
      <c r="F794" s="274">
        <v>5.4</v>
      </c>
      <c r="G794" s="274">
        <v>119</v>
      </c>
      <c r="H794" s="274">
        <v>1023.3</v>
      </c>
      <c r="I794" s="274">
        <v>97944</v>
      </c>
      <c r="J794" s="274">
        <v>0</v>
      </c>
      <c r="K794" s="274">
        <v>0</v>
      </c>
      <c r="L794" s="274">
        <v>0</v>
      </c>
      <c r="M794" s="274">
        <v>65.3</v>
      </c>
      <c r="N794" s="396">
        <v>599.79999999999995</v>
      </c>
      <c r="O794" s="396">
        <v>38.200000000000003</v>
      </c>
      <c r="P794" s="396">
        <v>37.700000000000003</v>
      </c>
      <c r="Q794" s="397">
        <v>0.54513888888888895</v>
      </c>
      <c r="R794" s="396"/>
      <c r="S794" s="410"/>
      <c r="T794" s="409"/>
      <c r="U794" s="398" t="str">
        <f t="shared" si="35"/>
        <v/>
      </c>
      <c r="V794" s="400"/>
      <c r="W794" s="410">
        <f t="shared" si="34"/>
        <v>38.200000000000003</v>
      </c>
      <c r="X794" s="472">
        <f t="shared" si="36"/>
        <v>60</v>
      </c>
      <c r="AT794" s="232"/>
      <c r="AV794" s="198"/>
      <c r="AW794" s="274"/>
    </row>
    <row r="795" spans="2:49" x14ac:dyDescent="0.25">
      <c r="B795" s="274">
        <v>20.5</v>
      </c>
      <c r="C795" s="274">
        <v>65</v>
      </c>
      <c r="D795" s="274">
        <v>20.5</v>
      </c>
      <c r="E795" s="274">
        <v>2.9</v>
      </c>
      <c r="F795" s="274">
        <v>5.4</v>
      </c>
      <c r="G795" s="274">
        <v>142</v>
      </c>
      <c r="H795" s="274">
        <v>1023.3</v>
      </c>
      <c r="I795" s="274">
        <v>97836</v>
      </c>
      <c r="J795" s="274">
        <v>0</v>
      </c>
      <c r="K795" s="274">
        <v>0</v>
      </c>
      <c r="L795" s="274">
        <v>0</v>
      </c>
      <c r="M795" s="274">
        <v>65.3</v>
      </c>
      <c r="N795" s="396">
        <v>599.79999999999995</v>
      </c>
      <c r="O795" s="396">
        <v>38.200000000000003</v>
      </c>
      <c r="P795" s="396">
        <v>37.700000000000003</v>
      </c>
      <c r="Q795" s="397">
        <v>0.54583333333333295</v>
      </c>
      <c r="R795" s="396"/>
      <c r="S795" s="410"/>
      <c r="T795" s="409"/>
      <c r="U795" s="398" t="str">
        <f t="shared" si="35"/>
        <v/>
      </c>
      <c r="V795" s="400"/>
      <c r="W795" s="410">
        <f t="shared" si="34"/>
        <v>38.200000000000003</v>
      </c>
      <c r="X795" s="472">
        <f t="shared" si="36"/>
        <v>60</v>
      </c>
      <c r="AT795" s="232"/>
      <c r="AV795" s="198"/>
      <c r="AW795" s="274"/>
    </row>
    <row r="796" spans="2:49" x14ac:dyDescent="0.25">
      <c r="B796" s="274">
        <v>20.5</v>
      </c>
      <c r="C796" s="274">
        <v>60</v>
      </c>
      <c r="D796" s="274">
        <v>20.5</v>
      </c>
      <c r="E796" s="274">
        <v>4</v>
      </c>
      <c r="F796" s="274">
        <v>5.4</v>
      </c>
      <c r="G796" s="274">
        <v>67</v>
      </c>
      <c r="H796" s="274">
        <v>1023.3</v>
      </c>
      <c r="I796" s="274">
        <v>97231</v>
      </c>
      <c r="J796" s="274">
        <v>0</v>
      </c>
      <c r="K796" s="274">
        <v>0</v>
      </c>
      <c r="L796" s="274">
        <v>0</v>
      </c>
      <c r="M796" s="274">
        <v>65.3</v>
      </c>
      <c r="N796" s="396">
        <v>599.79999999999995</v>
      </c>
      <c r="O796" s="396">
        <v>38.1</v>
      </c>
      <c r="P796" s="396">
        <v>37.700000000000003</v>
      </c>
      <c r="Q796" s="397">
        <v>0.54652777777777795</v>
      </c>
      <c r="R796" s="396"/>
      <c r="S796" s="410"/>
      <c r="T796" s="409"/>
      <c r="U796" s="398" t="str">
        <f t="shared" si="35"/>
        <v/>
      </c>
      <c r="V796" s="400"/>
      <c r="W796" s="410">
        <f t="shared" si="34"/>
        <v>38.1</v>
      </c>
      <c r="X796" s="472">
        <f t="shared" si="36"/>
        <v>60</v>
      </c>
      <c r="AT796" s="232"/>
      <c r="AV796" s="198"/>
      <c r="AW796" s="274"/>
    </row>
    <row r="797" spans="2:49" x14ac:dyDescent="0.25">
      <c r="B797" s="274">
        <v>20.5</v>
      </c>
      <c r="C797" s="274">
        <v>65</v>
      </c>
      <c r="D797" s="274">
        <v>20.5</v>
      </c>
      <c r="E797" s="274">
        <v>2.5</v>
      </c>
      <c r="F797" s="274">
        <v>3.6</v>
      </c>
      <c r="G797" s="274">
        <v>105</v>
      </c>
      <c r="H797" s="274">
        <v>1023.5</v>
      </c>
      <c r="I797" s="274">
        <v>96673</v>
      </c>
      <c r="J797" s="274">
        <v>0</v>
      </c>
      <c r="K797" s="274">
        <v>0</v>
      </c>
      <c r="L797" s="274">
        <v>0</v>
      </c>
      <c r="M797" s="274">
        <v>65.3</v>
      </c>
      <c r="N797" s="396">
        <v>599.79999999999995</v>
      </c>
      <c r="O797" s="396">
        <v>38.1</v>
      </c>
      <c r="P797" s="396">
        <v>37.700000000000003</v>
      </c>
      <c r="Q797" s="397">
        <v>0.54722222222222205</v>
      </c>
      <c r="R797" s="396"/>
      <c r="S797" s="410"/>
      <c r="T797" s="409"/>
      <c r="U797" s="398" t="str">
        <f t="shared" si="35"/>
        <v/>
      </c>
      <c r="V797" s="400"/>
      <c r="W797" s="410">
        <f t="shared" si="34"/>
        <v>38.1</v>
      </c>
      <c r="X797" s="472">
        <f t="shared" si="36"/>
        <v>60</v>
      </c>
      <c r="AT797" s="232"/>
      <c r="AV797" s="198"/>
      <c r="AW797" s="274"/>
    </row>
    <row r="798" spans="2:49" x14ac:dyDescent="0.25">
      <c r="B798" s="274">
        <v>20.5</v>
      </c>
      <c r="C798" s="274">
        <v>64</v>
      </c>
      <c r="D798" s="274">
        <v>20.5</v>
      </c>
      <c r="E798" s="274">
        <v>4.3</v>
      </c>
      <c r="F798" s="274">
        <v>5.4</v>
      </c>
      <c r="G798" s="274">
        <v>191</v>
      </c>
      <c r="H798" s="274">
        <v>1023.3</v>
      </c>
      <c r="I798" s="274">
        <v>96673</v>
      </c>
      <c r="J798" s="274">
        <v>0</v>
      </c>
      <c r="K798" s="274">
        <v>0</v>
      </c>
      <c r="L798" s="274">
        <v>0</v>
      </c>
      <c r="M798" s="274">
        <v>65.3</v>
      </c>
      <c r="N798" s="396">
        <v>599.79999999999995</v>
      </c>
      <c r="O798" s="396">
        <v>38.1</v>
      </c>
      <c r="P798" s="396">
        <v>37.700000000000003</v>
      </c>
      <c r="Q798" s="397">
        <v>0.54791666666666705</v>
      </c>
      <c r="R798" s="396"/>
      <c r="S798" s="410"/>
      <c r="T798" s="409"/>
      <c r="U798" s="398" t="str">
        <f t="shared" si="35"/>
        <v/>
      </c>
      <c r="V798" s="400"/>
      <c r="W798" s="410">
        <f t="shared" si="34"/>
        <v>38.1</v>
      </c>
      <c r="X798" s="472">
        <f t="shared" si="36"/>
        <v>60</v>
      </c>
      <c r="AT798" s="232"/>
      <c r="AV798" s="198"/>
      <c r="AW798" s="274"/>
    </row>
    <row r="799" spans="2:49" x14ac:dyDescent="0.25">
      <c r="B799" s="274">
        <v>20.5</v>
      </c>
      <c r="C799" s="274">
        <v>64</v>
      </c>
      <c r="D799" s="274">
        <v>20.5</v>
      </c>
      <c r="E799" s="274">
        <v>4</v>
      </c>
      <c r="F799" s="274">
        <v>5.4</v>
      </c>
      <c r="G799" s="274">
        <v>92</v>
      </c>
      <c r="H799" s="274">
        <v>1023.3</v>
      </c>
      <c r="I799" s="274">
        <v>96627</v>
      </c>
      <c r="J799" s="274">
        <v>0</v>
      </c>
      <c r="K799" s="274">
        <v>0</v>
      </c>
      <c r="L799" s="274">
        <v>0</v>
      </c>
      <c r="M799" s="274">
        <v>65.3</v>
      </c>
      <c r="N799" s="396">
        <v>599.79999999999995</v>
      </c>
      <c r="O799" s="396">
        <v>38.1</v>
      </c>
      <c r="P799" s="396">
        <v>37.700000000000003</v>
      </c>
      <c r="Q799" s="397">
        <v>0.54861111111111105</v>
      </c>
      <c r="R799" s="396"/>
      <c r="S799" s="410"/>
      <c r="T799" s="409"/>
      <c r="U799" s="398" t="str">
        <f t="shared" si="35"/>
        <v/>
      </c>
      <c r="V799" s="400"/>
      <c r="W799" s="410">
        <f t="shared" si="34"/>
        <v>38.1</v>
      </c>
      <c r="X799" s="472">
        <f t="shared" si="36"/>
        <v>60</v>
      </c>
      <c r="AT799" s="232"/>
      <c r="AV799" s="198"/>
      <c r="AW799" s="274"/>
    </row>
    <row r="800" spans="2:49" x14ac:dyDescent="0.25">
      <c r="B800" s="274">
        <v>20.5</v>
      </c>
      <c r="C800" s="274">
        <v>65</v>
      </c>
      <c r="D800" s="274">
        <v>20.5</v>
      </c>
      <c r="E800" s="274">
        <v>5</v>
      </c>
      <c r="F800" s="274">
        <v>7.2</v>
      </c>
      <c r="G800" s="274">
        <v>183</v>
      </c>
      <c r="H800" s="274">
        <v>1023.4</v>
      </c>
      <c r="I800" s="274">
        <v>97169</v>
      </c>
      <c r="J800" s="274">
        <v>0</v>
      </c>
      <c r="K800" s="274">
        <v>0</v>
      </c>
      <c r="L800" s="274">
        <v>0</v>
      </c>
      <c r="M800" s="274">
        <v>65.3</v>
      </c>
      <c r="N800" s="396">
        <v>599.79999999999995</v>
      </c>
      <c r="O800" s="396">
        <v>38.1</v>
      </c>
      <c r="P800" s="396">
        <v>37.799999999999997</v>
      </c>
      <c r="Q800" s="397">
        <v>0.54930555555555605</v>
      </c>
      <c r="R800" s="396"/>
      <c r="S800" s="410"/>
      <c r="T800" s="409"/>
      <c r="U800" s="398" t="str">
        <f t="shared" si="35"/>
        <v/>
      </c>
      <c r="V800" s="400"/>
      <c r="W800" s="410">
        <f t="shared" si="34"/>
        <v>38.1</v>
      </c>
      <c r="X800" s="472">
        <f t="shared" si="36"/>
        <v>60</v>
      </c>
      <c r="AT800" s="232"/>
      <c r="AV800" s="198"/>
      <c r="AW800" s="274"/>
    </row>
    <row r="801" spans="2:49" x14ac:dyDescent="0.25">
      <c r="B801" s="274">
        <v>20.5</v>
      </c>
      <c r="C801" s="274">
        <v>66</v>
      </c>
      <c r="D801" s="274">
        <v>20.5</v>
      </c>
      <c r="E801" s="274">
        <v>4</v>
      </c>
      <c r="F801" s="274">
        <v>5.4</v>
      </c>
      <c r="G801" s="274">
        <v>196</v>
      </c>
      <c r="H801" s="274">
        <v>1023.4</v>
      </c>
      <c r="I801" s="274">
        <v>96503</v>
      </c>
      <c r="J801" s="274">
        <v>0</v>
      </c>
      <c r="K801" s="274">
        <v>0</v>
      </c>
      <c r="L801" s="274">
        <v>0</v>
      </c>
      <c r="M801" s="274">
        <v>65.3</v>
      </c>
      <c r="N801" s="396">
        <v>599.79999999999995</v>
      </c>
      <c r="O801" s="396">
        <v>38.1</v>
      </c>
      <c r="P801" s="396">
        <v>37.799999999999997</v>
      </c>
      <c r="Q801" s="397">
        <v>0.55000000000000004</v>
      </c>
      <c r="R801" s="396"/>
      <c r="S801" s="410"/>
      <c r="T801" s="409"/>
      <c r="U801" s="398" t="str">
        <f t="shared" si="35"/>
        <v/>
      </c>
      <c r="V801" s="400"/>
      <c r="W801" s="410">
        <f t="shared" si="34"/>
        <v>38.1</v>
      </c>
      <c r="X801" s="472">
        <f t="shared" si="36"/>
        <v>60</v>
      </c>
      <c r="AT801" s="232"/>
      <c r="AV801" s="198"/>
      <c r="AW801" s="274"/>
    </row>
    <row r="802" spans="2:49" x14ac:dyDescent="0.25">
      <c r="B802" s="274">
        <v>20.5</v>
      </c>
      <c r="C802" s="274">
        <v>65</v>
      </c>
      <c r="D802" s="274">
        <v>20.5</v>
      </c>
      <c r="E802" s="274">
        <v>1.4</v>
      </c>
      <c r="F802" s="274">
        <v>1.8</v>
      </c>
      <c r="G802" s="274">
        <v>198</v>
      </c>
      <c r="H802" s="274">
        <v>1023.2</v>
      </c>
      <c r="I802" s="274">
        <v>96069</v>
      </c>
      <c r="J802" s="274">
        <v>0</v>
      </c>
      <c r="K802" s="274">
        <v>0</v>
      </c>
      <c r="L802" s="274">
        <v>0</v>
      </c>
      <c r="M802" s="274">
        <v>65.3</v>
      </c>
      <c r="N802" s="396">
        <v>599.79999999999995</v>
      </c>
      <c r="O802" s="396">
        <v>38.1</v>
      </c>
      <c r="P802" s="396">
        <v>37.799999999999997</v>
      </c>
      <c r="Q802" s="397">
        <v>0.55069444444444404</v>
      </c>
      <c r="R802" s="396"/>
      <c r="S802" s="410"/>
      <c r="T802" s="409"/>
      <c r="U802" s="398" t="str">
        <f t="shared" si="35"/>
        <v/>
      </c>
      <c r="V802" s="400"/>
      <c r="W802" s="410">
        <f t="shared" si="34"/>
        <v>38.1</v>
      </c>
      <c r="X802" s="472">
        <f t="shared" si="36"/>
        <v>60</v>
      </c>
      <c r="AT802" s="232"/>
      <c r="AV802" s="198"/>
      <c r="AW802" s="274"/>
    </row>
    <row r="803" spans="2:49" x14ac:dyDescent="0.25">
      <c r="B803" s="274">
        <v>20.6</v>
      </c>
      <c r="C803" s="274">
        <v>66</v>
      </c>
      <c r="D803" s="274">
        <v>20.6</v>
      </c>
      <c r="E803" s="274">
        <v>2.5</v>
      </c>
      <c r="F803" s="274">
        <v>3.6</v>
      </c>
      <c r="G803" s="274">
        <v>101</v>
      </c>
      <c r="H803" s="274">
        <v>1023.3</v>
      </c>
      <c r="I803" s="274">
        <v>96286</v>
      </c>
      <c r="J803" s="274">
        <v>0</v>
      </c>
      <c r="K803" s="274">
        <v>0</v>
      </c>
      <c r="L803" s="274">
        <v>0</v>
      </c>
      <c r="M803" s="274">
        <v>65.3</v>
      </c>
      <c r="N803" s="396">
        <v>599.79999999999995</v>
      </c>
      <c r="O803" s="396">
        <v>38.1</v>
      </c>
      <c r="P803" s="396">
        <v>37.700000000000003</v>
      </c>
      <c r="Q803" s="397">
        <v>0.55138888888888904</v>
      </c>
      <c r="R803" s="396"/>
      <c r="S803" s="410"/>
      <c r="T803" s="409"/>
      <c r="U803" s="398" t="str">
        <f t="shared" si="35"/>
        <v/>
      </c>
      <c r="V803" s="400"/>
      <c r="W803" s="410">
        <f t="shared" si="34"/>
        <v>38.1</v>
      </c>
      <c r="X803" s="472">
        <f t="shared" si="36"/>
        <v>60</v>
      </c>
      <c r="AT803" s="232"/>
      <c r="AV803" s="198"/>
      <c r="AW803" s="274"/>
    </row>
    <row r="804" spans="2:49" x14ac:dyDescent="0.25">
      <c r="B804" s="274">
        <v>20.7</v>
      </c>
      <c r="C804" s="274">
        <v>65</v>
      </c>
      <c r="D804" s="274">
        <v>20.7</v>
      </c>
      <c r="E804" s="274">
        <v>6.1</v>
      </c>
      <c r="F804" s="274">
        <v>7.2</v>
      </c>
      <c r="G804" s="274">
        <v>107</v>
      </c>
      <c r="H804" s="274">
        <v>1023.3</v>
      </c>
      <c r="I804" s="274">
        <v>96735</v>
      </c>
      <c r="J804" s="274">
        <v>0</v>
      </c>
      <c r="K804" s="274">
        <v>0</v>
      </c>
      <c r="L804" s="274">
        <v>0</v>
      </c>
      <c r="M804" s="274">
        <v>65.3</v>
      </c>
      <c r="N804" s="396">
        <v>599.79999999999995</v>
      </c>
      <c r="O804" s="396">
        <v>38.200000000000003</v>
      </c>
      <c r="P804" s="396">
        <v>37.700000000000003</v>
      </c>
      <c r="Q804" s="397">
        <v>0.55208333333333304</v>
      </c>
      <c r="R804" s="396"/>
      <c r="S804" s="410"/>
      <c r="T804" s="409"/>
      <c r="U804" s="398" t="str">
        <f t="shared" si="35"/>
        <v/>
      </c>
      <c r="V804" s="400"/>
      <c r="W804" s="410">
        <f t="shared" si="34"/>
        <v>38.200000000000003</v>
      </c>
      <c r="X804" s="472">
        <f t="shared" si="36"/>
        <v>60</v>
      </c>
      <c r="AT804" s="232"/>
      <c r="AV804" s="198"/>
      <c r="AW804" s="274"/>
    </row>
    <row r="805" spans="2:49" x14ac:dyDescent="0.25">
      <c r="B805" s="274">
        <v>20.8</v>
      </c>
      <c r="C805" s="274">
        <v>66</v>
      </c>
      <c r="D805" s="274">
        <v>20.8</v>
      </c>
      <c r="E805" s="274">
        <v>4</v>
      </c>
      <c r="F805" s="274">
        <v>5.4</v>
      </c>
      <c r="G805" s="274">
        <v>126</v>
      </c>
      <c r="H805" s="274">
        <v>1023.3</v>
      </c>
      <c r="I805" s="274">
        <v>97836</v>
      </c>
      <c r="J805" s="274">
        <v>0</v>
      </c>
      <c r="K805" s="274">
        <v>0</v>
      </c>
      <c r="L805" s="274">
        <v>0</v>
      </c>
      <c r="M805" s="274">
        <v>65.3</v>
      </c>
      <c r="N805" s="396">
        <v>599.79999999999995</v>
      </c>
      <c r="O805" s="396">
        <v>38.299999999999997</v>
      </c>
      <c r="P805" s="396">
        <v>37.700000000000003</v>
      </c>
      <c r="Q805" s="397">
        <v>0.55277777777777803</v>
      </c>
      <c r="R805" s="396"/>
      <c r="S805" s="410"/>
      <c r="T805" s="409"/>
      <c r="U805" s="398" t="str">
        <f t="shared" si="35"/>
        <v/>
      </c>
      <c r="V805" s="400"/>
      <c r="W805" s="410">
        <f t="shared" si="34"/>
        <v>38.299999999999997</v>
      </c>
      <c r="X805" s="472">
        <f t="shared" si="36"/>
        <v>60</v>
      </c>
      <c r="AT805" s="232"/>
      <c r="AV805" s="198"/>
      <c r="AW805" s="274"/>
    </row>
    <row r="806" spans="2:49" x14ac:dyDescent="0.25">
      <c r="B806" s="274">
        <v>20.8</v>
      </c>
      <c r="C806" s="274">
        <v>66</v>
      </c>
      <c r="D806" s="274">
        <v>20.8</v>
      </c>
      <c r="E806" s="274">
        <v>2.9</v>
      </c>
      <c r="F806" s="274">
        <v>5.4</v>
      </c>
      <c r="G806" s="274">
        <v>97</v>
      </c>
      <c r="H806" s="274">
        <v>1023.4</v>
      </c>
      <c r="I806" s="274">
        <v>97340</v>
      </c>
      <c r="J806" s="274">
        <v>0</v>
      </c>
      <c r="K806" s="274">
        <v>0</v>
      </c>
      <c r="L806" s="274">
        <v>0</v>
      </c>
      <c r="M806" s="274">
        <v>65.3</v>
      </c>
      <c r="N806" s="396">
        <v>599.79999999999995</v>
      </c>
      <c r="O806" s="396">
        <v>38.299999999999997</v>
      </c>
      <c r="P806" s="396">
        <v>37.700000000000003</v>
      </c>
      <c r="Q806" s="397">
        <v>0.55347222222222203</v>
      </c>
      <c r="R806" s="396"/>
      <c r="S806" s="410"/>
      <c r="T806" s="409"/>
      <c r="U806" s="398" t="str">
        <f t="shared" si="35"/>
        <v/>
      </c>
      <c r="V806" s="400"/>
      <c r="W806" s="410">
        <f t="shared" si="34"/>
        <v>38.299999999999997</v>
      </c>
      <c r="X806" s="472">
        <f t="shared" si="36"/>
        <v>60</v>
      </c>
      <c r="AT806" s="232"/>
      <c r="AV806" s="198"/>
      <c r="AW806" s="274"/>
    </row>
    <row r="807" spans="2:49" x14ac:dyDescent="0.25">
      <c r="B807" s="274">
        <v>21.1</v>
      </c>
      <c r="C807" s="274">
        <v>65</v>
      </c>
      <c r="D807" s="274">
        <v>21.1</v>
      </c>
      <c r="E807" s="274">
        <v>2.9</v>
      </c>
      <c r="F807" s="274">
        <v>3.6</v>
      </c>
      <c r="G807" s="274">
        <v>75</v>
      </c>
      <c r="H807" s="274">
        <v>1023.3</v>
      </c>
      <c r="I807" s="274">
        <v>96673</v>
      </c>
      <c r="J807" s="274">
        <v>0</v>
      </c>
      <c r="K807" s="274">
        <v>0</v>
      </c>
      <c r="L807" s="274">
        <v>0</v>
      </c>
      <c r="M807" s="274">
        <v>65.3</v>
      </c>
      <c r="N807" s="396">
        <v>599.79999999999995</v>
      </c>
      <c r="O807" s="396">
        <v>38.4</v>
      </c>
      <c r="P807" s="396">
        <v>37.700000000000003</v>
      </c>
      <c r="Q807" s="397">
        <v>0.55416666666666703</v>
      </c>
      <c r="R807" s="396"/>
      <c r="S807" s="410"/>
      <c r="T807" s="409"/>
      <c r="U807" s="398" t="str">
        <f t="shared" si="35"/>
        <v/>
      </c>
      <c r="V807" s="400"/>
      <c r="W807" s="410">
        <f t="shared" si="34"/>
        <v>38.4</v>
      </c>
      <c r="X807" s="472">
        <f t="shared" si="36"/>
        <v>60</v>
      </c>
      <c r="AT807" s="232"/>
      <c r="AV807" s="198"/>
      <c r="AW807" s="274"/>
    </row>
    <row r="808" spans="2:49" x14ac:dyDescent="0.25">
      <c r="B808" s="274">
        <v>21.1</v>
      </c>
      <c r="C808" s="274">
        <v>65</v>
      </c>
      <c r="D808" s="274">
        <v>21.1</v>
      </c>
      <c r="E808" s="274">
        <v>2.5</v>
      </c>
      <c r="F808" s="274">
        <v>3.6</v>
      </c>
      <c r="G808" s="274">
        <v>86</v>
      </c>
      <c r="H808" s="274">
        <v>1023.4</v>
      </c>
      <c r="I808" s="274">
        <v>95852</v>
      </c>
      <c r="J808" s="274">
        <v>0</v>
      </c>
      <c r="K808" s="274">
        <v>0</v>
      </c>
      <c r="L808" s="274">
        <v>0</v>
      </c>
      <c r="M808" s="274">
        <v>65.3</v>
      </c>
      <c r="N808" s="396">
        <v>599.79999999999995</v>
      </c>
      <c r="O808" s="396">
        <v>38.5</v>
      </c>
      <c r="P808" s="396">
        <v>37.700000000000003</v>
      </c>
      <c r="Q808" s="397">
        <v>0.55486111111111103</v>
      </c>
      <c r="R808" s="396"/>
      <c r="S808" s="410"/>
      <c r="T808" s="409"/>
      <c r="U808" s="398" t="str">
        <f t="shared" si="35"/>
        <v/>
      </c>
      <c r="V808" s="400"/>
      <c r="W808" s="410">
        <f t="shared" si="34"/>
        <v>38.5</v>
      </c>
      <c r="X808" s="472">
        <f t="shared" si="36"/>
        <v>60</v>
      </c>
      <c r="AT808" s="232"/>
      <c r="AV808" s="198"/>
      <c r="AW808" s="274"/>
    </row>
    <row r="809" spans="2:49" x14ac:dyDescent="0.25">
      <c r="B809" s="274">
        <v>21.2</v>
      </c>
      <c r="C809" s="274">
        <v>64</v>
      </c>
      <c r="D809" s="274">
        <v>21.2</v>
      </c>
      <c r="E809" s="274">
        <v>3.2</v>
      </c>
      <c r="F809" s="274">
        <v>3.6</v>
      </c>
      <c r="G809" s="274">
        <v>107</v>
      </c>
      <c r="H809" s="274">
        <v>1023.3</v>
      </c>
      <c r="I809" s="274">
        <v>95418</v>
      </c>
      <c r="J809" s="274">
        <v>0</v>
      </c>
      <c r="K809" s="274">
        <v>0</v>
      </c>
      <c r="L809" s="274">
        <v>0</v>
      </c>
      <c r="M809" s="274">
        <v>65.3</v>
      </c>
      <c r="N809" s="396">
        <v>599.79999999999995</v>
      </c>
      <c r="O809" s="396">
        <v>38.700000000000003</v>
      </c>
      <c r="P809" s="396">
        <v>37.700000000000003</v>
      </c>
      <c r="Q809" s="397">
        <v>0.55555555555555602</v>
      </c>
      <c r="R809" s="396"/>
      <c r="S809" s="410"/>
      <c r="T809" s="409"/>
      <c r="U809" s="398" t="str">
        <f t="shared" si="35"/>
        <v/>
      </c>
      <c r="V809" s="400"/>
      <c r="W809" s="410">
        <f t="shared" si="34"/>
        <v>38.700000000000003</v>
      </c>
      <c r="X809" s="472">
        <f t="shared" si="36"/>
        <v>60</v>
      </c>
      <c r="AT809" s="232"/>
      <c r="AV809" s="198"/>
      <c r="AW809" s="274"/>
    </row>
    <row r="810" spans="2:49" x14ac:dyDescent="0.25">
      <c r="B810" s="274">
        <v>21.3</v>
      </c>
      <c r="C810" s="274">
        <v>64</v>
      </c>
      <c r="D810" s="274">
        <v>21.3</v>
      </c>
      <c r="E810" s="274">
        <v>1.1000000000000001</v>
      </c>
      <c r="F810" s="274">
        <v>1.8</v>
      </c>
      <c r="G810" s="274">
        <v>108</v>
      </c>
      <c r="H810" s="274">
        <v>1023.3</v>
      </c>
      <c r="I810" s="274">
        <v>95573</v>
      </c>
      <c r="J810" s="274">
        <v>0</v>
      </c>
      <c r="K810" s="274">
        <v>0</v>
      </c>
      <c r="L810" s="274">
        <v>0</v>
      </c>
      <c r="M810" s="274">
        <v>65.3</v>
      </c>
      <c r="N810" s="396">
        <v>599.79999999999995</v>
      </c>
      <c r="O810" s="396">
        <v>38.799999999999997</v>
      </c>
      <c r="P810" s="396">
        <v>37.799999999999997</v>
      </c>
      <c r="Q810" s="397">
        <v>0.55625000000000002</v>
      </c>
      <c r="R810" s="396"/>
      <c r="S810" s="410"/>
      <c r="T810" s="409"/>
      <c r="U810" s="398" t="str">
        <f t="shared" si="35"/>
        <v/>
      </c>
      <c r="V810" s="400"/>
      <c r="W810" s="410">
        <f t="shared" si="34"/>
        <v>38.799999999999997</v>
      </c>
      <c r="X810" s="472">
        <f t="shared" si="36"/>
        <v>60</v>
      </c>
      <c r="AT810" s="232"/>
      <c r="AV810" s="198"/>
      <c r="AW810" s="274"/>
    </row>
    <row r="811" spans="2:49" x14ac:dyDescent="0.25">
      <c r="B811" s="274">
        <v>21.4</v>
      </c>
      <c r="C811" s="274">
        <v>64</v>
      </c>
      <c r="D811" s="274">
        <v>21.4</v>
      </c>
      <c r="E811" s="274">
        <v>5.8</v>
      </c>
      <c r="F811" s="274">
        <v>7.2</v>
      </c>
      <c r="G811" s="274">
        <v>113</v>
      </c>
      <c r="H811" s="274">
        <v>1023.2</v>
      </c>
      <c r="I811" s="274">
        <v>95743</v>
      </c>
      <c r="J811" s="274">
        <v>0</v>
      </c>
      <c r="K811" s="274">
        <v>0</v>
      </c>
      <c r="L811" s="274">
        <v>0</v>
      </c>
      <c r="M811" s="274">
        <v>65.3</v>
      </c>
      <c r="N811" s="396">
        <v>599.79999999999995</v>
      </c>
      <c r="O811" s="396">
        <v>39</v>
      </c>
      <c r="P811" s="396">
        <v>37.799999999999997</v>
      </c>
      <c r="Q811" s="397">
        <v>0.55694444444444402</v>
      </c>
      <c r="R811" s="396"/>
      <c r="S811" s="410"/>
      <c r="T811" s="409"/>
      <c r="U811" s="398" t="str">
        <f t="shared" si="35"/>
        <v/>
      </c>
      <c r="V811" s="400"/>
      <c r="W811" s="410">
        <f t="shared" si="34"/>
        <v>39</v>
      </c>
      <c r="X811" s="472">
        <f t="shared" si="36"/>
        <v>60</v>
      </c>
      <c r="AT811" s="232"/>
      <c r="AV811" s="198"/>
      <c r="AW811" s="274"/>
    </row>
    <row r="812" spans="2:49" x14ac:dyDescent="0.25">
      <c r="B812" s="274">
        <v>21.4</v>
      </c>
      <c r="C812" s="274">
        <v>64</v>
      </c>
      <c r="D812" s="274">
        <v>21.4</v>
      </c>
      <c r="E812" s="274">
        <v>7.6</v>
      </c>
      <c r="F812" s="274">
        <v>11.2</v>
      </c>
      <c r="G812" s="274">
        <v>163</v>
      </c>
      <c r="H812" s="274">
        <v>1023.3</v>
      </c>
      <c r="I812" s="274">
        <v>95960</v>
      </c>
      <c r="J812" s="274">
        <v>0</v>
      </c>
      <c r="K812" s="274">
        <v>0</v>
      </c>
      <c r="L812" s="274">
        <v>0</v>
      </c>
      <c r="M812" s="274">
        <v>65.3</v>
      </c>
      <c r="N812" s="396">
        <v>599.79999999999995</v>
      </c>
      <c r="O812" s="396">
        <v>39.200000000000003</v>
      </c>
      <c r="P812" s="396">
        <v>37.9</v>
      </c>
      <c r="Q812" s="397">
        <v>0.55763888888888902</v>
      </c>
      <c r="R812" s="396"/>
      <c r="S812" s="410"/>
      <c r="T812" s="409"/>
      <c r="U812" s="398" t="str">
        <f t="shared" si="35"/>
        <v/>
      </c>
      <c r="V812" s="400"/>
      <c r="W812" s="410">
        <f t="shared" si="34"/>
        <v>39.200000000000003</v>
      </c>
      <c r="X812" s="472">
        <f t="shared" si="36"/>
        <v>60</v>
      </c>
      <c r="AT812" s="232"/>
      <c r="AV812" s="198"/>
      <c r="AW812" s="274"/>
    </row>
    <row r="813" spans="2:49" x14ac:dyDescent="0.25">
      <c r="B813" s="274">
        <v>21.2</v>
      </c>
      <c r="C813" s="274">
        <v>65</v>
      </c>
      <c r="D813" s="274">
        <v>21.2</v>
      </c>
      <c r="E813" s="274">
        <v>4</v>
      </c>
      <c r="F813" s="274">
        <v>5.4</v>
      </c>
      <c r="G813" s="274">
        <v>104</v>
      </c>
      <c r="H813" s="274">
        <v>1023.5</v>
      </c>
      <c r="I813" s="274">
        <v>95898</v>
      </c>
      <c r="J813" s="274">
        <v>0</v>
      </c>
      <c r="K813" s="274">
        <v>0</v>
      </c>
      <c r="L813" s="274">
        <v>0</v>
      </c>
      <c r="M813" s="274">
        <v>65.3</v>
      </c>
      <c r="N813" s="396">
        <v>599.79999999999995</v>
      </c>
      <c r="O813" s="396">
        <v>39.200000000000003</v>
      </c>
      <c r="P813" s="396">
        <v>37.799999999999997</v>
      </c>
      <c r="Q813" s="397">
        <v>0.55833333333333302</v>
      </c>
      <c r="R813" s="396"/>
      <c r="S813" s="410"/>
      <c r="T813" s="409"/>
      <c r="U813" s="398" t="str">
        <f t="shared" si="35"/>
        <v/>
      </c>
      <c r="V813" s="400"/>
      <c r="W813" s="410">
        <f t="shared" si="34"/>
        <v>39.200000000000003</v>
      </c>
      <c r="X813" s="472">
        <f t="shared" si="36"/>
        <v>60</v>
      </c>
      <c r="AT813" s="232"/>
      <c r="AV813" s="198"/>
      <c r="AW813" s="274"/>
    </row>
    <row r="814" spans="2:49" x14ac:dyDescent="0.25">
      <c r="B814" s="274">
        <v>20.8</v>
      </c>
      <c r="C814" s="274">
        <v>64</v>
      </c>
      <c r="D814" s="274">
        <v>20.8</v>
      </c>
      <c r="E814" s="274">
        <v>6.8</v>
      </c>
      <c r="F814" s="274">
        <v>7.2</v>
      </c>
      <c r="G814" s="274">
        <v>86</v>
      </c>
      <c r="H814" s="274">
        <v>1023.3</v>
      </c>
      <c r="I814" s="274">
        <v>95185</v>
      </c>
      <c r="J814" s="274">
        <v>0</v>
      </c>
      <c r="K814" s="274">
        <v>0</v>
      </c>
      <c r="L814" s="274">
        <v>0</v>
      </c>
      <c r="M814" s="274">
        <v>65.3</v>
      </c>
      <c r="N814" s="396">
        <v>599.79999999999995</v>
      </c>
      <c r="O814" s="396">
        <v>39.200000000000003</v>
      </c>
      <c r="P814" s="396">
        <v>37.799999999999997</v>
      </c>
      <c r="Q814" s="397">
        <v>0.55902777777777801</v>
      </c>
      <c r="R814" s="396"/>
      <c r="S814" s="410"/>
      <c r="T814" s="409"/>
      <c r="U814" s="398" t="str">
        <f t="shared" si="35"/>
        <v/>
      </c>
      <c r="V814" s="400"/>
      <c r="W814" s="410">
        <f t="shared" si="34"/>
        <v>39.200000000000003</v>
      </c>
      <c r="X814" s="472">
        <f t="shared" si="36"/>
        <v>60</v>
      </c>
      <c r="AT814" s="232"/>
      <c r="AV814" s="198"/>
      <c r="AW814" s="274"/>
    </row>
    <row r="815" spans="2:49" x14ac:dyDescent="0.25">
      <c r="B815" s="274">
        <v>20.5</v>
      </c>
      <c r="C815" s="274">
        <v>66</v>
      </c>
      <c r="D815" s="274">
        <v>20.5</v>
      </c>
      <c r="E815" s="274">
        <v>0.7</v>
      </c>
      <c r="F815" s="274">
        <v>1.8</v>
      </c>
      <c r="G815" s="274">
        <v>116</v>
      </c>
      <c r="H815" s="274">
        <v>1023.3</v>
      </c>
      <c r="I815" s="274">
        <v>94534</v>
      </c>
      <c r="J815" s="274">
        <v>0</v>
      </c>
      <c r="K815" s="274">
        <v>0</v>
      </c>
      <c r="L815" s="274">
        <v>0</v>
      </c>
      <c r="M815" s="274">
        <v>65.3</v>
      </c>
      <c r="N815" s="396">
        <v>599.79999999999995</v>
      </c>
      <c r="O815" s="396">
        <v>39.1</v>
      </c>
      <c r="P815" s="396">
        <v>37.700000000000003</v>
      </c>
      <c r="Q815" s="397">
        <v>0.55972222222222201</v>
      </c>
      <c r="R815" s="396"/>
      <c r="S815" s="410"/>
      <c r="T815" s="409"/>
      <c r="U815" s="398" t="str">
        <f t="shared" si="35"/>
        <v/>
      </c>
      <c r="V815" s="400"/>
      <c r="W815" s="410">
        <f t="shared" si="34"/>
        <v>39.1</v>
      </c>
      <c r="X815" s="472">
        <f t="shared" si="36"/>
        <v>60</v>
      </c>
      <c r="AT815" s="232"/>
      <c r="AV815" s="198"/>
      <c r="AW815" s="274"/>
    </row>
    <row r="816" spans="2:49" x14ac:dyDescent="0.25">
      <c r="B816" s="274">
        <v>20.5</v>
      </c>
      <c r="C816" s="274">
        <v>65</v>
      </c>
      <c r="D816" s="274">
        <v>20.5</v>
      </c>
      <c r="E816" s="274">
        <v>0</v>
      </c>
      <c r="F816" s="274">
        <v>0</v>
      </c>
      <c r="G816" s="274">
        <v>91</v>
      </c>
      <c r="H816" s="274">
        <v>1023.2</v>
      </c>
      <c r="I816" s="274">
        <v>93759</v>
      </c>
      <c r="J816" s="274">
        <v>0</v>
      </c>
      <c r="K816" s="274">
        <v>0</v>
      </c>
      <c r="L816" s="274">
        <v>0</v>
      </c>
      <c r="M816" s="274">
        <v>65.3</v>
      </c>
      <c r="N816" s="396">
        <v>599.79999999999995</v>
      </c>
      <c r="O816" s="396">
        <v>39</v>
      </c>
      <c r="P816" s="396">
        <v>37.700000000000003</v>
      </c>
      <c r="Q816" s="397">
        <v>0.56041666666666701</v>
      </c>
      <c r="R816" s="396"/>
      <c r="S816" s="410"/>
      <c r="T816" s="409"/>
      <c r="U816" s="398" t="str">
        <f t="shared" si="35"/>
        <v/>
      </c>
      <c r="V816" s="400"/>
      <c r="W816" s="410">
        <f t="shared" si="34"/>
        <v>39</v>
      </c>
      <c r="X816" s="472">
        <f t="shared" si="36"/>
        <v>60</v>
      </c>
      <c r="AT816" s="232"/>
      <c r="AV816" s="198"/>
      <c r="AW816" s="274"/>
    </row>
    <row r="817" spans="2:49" x14ac:dyDescent="0.25">
      <c r="B817" s="274">
        <v>20.9</v>
      </c>
      <c r="C817" s="274">
        <v>65</v>
      </c>
      <c r="D817" s="274">
        <v>20.9</v>
      </c>
      <c r="E817" s="274">
        <v>3.6</v>
      </c>
      <c r="F817" s="274">
        <v>5.4</v>
      </c>
      <c r="G817" s="274">
        <v>122</v>
      </c>
      <c r="H817" s="274">
        <v>1023.3</v>
      </c>
      <c r="I817" s="274">
        <v>93651</v>
      </c>
      <c r="J817" s="274">
        <v>0</v>
      </c>
      <c r="K817" s="274">
        <v>0</v>
      </c>
      <c r="L817" s="274">
        <v>0</v>
      </c>
      <c r="M817" s="274">
        <v>65.3</v>
      </c>
      <c r="N817" s="396">
        <v>599.79999999999995</v>
      </c>
      <c r="O817" s="396">
        <v>39.1</v>
      </c>
      <c r="P817" s="396">
        <v>37.799999999999997</v>
      </c>
      <c r="Q817" s="397">
        <v>0.56111111111111101</v>
      </c>
      <c r="R817" s="396"/>
      <c r="S817" s="410"/>
      <c r="T817" s="409"/>
      <c r="U817" s="398" t="str">
        <f t="shared" si="35"/>
        <v/>
      </c>
      <c r="V817" s="400"/>
      <c r="W817" s="410">
        <f t="shared" si="34"/>
        <v>39.1</v>
      </c>
      <c r="X817" s="472">
        <f t="shared" si="36"/>
        <v>60</v>
      </c>
      <c r="AT817" s="232"/>
      <c r="AV817" s="198"/>
      <c r="AW817" s="274"/>
    </row>
    <row r="818" spans="2:49" x14ac:dyDescent="0.25">
      <c r="B818" s="274">
        <v>21.1</v>
      </c>
      <c r="C818" s="274">
        <v>64</v>
      </c>
      <c r="D818" s="274">
        <v>21.1</v>
      </c>
      <c r="E818" s="274">
        <v>3.2</v>
      </c>
      <c r="F818" s="274">
        <v>5.4</v>
      </c>
      <c r="G818" s="274">
        <v>136</v>
      </c>
      <c r="H818" s="274">
        <v>1023.3</v>
      </c>
      <c r="I818" s="274">
        <v>92116</v>
      </c>
      <c r="J818" s="274">
        <v>0</v>
      </c>
      <c r="K818" s="274">
        <v>0</v>
      </c>
      <c r="L818" s="274">
        <v>0</v>
      </c>
      <c r="M818" s="274">
        <v>65.3</v>
      </c>
      <c r="N818" s="396">
        <v>599.79999999999995</v>
      </c>
      <c r="O818" s="396">
        <v>39.200000000000003</v>
      </c>
      <c r="P818" s="396">
        <v>37.799999999999997</v>
      </c>
      <c r="Q818" s="397">
        <v>0.561805555555556</v>
      </c>
      <c r="R818" s="396"/>
      <c r="S818" s="410"/>
      <c r="T818" s="409"/>
      <c r="U818" s="398" t="str">
        <f t="shared" si="35"/>
        <v/>
      </c>
      <c r="V818" s="400"/>
      <c r="W818" s="410">
        <f t="shared" ref="W818:W881" si="37">MAX(O818:P818)</f>
        <v>39.200000000000003</v>
      </c>
      <c r="X818" s="472">
        <f t="shared" si="36"/>
        <v>60</v>
      </c>
      <c r="AT818" s="232"/>
      <c r="AV818" s="198"/>
      <c r="AW818" s="274"/>
    </row>
    <row r="819" spans="2:49" x14ac:dyDescent="0.25">
      <c r="B819" s="274">
        <v>21.1</v>
      </c>
      <c r="C819" s="274">
        <v>62</v>
      </c>
      <c r="D819" s="274">
        <v>21.1</v>
      </c>
      <c r="E819" s="274">
        <v>5.8</v>
      </c>
      <c r="F819" s="274">
        <v>9.4</v>
      </c>
      <c r="G819" s="274">
        <v>107</v>
      </c>
      <c r="H819" s="274">
        <v>1023.4</v>
      </c>
      <c r="I819" s="274">
        <v>91171</v>
      </c>
      <c r="J819" s="274">
        <v>0</v>
      </c>
      <c r="K819" s="274">
        <v>0</v>
      </c>
      <c r="L819" s="274">
        <v>0</v>
      </c>
      <c r="M819" s="274">
        <v>65.3</v>
      </c>
      <c r="N819" s="396">
        <v>599.79999999999995</v>
      </c>
      <c r="O819" s="396">
        <v>39.299999999999997</v>
      </c>
      <c r="P819" s="396">
        <v>37.799999999999997</v>
      </c>
      <c r="Q819" s="397">
        <v>0.5625</v>
      </c>
      <c r="R819" s="396"/>
      <c r="S819" s="410"/>
      <c r="T819" s="409"/>
      <c r="U819" s="398" t="str">
        <f t="shared" si="35"/>
        <v/>
      </c>
      <c r="V819" s="400"/>
      <c r="W819" s="410">
        <f t="shared" si="37"/>
        <v>39.299999999999997</v>
      </c>
      <c r="X819" s="472">
        <f t="shared" si="36"/>
        <v>60</v>
      </c>
      <c r="AT819" s="232"/>
      <c r="AV819" s="198"/>
      <c r="AW819" s="274"/>
    </row>
    <row r="820" spans="2:49" x14ac:dyDescent="0.25">
      <c r="B820" s="274">
        <v>21</v>
      </c>
      <c r="C820" s="274">
        <v>64</v>
      </c>
      <c r="D820" s="274">
        <v>21</v>
      </c>
      <c r="E820" s="274">
        <v>5.8</v>
      </c>
      <c r="F820" s="274">
        <v>7.2</v>
      </c>
      <c r="G820" s="274">
        <v>124</v>
      </c>
      <c r="H820" s="274">
        <v>1023.4</v>
      </c>
      <c r="I820" s="274">
        <v>90458</v>
      </c>
      <c r="J820" s="274">
        <v>0</v>
      </c>
      <c r="K820" s="274">
        <v>0</v>
      </c>
      <c r="L820" s="274">
        <v>0</v>
      </c>
      <c r="M820" s="274">
        <v>65.3</v>
      </c>
      <c r="N820" s="396">
        <v>599.79999999999995</v>
      </c>
      <c r="O820" s="396">
        <v>39.299999999999997</v>
      </c>
      <c r="P820" s="396">
        <v>37.9</v>
      </c>
      <c r="Q820" s="397">
        <v>0.563194444444444</v>
      </c>
      <c r="R820" s="396"/>
      <c r="S820" s="410"/>
      <c r="T820" s="409"/>
      <c r="U820" s="398" t="str">
        <f t="shared" si="35"/>
        <v/>
      </c>
      <c r="V820" s="400"/>
      <c r="W820" s="410">
        <f t="shared" si="37"/>
        <v>39.299999999999997</v>
      </c>
      <c r="X820" s="472">
        <f t="shared" si="36"/>
        <v>60</v>
      </c>
      <c r="AT820" s="232"/>
      <c r="AV820" s="198"/>
      <c r="AW820" s="274"/>
    </row>
    <row r="821" spans="2:49" x14ac:dyDescent="0.25">
      <c r="B821" s="274">
        <v>20.8</v>
      </c>
      <c r="C821" s="274">
        <v>65</v>
      </c>
      <c r="D821" s="274">
        <v>20.8</v>
      </c>
      <c r="E821" s="274">
        <v>5.4</v>
      </c>
      <c r="F821" s="274">
        <v>7.2</v>
      </c>
      <c r="G821" s="274">
        <v>110</v>
      </c>
      <c r="H821" s="274">
        <v>1023.4</v>
      </c>
      <c r="I821" s="274">
        <v>89745</v>
      </c>
      <c r="J821" s="274">
        <v>0</v>
      </c>
      <c r="K821" s="274">
        <v>0</v>
      </c>
      <c r="L821" s="274">
        <v>0</v>
      </c>
      <c r="M821" s="274">
        <v>65.3</v>
      </c>
      <c r="N821" s="396">
        <v>599.79999999999995</v>
      </c>
      <c r="O821" s="396">
        <v>39.299999999999997</v>
      </c>
      <c r="P821" s="396">
        <v>37.9</v>
      </c>
      <c r="Q821" s="397">
        <v>0.56388888888888899</v>
      </c>
      <c r="R821" s="396"/>
      <c r="S821" s="410"/>
      <c r="T821" s="409"/>
      <c r="U821" s="398" t="str">
        <f t="shared" si="35"/>
        <v/>
      </c>
      <c r="V821" s="400"/>
      <c r="W821" s="410">
        <f t="shared" si="37"/>
        <v>39.299999999999997</v>
      </c>
      <c r="X821" s="472">
        <f t="shared" si="36"/>
        <v>60</v>
      </c>
      <c r="AT821" s="232"/>
      <c r="AV821" s="198"/>
      <c r="AW821" s="274"/>
    </row>
    <row r="822" spans="2:49" x14ac:dyDescent="0.25">
      <c r="B822" s="274">
        <v>20.7</v>
      </c>
      <c r="C822" s="274">
        <v>66</v>
      </c>
      <c r="D822" s="274">
        <v>20.7</v>
      </c>
      <c r="E822" s="274">
        <v>3.6</v>
      </c>
      <c r="F822" s="274">
        <v>5.4</v>
      </c>
      <c r="G822" s="274">
        <v>115</v>
      </c>
      <c r="H822" s="274">
        <v>1023.3</v>
      </c>
      <c r="I822" s="274">
        <v>90411</v>
      </c>
      <c r="J822" s="274">
        <v>0</v>
      </c>
      <c r="K822" s="274">
        <v>0</v>
      </c>
      <c r="L822" s="274">
        <v>0</v>
      </c>
      <c r="M822" s="274">
        <v>65.3</v>
      </c>
      <c r="N822" s="396">
        <v>599.79999999999995</v>
      </c>
      <c r="O822" s="396">
        <v>39.299999999999997</v>
      </c>
      <c r="P822" s="396">
        <v>37.9</v>
      </c>
      <c r="Q822" s="397">
        <v>0.56458333333333299</v>
      </c>
      <c r="R822" s="396"/>
      <c r="S822" s="410"/>
      <c r="T822" s="409"/>
      <c r="U822" s="398" t="str">
        <f t="shared" si="35"/>
        <v/>
      </c>
      <c r="V822" s="400"/>
      <c r="W822" s="410">
        <f t="shared" si="37"/>
        <v>39.299999999999997</v>
      </c>
      <c r="X822" s="472">
        <f t="shared" si="36"/>
        <v>60</v>
      </c>
      <c r="AT822" s="232"/>
      <c r="AV822" s="198"/>
      <c r="AW822" s="274"/>
    </row>
    <row r="823" spans="2:49" x14ac:dyDescent="0.25">
      <c r="B823" s="274">
        <v>20.7</v>
      </c>
      <c r="C823" s="274">
        <v>66</v>
      </c>
      <c r="D823" s="274">
        <v>20.7</v>
      </c>
      <c r="E823" s="274">
        <v>2.2000000000000002</v>
      </c>
      <c r="F823" s="274">
        <v>3.6</v>
      </c>
      <c r="G823" s="274">
        <v>147</v>
      </c>
      <c r="H823" s="274">
        <v>1023.4</v>
      </c>
      <c r="I823" s="274">
        <v>90566</v>
      </c>
      <c r="J823" s="274">
        <v>0</v>
      </c>
      <c r="K823" s="274">
        <v>0</v>
      </c>
      <c r="L823" s="274">
        <v>0</v>
      </c>
      <c r="M823" s="274">
        <v>65.3</v>
      </c>
      <c r="N823" s="396">
        <v>599.79999999999995</v>
      </c>
      <c r="O823" s="396">
        <v>39.200000000000003</v>
      </c>
      <c r="P823" s="396">
        <v>37.9</v>
      </c>
      <c r="Q823" s="397">
        <v>0.56527777777777799</v>
      </c>
      <c r="R823" s="396"/>
      <c r="S823" s="410"/>
      <c r="T823" s="409"/>
      <c r="U823" s="398" t="str">
        <f t="shared" si="35"/>
        <v/>
      </c>
      <c r="V823" s="400"/>
      <c r="W823" s="410">
        <f t="shared" si="37"/>
        <v>39.200000000000003</v>
      </c>
      <c r="X823" s="472">
        <f t="shared" si="36"/>
        <v>60</v>
      </c>
      <c r="AT823" s="232"/>
      <c r="AV823" s="198"/>
      <c r="AW823" s="274"/>
    </row>
    <row r="824" spans="2:49" x14ac:dyDescent="0.25">
      <c r="B824" s="274">
        <v>20.7</v>
      </c>
      <c r="C824" s="274">
        <v>66</v>
      </c>
      <c r="D824" s="274">
        <v>20.7</v>
      </c>
      <c r="E824" s="274">
        <v>2.9</v>
      </c>
      <c r="F824" s="274">
        <v>5.4</v>
      </c>
      <c r="G824" s="274">
        <v>99</v>
      </c>
      <c r="H824" s="274">
        <v>1023.3</v>
      </c>
      <c r="I824" s="274">
        <v>90799</v>
      </c>
      <c r="J824" s="274">
        <v>0</v>
      </c>
      <c r="K824" s="274">
        <v>0</v>
      </c>
      <c r="L824" s="274">
        <v>0</v>
      </c>
      <c r="M824" s="274">
        <v>65.3</v>
      </c>
      <c r="N824" s="396">
        <v>599.79999999999995</v>
      </c>
      <c r="O824" s="396">
        <v>39.1</v>
      </c>
      <c r="P824" s="396">
        <v>38</v>
      </c>
      <c r="Q824" s="397">
        <v>0.56597222222222199</v>
      </c>
      <c r="R824" s="396"/>
      <c r="S824" s="410"/>
      <c r="T824" s="409"/>
      <c r="U824" s="398" t="str">
        <f t="shared" si="35"/>
        <v/>
      </c>
      <c r="V824" s="400"/>
      <c r="W824" s="410">
        <f t="shared" si="37"/>
        <v>39.1</v>
      </c>
      <c r="X824" s="472">
        <f t="shared" si="36"/>
        <v>60</v>
      </c>
      <c r="AT824" s="232"/>
      <c r="AV824" s="198"/>
      <c r="AW824" s="274"/>
    </row>
    <row r="825" spans="2:49" x14ac:dyDescent="0.25">
      <c r="B825" s="274">
        <v>20.9</v>
      </c>
      <c r="C825" s="274">
        <v>65</v>
      </c>
      <c r="D825" s="274">
        <v>20.9</v>
      </c>
      <c r="E825" s="274">
        <v>6.1</v>
      </c>
      <c r="F825" s="274">
        <v>7.2</v>
      </c>
      <c r="G825" s="274">
        <v>122</v>
      </c>
      <c r="H825" s="274">
        <v>1023.3</v>
      </c>
      <c r="I825" s="274">
        <v>90737</v>
      </c>
      <c r="J825" s="274">
        <v>0</v>
      </c>
      <c r="K825" s="274">
        <v>0</v>
      </c>
      <c r="L825" s="274">
        <v>0</v>
      </c>
      <c r="M825" s="274">
        <v>65.3</v>
      </c>
      <c r="N825" s="396">
        <v>599.79999999999995</v>
      </c>
      <c r="O825" s="396">
        <v>39.1</v>
      </c>
      <c r="P825" s="396">
        <v>38</v>
      </c>
      <c r="Q825" s="397">
        <v>0.56666666666666698</v>
      </c>
      <c r="R825" s="396"/>
      <c r="S825" s="410"/>
      <c r="T825" s="409"/>
      <c r="U825" s="398" t="str">
        <f t="shared" si="35"/>
        <v/>
      </c>
      <c r="V825" s="400"/>
      <c r="W825" s="410">
        <f t="shared" si="37"/>
        <v>39.1</v>
      </c>
      <c r="X825" s="472">
        <f t="shared" si="36"/>
        <v>60</v>
      </c>
      <c r="AT825" s="232"/>
      <c r="AV825" s="198"/>
      <c r="AW825" s="274"/>
    </row>
    <row r="826" spans="2:49" x14ac:dyDescent="0.25">
      <c r="B826" s="274">
        <v>20.9</v>
      </c>
      <c r="C826" s="274">
        <v>66</v>
      </c>
      <c r="D826" s="274">
        <v>20.9</v>
      </c>
      <c r="E826" s="274">
        <v>2.9</v>
      </c>
      <c r="F826" s="274">
        <v>5.4</v>
      </c>
      <c r="G826" s="274">
        <v>115</v>
      </c>
      <c r="H826" s="274">
        <v>1023.3</v>
      </c>
      <c r="I826" s="274">
        <v>91062</v>
      </c>
      <c r="J826" s="274">
        <v>0</v>
      </c>
      <c r="K826" s="274">
        <v>0</v>
      </c>
      <c r="L826" s="274">
        <v>0</v>
      </c>
      <c r="M826" s="274">
        <v>65.3</v>
      </c>
      <c r="N826" s="396">
        <v>599.79999999999995</v>
      </c>
      <c r="O826" s="396">
        <v>39.1</v>
      </c>
      <c r="P826" s="396">
        <v>37.9</v>
      </c>
      <c r="Q826" s="397">
        <v>0.56736111111111098</v>
      </c>
      <c r="R826" s="396"/>
      <c r="S826" s="410"/>
      <c r="T826" s="409"/>
      <c r="U826" s="398" t="str">
        <f t="shared" si="35"/>
        <v/>
      </c>
      <c r="V826" s="400"/>
      <c r="W826" s="410">
        <f t="shared" si="37"/>
        <v>39.1</v>
      </c>
      <c r="X826" s="472">
        <f t="shared" si="36"/>
        <v>60</v>
      </c>
      <c r="AT826" s="232"/>
      <c r="AV826" s="198"/>
      <c r="AW826" s="274"/>
    </row>
    <row r="827" spans="2:49" x14ac:dyDescent="0.25">
      <c r="B827" s="274">
        <v>21</v>
      </c>
      <c r="C827" s="274">
        <v>66</v>
      </c>
      <c r="D827" s="274">
        <v>21</v>
      </c>
      <c r="E827" s="274">
        <v>4</v>
      </c>
      <c r="F827" s="274">
        <v>5.4</v>
      </c>
      <c r="G827" s="274">
        <v>170</v>
      </c>
      <c r="H827" s="274">
        <v>1023.2</v>
      </c>
      <c r="I827" s="274">
        <v>90954</v>
      </c>
      <c r="J827" s="274">
        <v>0</v>
      </c>
      <c r="K827" s="274">
        <v>0</v>
      </c>
      <c r="L827" s="274">
        <v>0</v>
      </c>
      <c r="M827" s="274">
        <v>65.3</v>
      </c>
      <c r="N827" s="396">
        <v>599.79999999999995</v>
      </c>
      <c r="O827" s="396">
        <v>39.1</v>
      </c>
      <c r="P827" s="396">
        <v>37.9</v>
      </c>
      <c r="Q827" s="397">
        <v>0.56805555555555598</v>
      </c>
      <c r="R827" s="396"/>
      <c r="S827" s="410"/>
      <c r="T827" s="409"/>
      <c r="U827" s="398" t="str">
        <f t="shared" si="35"/>
        <v/>
      </c>
      <c r="V827" s="400"/>
      <c r="W827" s="410">
        <f t="shared" si="37"/>
        <v>39.1</v>
      </c>
      <c r="X827" s="472">
        <f t="shared" si="36"/>
        <v>60</v>
      </c>
      <c r="AT827" s="232"/>
      <c r="AV827" s="198"/>
      <c r="AW827" s="274"/>
    </row>
    <row r="828" spans="2:49" x14ac:dyDescent="0.25">
      <c r="B828" s="274">
        <v>21</v>
      </c>
      <c r="C828" s="274">
        <v>65</v>
      </c>
      <c r="D828" s="274">
        <v>21</v>
      </c>
      <c r="E828" s="274">
        <v>1.1000000000000001</v>
      </c>
      <c r="F828" s="274">
        <v>1.8</v>
      </c>
      <c r="G828" s="274">
        <v>103</v>
      </c>
      <c r="H828" s="274">
        <v>1023.4</v>
      </c>
      <c r="I828" s="274">
        <v>91295</v>
      </c>
      <c r="J828" s="274">
        <v>0</v>
      </c>
      <c r="K828" s="274">
        <v>0</v>
      </c>
      <c r="L828" s="274">
        <v>0</v>
      </c>
      <c r="M828" s="274">
        <v>65.3</v>
      </c>
      <c r="N828" s="396">
        <v>599.79999999999995</v>
      </c>
      <c r="O828" s="396">
        <v>39</v>
      </c>
      <c r="P828" s="396">
        <v>37.9</v>
      </c>
      <c r="Q828" s="397">
        <v>0.56874999999999998</v>
      </c>
      <c r="R828" s="396"/>
      <c r="S828" s="410"/>
      <c r="T828" s="409"/>
      <c r="U828" s="398" t="str">
        <f t="shared" si="35"/>
        <v/>
      </c>
      <c r="V828" s="400"/>
      <c r="W828" s="410">
        <f t="shared" si="37"/>
        <v>39</v>
      </c>
      <c r="X828" s="472">
        <f t="shared" si="36"/>
        <v>60</v>
      </c>
      <c r="AT828" s="232"/>
      <c r="AV828" s="198"/>
      <c r="AW828" s="274"/>
    </row>
    <row r="829" spans="2:49" x14ac:dyDescent="0.25">
      <c r="B829" s="274">
        <v>21.2</v>
      </c>
      <c r="C829" s="274">
        <v>65</v>
      </c>
      <c r="D829" s="274">
        <v>21.2</v>
      </c>
      <c r="E829" s="274">
        <v>1.4</v>
      </c>
      <c r="F829" s="274">
        <v>1.8</v>
      </c>
      <c r="G829" s="274">
        <v>159</v>
      </c>
      <c r="H829" s="274">
        <v>1023.3</v>
      </c>
      <c r="I829" s="274">
        <v>91062</v>
      </c>
      <c r="J829" s="274">
        <v>0</v>
      </c>
      <c r="K829" s="274">
        <v>0</v>
      </c>
      <c r="L829" s="274">
        <v>0</v>
      </c>
      <c r="M829" s="274">
        <v>65.3</v>
      </c>
      <c r="N829" s="396">
        <v>599.79999999999995</v>
      </c>
      <c r="O829" s="396">
        <v>39.1</v>
      </c>
      <c r="P829" s="396">
        <v>37.799999999999997</v>
      </c>
      <c r="Q829" s="397">
        <v>0.56944444444444398</v>
      </c>
      <c r="R829" s="396"/>
      <c r="S829" s="410"/>
      <c r="T829" s="409"/>
      <c r="U829" s="398" t="str">
        <f t="shared" si="35"/>
        <v/>
      </c>
      <c r="V829" s="400"/>
      <c r="W829" s="410">
        <f t="shared" si="37"/>
        <v>39.1</v>
      </c>
      <c r="X829" s="472">
        <f t="shared" si="36"/>
        <v>60</v>
      </c>
      <c r="AT829" s="232"/>
      <c r="AV829" s="198"/>
      <c r="AW829" s="274"/>
    </row>
    <row r="830" spans="2:49" x14ac:dyDescent="0.25">
      <c r="B830" s="274">
        <v>21.3</v>
      </c>
      <c r="C830" s="274">
        <v>64</v>
      </c>
      <c r="D830" s="274">
        <v>21.3</v>
      </c>
      <c r="E830" s="274">
        <v>1.8</v>
      </c>
      <c r="F830" s="274">
        <v>3.6</v>
      </c>
      <c r="G830" s="274">
        <v>94</v>
      </c>
      <c r="H830" s="274">
        <v>1023.4</v>
      </c>
      <c r="I830" s="274">
        <v>91403</v>
      </c>
      <c r="J830" s="274">
        <v>0</v>
      </c>
      <c r="K830" s="274">
        <v>0</v>
      </c>
      <c r="L830" s="274">
        <v>0</v>
      </c>
      <c r="M830" s="274">
        <v>65.3</v>
      </c>
      <c r="N830" s="396">
        <v>599.79999999999995</v>
      </c>
      <c r="O830" s="396">
        <v>39.1</v>
      </c>
      <c r="P830" s="396">
        <v>37.799999999999997</v>
      </c>
      <c r="Q830" s="397">
        <v>0.57013888888888897</v>
      </c>
      <c r="R830" s="396"/>
      <c r="S830" s="410"/>
      <c r="T830" s="409"/>
      <c r="U830" s="398" t="str">
        <f t="shared" si="35"/>
        <v/>
      </c>
      <c r="V830" s="400"/>
      <c r="W830" s="410">
        <f t="shared" si="37"/>
        <v>39.1</v>
      </c>
      <c r="X830" s="472">
        <f t="shared" si="36"/>
        <v>60</v>
      </c>
      <c r="AT830" s="232"/>
      <c r="AV830" s="198"/>
      <c r="AW830" s="274"/>
    </row>
    <row r="831" spans="2:49" x14ac:dyDescent="0.25">
      <c r="B831" s="274">
        <v>21.3</v>
      </c>
      <c r="C831" s="274">
        <v>64</v>
      </c>
      <c r="D831" s="274">
        <v>21.3</v>
      </c>
      <c r="E831" s="274">
        <v>5</v>
      </c>
      <c r="F831" s="274">
        <v>7.2</v>
      </c>
      <c r="G831" s="274">
        <v>82</v>
      </c>
      <c r="H831" s="274">
        <v>1023.2</v>
      </c>
      <c r="I831" s="274">
        <v>91512</v>
      </c>
      <c r="J831" s="274">
        <v>0</v>
      </c>
      <c r="K831" s="274">
        <v>0</v>
      </c>
      <c r="L831" s="274">
        <v>0</v>
      </c>
      <c r="M831" s="274">
        <v>65.3</v>
      </c>
      <c r="N831" s="396">
        <v>599.79999999999995</v>
      </c>
      <c r="O831" s="396">
        <v>39.200000000000003</v>
      </c>
      <c r="P831" s="396">
        <v>37.700000000000003</v>
      </c>
      <c r="Q831" s="397">
        <v>0.57083333333333297</v>
      </c>
      <c r="R831" s="396"/>
      <c r="S831" s="410"/>
      <c r="T831" s="409"/>
      <c r="U831" s="398" t="str">
        <f t="shared" si="35"/>
        <v/>
      </c>
      <c r="V831" s="400"/>
      <c r="W831" s="410">
        <f t="shared" si="37"/>
        <v>39.200000000000003</v>
      </c>
      <c r="X831" s="472">
        <f t="shared" si="36"/>
        <v>60</v>
      </c>
      <c r="AT831" s="232"/>
      <c r="AV831" s="198"/>
      <c r="AW831" s="274"/>
    </row>
    <row r="832" spans="2:49" x14ac:dyDescent="0.25">
      <c r="B832" s="274">
        <v>21.3</v>
      </c>
      <c r="C832" s="274">
        <v>65</v>
      </c>
      <c r="D832" s="274">
        <v>21.3</v>
      </c>
      <c r="E832" s="274">
        <v>7.9</v>
      </c>
      <c r="F832" s="274">
        <v>9.4</v>
      </c>
      <c r="G832" s="274">
        <v>120</v>
      </c>
      <c r="H832" s="274">
        <v>1023.3</v>
      </c>
      <c r="I832" s="274">
        <v>91667</v>
      </c>
      <c r="J832" s="274">
        <v>0</v>
      </c>
      <c r="K832" s="274">
        <v>0</v>
      </c>
      <c r="L832" s="274">
        <v>0</v>
      </c>
      <c r="M832" s="274">
        <v>65.3</v>
      </c>
      <c r="N832" s="396">
        <v>599.79999999999995</v>
      </c>
      <c r="O832" s="396">
        <v>39.299999999999997</v>
      </c>
      <c r="P832" s="396">
        <v>37.799999999999997</v>
      </c>
      <c r="Q832" s="397">
        <v>0.57152777777777797</v>
      </c>
      <c r="R832" s="396"/>
      <c r="S832" s="410"/>
      <c r="T832" s="409"/>
      <c r="U832" s="398" t="str">
        <f t="shared" si="35"/>
        <v/>
      </c>
      <c r="V832" s="400"/>
      <c r="W832" s="410">
        <f t="shared" si="37"/>
        <v>39.299999999999997</v>
      </c>
      <c r="X832" s="472">
        <f t="shared" si="36"/>
        <v>60</v>
      </c>
      <c r="AT832" s="232"/>
      <c r="AV832" s="198"/>
      <c r="AW832" s="274"/>
    </row>
    <row r="833" spans="2:49" x14ac:dyDescent="0.25">
      <c r="B833" s="274">
        <v>20.9</v>
      </c>
      <c r="C833" s="274">
        <v>64</v>
      </c>
      <c r="D833" s="274">
        <v>20.9</v>
      </c>
      <c r="E833" s="274">
        <v>4.7</v>
      </c>
      <c r="F833" s="274">
        <v>5.4</v>
      </c>
      <c r="G833" s="274">
        <v>92</v>
      </c>
      <c r="H833" s="274">
        <v>1023.3</v>
      </c>
      <c r="I833" s="274">
        <v>90628</v>
      </c>
      <c r="J833" s="274">
        <v>0</v>
      </c>
      <c r="K833" s="274">
        <v>0</v>
      </c>
      <c r="L833" s="274">
        <v>0</v>
      </c>
      <c r="M833" s="274">
        <v>65.3</v>
      </c>
      <c r="N833" s="396">
        <v>599.79999999999995</v>
      </c>
      <c r="O833" s="396">
        <v>39.299999999999997</v>
      </c>
      <c r="P833" s="396">
        <v>37.799999999999997</v>
      </c>
      <c r="Q833" s="397">
        <v>0.57222222222222197</v>
      </c>
      <c r="R833" s="396"/>
      <c r="S833" s="410"/>
      <c r="T833" s="409"/>
      <c r="U833" s="398" t="str">
        <f t="shared" si="35"/>
        <v/>
      </c>
      <c r="V833" s="400"/>
      <c r="W833" s="410">
        <f t="shared" si="37"/>
        <v>39.299999999999997</v>
      </c>
      <c r="X833" s="472">
        <f t="shared" si="36"/>
        <v>60</v>
      </c>
      <c r="AT833" s="232"/>
      <c r="AV833" s="198"/>
      <c r="AW833" s="274"/>
    </row>
    <row r="834" spans="2:49" x14ac:dyDescent="0.25">
      <c r="B834" s="274">
        <v>20.8</v>
      </c>
      <c r="C834" s="274">
        <v>67</v>
      </c>
      <c r="D834" s="274">
        <v>20.8</v>
      </c>
      <c r="E834" s="274">
        <v>0.7</v>
      </c>
      <c r="F834" s="274">
        <v>1.8</v>
      </c>
      <c r="G834" s="274">
        <v>95</v>
      </c>
      <c r="H834" s="274">
        <v>1023.3</v>
      </c>
      <c r="I834" s="274">
        <v>90241</v>
      </c>
      <c r="J834" s="274">
        <v>0</v>
      </c>
      <c r="K834" s="274">
        <v>0</v>
      </c>
      <c r="L834" s="274">
        <v>0</v>
      </c>
      <c r="M834" s="274">
        <v>65.3</v>
      </c>
      <c r="N834" s="396">
        <v>599.79999999999995</v>
      </c>
      <c r="O834" s="396">
        <v>39.299999999999997</v>
      </c>
      <c r="P834" s="396">
        <v>38</v>
      </c>
      <c r="Q834" s="397">
        <v>0.57291666666666696</v>
      </c>
      <c r="R834" s="396"/>
      <c r="S834" s="410"/>
      <c r="T834" s="409"/>
      <c r="U834" s="398" t="str">
        <f t="shared" si="35"/>
        <v/>
      </c>
      <c r="V834" s="400"/>
      <c r="W834" s="410">
        <f t="shared" si="37"/>
        <v>39.299999999999997</v>
      </c>
      <c r="X834" s="472">
        <f t="shared" si="36"/>
        <v>60</v>
      </c>
      <c r="AT834" s="232"/>
      <c r="AV834" s="198"/>
      <c r="AW834" s="274"/>
    </row>
    <row r="835" spans="2:49" x14ac:dyDescent="0.25">
      <c r="B835" s="274">
        <v>20.9</v>
      </c>
      <c r="C835" s="274">
        <v>65</v>
      </c>
      <c r="D835" s="274">
        <v>20.9</v>
      </c>
      <c r="E835" s="274">
        <v>1.1000000000000001</v>
      </c>
      <c r="F835" s="274">
        <v>1.8</v>
      </c>
      <c r="G835" s="274">
        <v>115</v>
      </c>
      <c r="H835" s="274">
        <v>1023.4</v>
      </c>
      <c r="I835" s="274">
        <v>89807</v>
      </c>
      <c r="J835" s="274">
        <v>0</v>
      </c>
      <c r="K835" s="274">
        <v>0</v>
      </c>
      <c r="L835" s="274">
        <v>0</v>
      </c>
      <c r="M835" s="274">
        <v>65.3</v>
      </c>
      <c r="N835" s="396">
        <v>599.79999999999995</v>
      </c>
      <c r="O835" s="396">
        <v>39.200000000000003</v>
      </c>
      <c r="P835" s="396">
        <v>38.1</v>
      </c>
      <c r="Q835" s="397">
        <v>0.57361111111111096</v>
      </c>
      <c r="R835" s="396"/>
      <c r="S835" s="410"/>
      <c r="T835" s="409"/>
      <c r="U835" s="398" t="str">
        <f t="shared" si="35"/>
        <v/>
      </c>
      <c r="V835" s="400"/>
      <c r="W835" s="410">
        <f t="shared" si="37"/>
        <v>39.200000000000003</v>
      </c>
      <c r="X835" s="472">
        <f t="shared" si="36"/>
        <v>60</v>
      </c>
      <c r="AT835" s="232"/>
      <c r="AV835" s="198"/>
      <c r="AW835" s="274"/>
    </row>
    <row r="836" spans="2:49" x14ac:dyDescent="0.25">
      <c r="B836" s="274">
        <v>21.2</v>
      </c>
      <c r="C836" s="274">
        <v>65</v>
      </c>
      <c r="D836" s="274">
        <v>21.2</v>
      </c>
      <c r="E836" s="274">
        <v>1.1000000000000001</v>
      </c>
      <c r="F836" s="274">
        <v>1.8</v>
      </c>
      <c r="G836" s="274">
        <v>90</v>
      </c>
      <c r="H836" s="274">
        <v>1023.2</v>
      </c>
      <c r="I836" s="274">
        <v>89528</v>
      </c>
      <c r="J836" s="274">
        <v>0</v>
      </c>
      <c r="K836" s="274">
        <v>0</v>
      </c>
      <c r="L836" s="274">
        <v>0</v>
      </c>
      <c r="M836" s="274">
        <v>65.3</v>
      </c>
      <c r="N836" s="396">
        <v>599.79999999999995</v>
      </c>
      <c r="O836" s="396">
        <v>39.200000000000003</v>
      </c>
      <c r="P836" s="396">
        <v>38.200000000000003</v>
      </c>
      <c r="Q836" s="397">
        <v>0.57430555555555596</v>
      </c>
      <c r="R836" s="396"/>
      <c r="S836" s="410"/>
      <c r="T836" s="409"/>
      <c r="U836" s="398" t="str">
        <f t="shared" si="35"/>
        <v/>
      </c>
      <c r="V836" s="400"/>
      <c r="W836" s="410">
        <f t="shared" si="37"/>
        <v>39.200000000000003</v>
      </c>
      <c r="X836" s="472">
        <f t="shared" si="36"/>
        <v>60</v>
      </c>
      <c r="AT836" s="232"/>
      <c r="AV836" s="198"/>
      <c r="AW836" s="274"/>
    </row>
    <row r="837" spans="2:49" x14ac:dyDescent="0.25">
      <c r="B837" s="274">
        <v>21.5</v>
      </c>
      <c r="C837" s="274">
        <v>64</v>
      </c>
      <c r="D837" s="274">
        <v>21.5</v>
      </c>
      <c r="E837" s="274">
        <v>2.9</v>
      </c>
      <c r="F837" s="274">
        <v>5.4</v>
      </c>
      <c r="G837" s="274">
        <v>182</v>
      </c>
      <c r="H837" s="274">
        <v>1023.3</v>
      </c>
      <c r="I837" s="274">
        <v>89140</v>
      </c>
      <c r="J837" s="274">
        <v>0</v>
      </c>
      <c r="K837" s="274">
        <v>0</v>
      </c>
      <c r="L837" s="274">
        <v>0</v>
      </c>
      <c r="M837" s="274">
        <v>65.3</v>
      </c>
      <c r="N837" s="396">
        <v>599.79999999999995</v>
      </c>
      <c r="O837" s="396">
        <v>39.299999999999997</v>
      </c>
      <c r="P837" s="396">
        <v>38.299999999999997</v>
      </c>
      <c r="Q837" s="397">
        <v>0.57499999999999996</v>
      </c>
      <c r="R837" s="396"/>
      <c r="S837" s="410"/>
      <c r="T837" s="409"/>
      <c r="U837" s="398" t="str">
        <f t="shared" si="35"/>
        <v/>
      </c>
      <c r="V837" s="400"/>
      <c r="W837" s="410">
        <f t="shared" si="37"/>
        <v>39.299999999999997</v>
      </c>
      <c r="X837" s="472">
        <f t="shared" si="36"/>
        <v>60</v>
      </c>
      <c r="AT837" s="232"/>
      <c r="AV837" s="198"/>
      <c r="AW837" s="274"/>
    </row>
    <row r="838" spans="2:49" x14ac:dyDescent="0.25">
      <c r="B838" s="274">
        <v>21.8</v>
      </c>
      <c r="C838" s="274">
        <v>65</v>
      </c>
      <c r="D838" s="274">
        <v>21.8</v>
      </c>
      <c r="E838" s="274">
        <v>1.4</v>
      </c>
      <c r="F838" s="274">
        <v>5.4</v>
      </c>
      <c r="G838" s="274">
        <v>97</v>
      </c>
      <c r="H838" s="274">
        <v>1023.1</v>
      </c>
      <c r="I838" s="274">
        <v>88644</v>
      </c>
      <c r="J838" s="274">
        <v>0</v>
      </c>
      <c r="K838" s="274">
        <v>0</v>
      </c>
      <c r="L838" s="274">
        <v>0</v>
      </c>
      <c r="M838" s="274">
        <v>65.3</v>
      </c>
      <c r="N838" s="396">
        <v>599.79999999999995</v>
      </c>
      <c r="O838" s="396">
        <v>39.5</v>
      </c>
      <c r="P838" s="396">
        <v>38.4</v>
      </c>
      <c r="Q838" s="397">
        <v>0.57569444444444495</v>
      </c>
      <c r="R838" s="396"/>
      <c r="S838" s="410"/>
      <c r="T838" s="409"/>
      <c r="U838" s="398" t="str">
        <f t="shared" si="35"/>
        <v/>
      </c>
      <c r="V838" s="400"/>
      <c r="W838" s="410">
        <f t="shared" si="37"/>
        <v>39.5</v>
      </c>
      <c r="X838" s="472">
        <f t="shared" si="36"/>
        <v>60</v>
      </c>
      <c r="AT838" s="232"/>
      <c r="AV838" s="198"/>
      <c r="AW838" s="274"/>
    </row>
    <row r="839" spans="2:49" x14ac:dyDescent="0.25">
      <c r="B839" s="274">
        <v>21.9</v>
      </c>
      <c r="C839" s="274">
        <v>63</v>
      </c>
      <c r="D839" s="274">
        <v>21.9</v>
      </c>
      <c r="E839" s="274">
        <v>3.6</v>
      </c>
      <c r="F839" s="274">
        <v>5.4</v>
      </c>
      <c r="G839" s="274">
        <v>85</v>
      </c>
      <c r="H839" s="274">
        <v>1023.3</v>
      </c>
      <c r="I839" s="274">
        <v>87993</v>
      </c>
      <c r="J839" s="274">
        <v>0</v>
      </c>
      <c r="K839" s="274">
        <v>0</v>
      </c>
      <c r="L839" s="274">
        <v>0</v>
      </c>
      <c r="M839" s="274">
        <v>65.3</v>
      </c>
      <c r="N839" s="396">
        <v>599.79999999999995</v>
      </c>
      <c r="O839" s="396">
        <v>39.700000000000003</v>
      </c>
      <c r="P839" s="396">
        <v>38.5</v>
      </c>
      <c r="Q839" s="397">
        <v>0.57638888888888895</v>
      </c>
      <c r="R839" s="396"/>
      <c r="S839" s="410"/>
      <c r="T839" s="409"/>
      <c r="U839" s="398" t="str">
        <f t="shared" si="35"/>
        <v/>
      </c>
      <c r="V839" s="400"/>
      <c r="W839" s="410">
        <f t="shared" si="37"/>
        <v>39.700000000000003</v>
      </c>
      <c r="X839" s="472">
        <f t="shared" si="36"/>
        <v>60</v>
      </c>
      <c r="AT839" s="232"/>
      <c r="AV839" s="198"/>
      <c r="AW839" s="274"/>
    </row>
    <row r="840" spans="2:49" x14ac:dyDescent="0.25">
      <c r="B840" s="274">
        <v>21.9</v>
      </c>
      <c r="C840" s="274">
        <v>65</v>
      </c>
      <c r="D840" s="274">
        <v>21.9</v>
      </c>
      <c r="E840" s="274">
        <v>5.4</v>
      </c>
      <c r="F840" s="274">
        <v>7.2</v>
      </c>
      <c r="G840" s="274">
        <v>165</v>
      </c>
      <c r="H840" s="274">
        <v>1023.3</v>
      </c>
      <c r="I840" s="274">
        <v>87885</v>
      </c>
      <c r="J840" s="274">
        <v>0</v>
      </c>
      <c r="K840" s="274">
        <v>0</v>
      </c>
      <c r="L840" s="274">
        <v>0</v>
      </c>
      <c r="M840" s="274">
        <v>65.3</v>
      </c>
      <c r="N840" s="396">
        <v>599.79999999999995</v>
      </c>
      <c r="O840" s="396">
        <v>39.799999999999997</v>
      </c>
      <c r="P840" s="396">
        <v>38.5</v>
      </c>
      <c r="Q840" s="397">
        <v>0.57708333333333295</v>
      </c>
      <c r="R840" s="396"/>
      <c r="S840" s="410"/>
      <c r="T840" s="409"/>
      <c r="U840" s="398" t="str">
        <f t="shared" si="35"/>
        <v/>
      </c>
      <c r="V840" s="400"/>
      <c r="W840" s="410">
        <f t="shared" si="37"/>
        <v>39.799999999999997</v>
      </c>
      <c r="X840" s="472">
        <f t="shared" si="36"/>
        <v>60</v>
      </c>
      <c r="AT840" s="232"/>
      <c r="AV840" s="198"/>
      <c r="AW840" s="274"/>
    </row>
    <row r="841" spans="2:49" x14ac:dyDescent="0.25">
      <c r="B841" s="274">
        <v>21.6</v>
      </c>
      <c r="C841" s="274">
        <v>64</v>
      </c>
      <c r="D841" s="274">
        <v>21.6</v>
      </c>
      <c r="E841" s="274">
        <v>1.8</v>
      </c>
      <c r="F841" s="274">
        <v>3.6</v>
      </c>
      <c r="G841" s="274">
        <v>97</v>
      </c>
      <c r="H841" s="274">
        <v>1023.2</v>
      </c>
      <c r="I841" s="274">
        <v>88272</v>
      </c>
      <c r="J841" s="274">
        <v>0</v>
      </c>
      <c r="K841" s="274">
        <v>0</v>
      </c>
      <c r="L841" s="274">
        <v>0</v>
      </c>
      <c r="M841" s="274">
        <v>65.3</v>
      </c>
      <c r="N841" s="396">
        <v>599.79999999999995</v>
      </c>
      <c r="O841" s="396">
        <v>39.799999999999997</v>
      </c>
      <c r="P841" s="396">
        <v>38.5</v>
      </c>
      <c r="Q841" s="397">
        <v>0.57777777777777795</v>
      </c>
      <c r="R841" s="396"/>
      <c r="S841" s="410"/>
      <c r="T841" s="409"/>
      <c r="U841" s="398" t="str">
        <f t="shared" si="35"/>
        <v/>
      </c>
      <c r="V841" s="400"/>
      <c r="W841" s="410">
        <f t="shared" si="37"/>
        <v>39.799999999999997</v>
      </c>
      <c r="X841" s="472">
        <f t="shared" si="36"/>
        <v>60</v>
      </c>
      <c r="AT841" s="232"/>
      <c r="AV841" s="198"/>
      <c r="AW841" s="274"/>
    </row>
    <row r="842" spans="2:49" x14ac:dyDescent="0.25">
      <c r="B842" s="274">
        <v>21.5</v>
      </c>
      <c r="C842" s="274">
        <v>65</v>
      </c>
      <c r="D842" s="274">
        <v>21.5</v>
      </c>
      <c r="E842" s="274">
        <v>2.9</v>
      </c>
      <c r="F842" s="274">
        <v>5.4</v>
      </c>
      <c r="G842" s="274">
        <v>101</v>
      </c>
      <c r="H842" s="274">
        <v>1023.1</v>
      </c>
      <c r="I842" s="274">
        <v>88148</v>
      </c>
      <c r="J842" s="274">
        <v>0</v>
      </c>
      <c r="K842" s="274">
        <v>0</v>
      </c>
      <c r="L842" s="274">
        <v>0</v>
      </c>
      <c r="M842" s="274">
        <v>65.3</v>
      </c>
      <c r="N842" s="396">
        <v>599.79999999999995</v>
      </c>
      <c r="O842" s="396">
        <v>39.799999999999997</v>
      </c>
      <c r="P842" s="396">
        <v>38.4</v>
      </c>
      <c r="Q842" s="397">
        <v>0.57847222222222205</v>
      </c>
      <c r="R842" s="396"/>
      <c r="S842" s="410"/>
      <c r="T842" s="409"/>
      <c r="U842" s="398" t="str">
        <f t="shared" si="35"/>
        <v/>
      </c>
      <c r="V842" s="400"/>
      <c r="W842" s="410">
        <f t="shared" si="37"/>
        <v>39.799999999999997</v>
      </c>
      <c r="X842" s="472">
        <f t="shared" si="36"/>
        <v>60</v>
      </c>
      <c r="AT842" s="232"/>
      <c r="AV842" s="198"/>
      <c r="AW842" s="274"/>
    </row>
    <row r="843" spans="2:49" x14ac:dyDescent="0.25">
      <c r="B843" s="274">
        <v>21.5</v>
      </c>
      <c r="C843" s="274">
        <v>66</v>
      </c>
      <c r="D843" s="274">
        <v>21.5</v>
      </c>
      <c r="E843" s="274">
        <v>1.4</v>
      </c>
      <c r="F843" s="274">
        <v>1.8</v>
      </c>
      <c r="G843" s="274">
        <v>101</v>
      </c>
      <c r="H843" s="274">
        <v>1023.2</v>
      </c>
      <c r="I843" s="274">
        <v>88489</v>
      </c>
      <c r="J843" s="274">
        <v>0</v>
      </c>
      <c r="K843" s="274">
        <v>0</v>
      </c>
      <c r="L843" s="274">
        <v>0</v>
      </c>
      <c r="M843" s="274">
        <v>65.3</v>
      </c>
      <c r="N843" s="396">
        <v>599.79999999999995</v>
      </c>
      <c r="O843" s="396">
        <v>39.799999999999997</v>
      </c>
      <c r="P843" s="396">
        <v>38.299999999999997</v>
      </c>
      <c r="Q843" s="397">
        <v>0.57916666666666705</v>
      </c>
      <c r="R843" s="396"/>
      <c r="S843" s="410"/>
      <c r="T843" s="409"/>
      <c r="U843" s="398" t="str">
        <f t="shared" ref="U843:U906" si="38">IF(J843&gt;0,60,"")</f>
        <v/>
      </c>
      <c r="V843" s="400"/>
      <c r="W843" s="410">
        <f t="shared" si="37"/>
        <v>39.799999999999997</v>
      </c>
      <c r="X843" s="472">
        <f t="shared" si="36"/>
        <v>60</v>
      </c>
      <c r="AT843" s="232"/>
      <c r="AV843" s="198"/>
      <c r="AW843" s="274"/>
    </row>
    <row r="844" spans="2:49" x14ac:dyDescent="0.25">
      <c r="B844" s="274">
        <v>21.5</v>
      </c>
      <c r="C844" s="274">
        <v>63</v>
      </c>
      <c r="D844" s="274">
        <v>21.5</v>
      </c>
      <c r="E844" s="274">
        <v>2.9</v>
      </c>
      <c r="F844" s="274">
        <v>3.6</v>
      </c>
      <c r="G844" s="274">
        <v>162</v>
      </c>
      <c r="H844" s="274">
        <v>1023.2</v>
      </c>
      <c r="I844" s="274">
        <v>88753</v>
      </c>
      <c r="J844" s="274">
        <v>0</v>
      </c>
      <c r="K844" s="274">
        <v>0</v>
      </c>
      <c r="L844" s="274">
        <v>0</v>
      </c>
      <c r="M844" s="274">
        <v>65.3</v>
      </c>
      <c r="N844" s="396">
        <v>599.79999999999995</v>
      </c>
      <c r="O844" s="396">
        <v>39.799999999999997</v>
      </c>
      <c r="P844" s="396">
        <v>38.200000000000003</v>
      </c>
      <c r="Q844" s="397">
        <v>0.57986111111111105</v>
      </c>
      <c r="R844" s="396"/>
      <c r="S844" s="410"/>
      <c r="T844" s="409"/>
      <c r="U844" s="398" t="str">
        <f t="shared" si="38"/>
        <v/>
      </c>
      <c r="V844" s="400"/>
      <c r="W844" s="410">
        <f t="shared" si="37"/>
        <v>39.799999999999997</v>
      </c>
      <c r="X844" s="472">
        <f t="shared" si="36"/>
        <v>60</v>
      </c>
      <c r="AT844" s="232"/>
      <c r="AV844" s="198"/>
      <c r="AW844" s="274"/>
    </row>
    <row r="845" spans="2:49" x14ac:dyDescent="0.25">
      <c r="B845" s="274">
        <v>21.4</v>
      </c>
      <c r="C845" s="274">
        <v>65</v>
      </c>
      <c r="D845" s="274">
        <v>21.4</v>
      </c>
      <c r="E845" s="274">
        <v>0.7</v>
      </c>
      <c r="F845" s="274">
        <v>1.8</v>
      </c>
      <c r="G845" s="274">
        <v>76</v>
      </c>
      <c r="H845" s="274">
        <v>1023.4</v>
      </c>
      <c r="I845" s="274">
        <v>89094</v>
      </c>
      <c r="J845" s="274">
        <v>0</v>
      </c>
      <c r="K845" s="274">
        <v>0</v>
      </c>
      <c r="L845" s="274">
        <v>0</v>
      </c>
      <c r="M845" s="274">
        <v>65.3</v>
      </c>
      <c r="N845" s="396">
        <v>599.79999999999995</v>
      </c>
      <c r="O845" s="396">
        <v>39.799999999999997</v>
      </c>
      <c r="P845" s="396">
        <v>38.1</v>
      </c>
      <c r="Q845" s="397">
        <v>0.58055555555555605</v>
      </c>
      <c r="R845" s="396"/>
      <c r="S845" s="410"/>
      <c r="T845" s="409"/>
      <c r="U845" s="398" t="str">
        <f t="shared" si="38"/>
        <v/>
      </c>
      <c r="V845" s="400"/>
      <c r="W845" s="410">
        <f t="shared" si="37"/>
        <v>39.799999999999997</v>
      </c>
      <c r="X845" s="472">
        <f t="shared" si="36"/>
        <v>60</v>
      </c>
      <c r="AT845" s="232"/>
      <c r="AV845" s="198"/>
      <c r="AW845" s="274"/>
    </row>
    <row r="846" spans="2:49" x14ac:dyDescent="0.25">
      <c r="B846" s="274">
        <v>21.5</v>
      </c>
      <c r="C846" s="274">
        <v>62</v>
      </c>
      <c r="D846" s="274">
        <v>21.5</v>
      </c>
      <c r="E846" s="274">
        <v>4.7</v>
      </c>
      <c r="F846" s="274">
        <v>7.2</v>
      </c>
      <c r="G846" s="274">
        <v>103</v>
      </c>
      <c r="H846" s="274">
        <v>1023.2</v>
      </c>
      <c r="I846" s="274">
        <v>89249</v>
      </c>
      <c r="J846" s="274">
        <v>0</v>
      </c>
      <c r="K846" s="274">
        <v>0</v>
      </c>
      <c r="L846" s="274">
        <v>0</v>
      </c>
      <c r="M846" s="274">
        <v>65.3</v>
      </c>
      <c r="N846" s="396">
        <v>599.79999999999995</v>
      </c>
      <c r="O846" s="396">
        <v>39.799999999999997</v>
      </c>
      <c r="P846" s="396">
        <v>38.1</v>
      </c>
      <c r="Q846" s="397">
        <v>0.58125000000000004</v>
      </c>
      <c r="R846" s="396"/>
      <c r="S846" s="410"/>
      <c r="T846" s="409"/>
      <c r="U846" s="398" t="str">
        <f t="shared" si="38"/>
        <v/>
      </c>
      <c r="V846" s="400"/>
      <c r="W846" s="410">
        <f t="shared" si="37"/>
        <v>39.799999999999997</v>
      </c>
      <c r="X846" s="472">
        <f t="shared" si="36"/>
        <v>60</v>
      </c>
      <c r="AT846" s="232"/>
      <c r="AV846" s="198"/>
      <c r="AW846" s="274"/>
    </row>
    <row r="847" spans="2:49" x14ac:dyDescent="0.25">
      <c r="B847" s="274">
        <v>21.4</v>
      </c>
      <c r="C847" s="274">
        <v>61</v>
      </c>
      <c r="D847" s="274">
        <v>21.4</v>
      </c>
      <c r="E847" s="274">
        <v>4</v>
      </c>
      <c r="F847" s="274">
        <v>5.4</v>
      </c>
      <c r="G847" s="274">
        <v>139</v>
      </c>
      <c r="H847" s="274">
        <v>1023.3</v>
      </c>
      <c r="I847" s="274">
        <v>89202</v>
      </c>
      <c r="J847" s="274">
        <v>0</v>
      </c>
      <c r="K847" s="274">
        <v>0</v>
      </c>
      <c r="L847" s="274">
        <v>0</v>
      </c>
      <c r="M847" s="274">
        <v>65.3</v>
      </c>
      <c r="N847" s="396">
        <v>599.79999999999995</v>
      </c>
      <c r="O847" s="396">
        <v>39.9</v>
      </c>
      <c r="P847" s="396">
        <v>38.1</v>
      </c>
      <c r="Q847" s="397">
        <v>0.58194444444444404</v>
      </c>
      <c r="R847" s="396"/>
      <c r="S847" s="410"/>
      <c r="T847" s="409"/>
      <c r="U847" s="398" t="str">
        <f t="shared" si="38"/>
        <v/>
      </c>
      <c r="V847" s="400"/>
      <c r="W847" s="410">
        <f t="shared" si="37"/>
        <v>39.9</v>
      </c>
      <c r="X847" s="472">
        <f t="shared" si="36"/>
        <v>60</v>
      </c>
      <c r="AT847" s="232"/>
      <c r="AV847" s="198"/>
      <c r="AW847" s="274"/>
    </row>
    <row r="848" spans="2:49" x14ac:dyDescent="0.25">
      <c r="B848" s="274">
        <v>21.2</v>
      </c>
      <c r="C848" s="274">
        <v>61</v>
      </c>
      <c r="D848" s="274">
        <v>21.2</v>
      </c>
      <c r="E848" s="274">
        <v>1.1000000000000001</v>
      </c>
      <c r="F848" s="274">
        <v>3.6</v>
      </c>
      <c r="G848" s="274">
        <v>147</v>
      </c>
      <c r="H848" s="274">
        <v>1023.5</v>
      </c>
      <c r="I848" s="274">
        <v>89032</v>
      </c>
      <c r="J848" s="274">
        <v>0</v>
      </c>
      <c r="K848" s="274">
        <v>0</v>
      </c>
      <c r="L848" s="274">
        <v>0</v>
      </c>
      <c r="M848" s="274">
        <v>65.3</v>
      </c>
      <c r="N848" s="396">
        <v>599.79999999999995</v>
      </c>
      <c r="O848" s="396">
        <v>39.799999999999997</v>
      </c>
      <c r="P848" s="396">
        <v>38.1</v>
      </c>
      <c r="Q848" s="397">
        <v>0.58263888888888904</v>
      </c>
      <c r="R848" s="396"/>
      <c r="S848" s="410"/>
      <c r="T848" s="409"/>
      <c r="U848" s="398" t="str">
        <f t="shared" si="38"/>
        <v/>
      </c>
      <c r="V848" s="400"/>
      <c r="W848" s="410">
        <f t="shared" si="37"/>
        <v>39.799999999999997</v>
      </c>
      <c r="X848" s="472">
        <f t="shared" si="36"/>
        <v>60</v>
      </c>
      <c r="AT848" s="232"/>
      <c r="AV848" s="198"/>
      <c r="AW848" s="274"/>
    </row>
    <row r="849" spans="2:49" x14ac:dyDescent="0.25">
      <c r="B849" s="274">
        <v>21.1</v>
      </c>
      <c r="C849" s="274">
        <v>62</v>
      </c>
      <c r="D849" s="274">
        <v>21.1</v>
      </c>
      <c r="E849" s="274">
        <v>5.8</v>
      </c>
      <c r="F849" s="274">
        <v>9.4</v>
      </c>
      <c r="G849" s="274">
        <v>118</v>
      </c>
      <c r="H849" s="274">
        <v>1023.2</v>
      </c>
      <c r="I849" s="274">
        <v>89094</v>
      </c>
      <c r="J849" s="274">
        <v>0</v>
      </c>
      <c r="K849" s="274">
        <v>0</v>
      </c>
      <c r="L849" s="274">
        <v>0</v>
      </c>
      <c r="M849" s="274">
        <v>65.3</v>
      </c>
      <c r="N849" s="396">
        <v>599.79999999999995</v>
      </c>
      <c r="O849" s="396">
        <v>39.700000000000003</v>
      </c>
      <c r="P849" s="396">
        <v>38.1</v>
      </c>
      <c r="Q849" s="397">
        <v>0.58333333333333304</v>
      </c>
      <c r="R849" s="396"/>
      <c r="S849" s="410"/>
      <c r="T849" s="409"/>
      <c r="U849" s="398" t="str">
        <f t="shared" si="38"/>
        <v/>
      </c>
      <c r="V849" s="400"/>
      <c r="W849" s="410">
        <f t="shared" si="37"/>
        <v>39.700000000000003</v>
      </c>
      <c r="X849" s="472">
        <f t="shared" ref="X849:X912" si="39">IF(W849&gt;B849+3,60,"")</f>
        <v>60</v>
      </c>
      <c r="AT849" s="232"/>
      <c r="AV849" s="198"/>
      <c r="AW849" s="274"/>
    </row>
    <row r="850" spans="2:49" x14ac:dyDescent="0.25">
      <c r="B850" s="274">
        <v>21.1</v>
      </c>
      <c r="C850" s="274">
        <v>62</v>
      </c>
      <c r="D850" s="274">
        <v>21.1</v>
      </c>
      <c r="E850" s="274">
        <v>5.4</v>
      </c>
      <c r="F850" s="274">
        <v>5.4</v>
      </c>
      <c r="G850" s="274">
        <v>180</v>
      </c>
      <c r="H850" s="274">
        <v>1023.1</v>
      </c>
      <c r="I850" s="274">
        <v>88706</v>
      </c>
      <c r="J850" s="274">
        <v>0</v>
      </c>
      <c r="K850" s="274">
        <v>0</v>
      </c>
      <c r="L850" s="274">
        <v>0</v>
      </c>
      <c r="M850" s="274">
        <v>65.3</v>
      </c>
      <c r="N850" s="396">
        <v>599.79999999999995</v>
      </c>
      <c r="O850" s="396">
        <v>39.6</v>
      </c>
      <c r="P850" s="396">
        <v>38.1</v>
      </c>
      <c r="Q850" s="397">
        <v>0.58402777777777803</v>
      </c>
      <c r="R850" s="396"/>
      <c r="S850" s="410"/>
      <c r="T850" s="409"/>
      <c r="U850" s="398" t="str">
        <f t="shared" si="38"/>
        <v/>
      </c>
      <c r="V850" s="400"/>
      <c r="W850" s="410">
        <f t="shared" si="37"/>
        <v>39.6</v>
      </c>
      <c r="X850" s="472">
        <f t="shared" si="39"/>
        <v>60</v>
      </c>
      <c r="AT850" s="232"/>
      <c r="AV850" s="198"/>
      <c r="AW850" s="274"/>
    </row>
    <row r="851" spans="2:49" x14ac:dyDescent="0.25">
      <c r="B851" s="274">
        <v>21.1</v>
      </c>
      <c r="C851" s="274">
        <v>62</v>
      </c>
      <c r="D851" s="274">
        <v>21.1</v>
      </c>
      <c r="E851" s="274">
        <v>5.4</v>
      </c>
      <c r="F851" s="274">
        <v>9.4</v>
      </c>
      <c r="G851" s="274">
        <v>153</v>
      </c>
      <c r="H851" s="274">
        <v>1023.2</v>
      </c>
      <c r="I851" s="274">
        <v>88923</v>
      </c>
      <c r="J851" s="274">
        <v>0</v>
      </c>
      <c r="K851" s="274">
        <v>0</v>
      </c>
      <c r="L851" s="274">
        <v>0</v>
      </c>
      <c r="M851" s="274">
        <v>65.3</v>
      </c>
      <c r="N851" s="396">
        <v>599.79999999999995</v>
      </c>
      <c r="O851" s="396">
        <v>39.5</v>
      </c>
      <c r="P851" s="396">
        <v>38.1</v>
      </c>
      <c r="Q851" s="397">
        <v>0.58472222222222203</v>
      </c>
      <c r="R851" s="396"/>
      <c r="S851" s="410"/>
      <c r="T851" s="409"/>
      <c r="U851" s="398" t="str">
        <f t="shared" si="38"/>
        <v/>
      </c>
      <c r="V851" s="400"/>
      <c r="W851" s="410">
        <f t="shared" si="37"/>
        <v>39.5</v>
      </c>
      <c r="X851" s="472">
        <f t="shared" si="39"/>
        <v>60</v>
      </c>
      <c r="AT851" s="232"/>
      <c r="AV851" s="198"/>
      <c r="AW851" s="274"/>
    </row>
    <row r="852" spans="2:49" x14ac:dyDescent="0.25">
      <c r="B852" s="274">
        <v>21.1</v>
      </c>
      <c r="C852" s="274">
        <v>62</v>
      </c>
      <c r="D852" s="274">
        <v>21.1</v>
      </c>
      <c r="E852" s="274">
        <v>2.2000000000000002</v>
      </c>
      <c r="F852" s="274">
        <v>3.6</v>
      </c>
      <c r="G852" s="274">
        <v>135</v>
      </c>
      <c r="H852" s="274">
        <v>1023.5</v>
      </c>
      <c r="I852" s="274">
        <v>88644</v>
      </c>
      <c r="J852" s="274">
        <v>0</v>
      </c>
      <c r="K852" s="274">
        <v>0</v>
      </c>
      <c r="L852" s="274">
        <v>0</v>
      </c>
      <c r="M852" s="274">
        <v>65.3</v>
      </c>
      <c r="N852" s="396">
        <v>599.79999999999995</v>
      </c>
      <c r="O852" s="396">
        <v>39.4</v>
      </c>
      <c r="P852" s="396">
        <v>38</v>
      </c>
      <c r="Q852" s="397">
        <v>0.58541666666666703</v>
      </c>
      <c r="R852" s="396"/>
      <c r="S852" s="410"/>
      <c r="T852" s="409"/>
      <c r="U852" s="398" t="str">
        <f t="shared" si="38"/>
        <v/>
      </c>
      <c r="V852" s="400"/>
      <c r="W852" s="410">
        <f t="shared" si="37"/>
        <v>39.4</v>
      </c>
      <c r="X852" s="472">
        <f t="shared" si="39"/>
        <v>60</v>
      </c>
      <c r="AT852" s="232"/>
      <c r="AV852" s="198"/>
      <c r="AW852" s="274"/>
    </row>
    <row r="853" spans="2:49" x14ac:dyDescent="0.25">
      <c r="B853" s="274">
        <v>21.2</v>
      </c>
      <c r="C853" s="274">
        <v>58</v>
      </c>
      <c r="D853" s="274">
        <v>21.2</v>
      </c>
      <c r="E853" s="274">
        <v>4</v>
      </c>
      <c r="F853" s="274">
        <v>5.4</v>
      </c>
      <c r="G853" s="274">
        <v>92</v>
      </c>
      <c r="H853" s="274">
        <v>1023.3</v>
      </c>
      <c r="I853" s="274">
        <v>88706</v>
      </c>
      <c r="J853" s="274">
        <v>0</v>
      </c>
      <c r="K853" s="274">
        <v>0</v>
      </c>
      <c r="L853" s="274">
        <v>0</v>
      </c>
      <c r="M853" s="274">
        <v>65.3</v>
      </c>
      <c r="N853" s="396">
        <v>599.79999999999995</v>
      </c>
      <c r="O853" s="396">
        <v>39.299999999999997</v>
      </c>
      <c r="P853" s="396">
        <v>38</v>
      </c>
      <c r="Q853" s="397">
        <v>0.58611111111111103</v>
      </c>
      <c r="R853" s="396"/>
      <c r="S853" s="410"/>
      <c r="T853" s="409"/>
      <c r="U853" s="398" t="str">
        <f t="shared" si="38"/>
        <v/>
      </c>
      <c r="V853" s="400"/>
      <c r="W853" s="410">
        <f t="shared" si="37"/>
        <v>39.299999999999997</v>
      </c>
      <c r="X853" s="472">
        <f t="shared" si="39"/>
        <v>60</v>
      </c>
      <c r="AT853" s="232"/>
      <c r="AV853" s="198"/>
      <c r="AW853" s="274"/>
    </row>
    <row r="854" spans="2:49" x14ac:dyDescent="0.25">
      <c r="B854" s="274">
        <v>21.7</v>
      </c>
      <c r="C854" s="274">
        <v>58</v>
      </c>
      <c r="D854" s="274">
        <v>21.7</v>
      </c>
      <c r="E854" s="274">
        <v>5.8</v>
      </c>
      <c r="F854" s="274">
        <v>7.2</v>
      </c>
      <c r="G854" s="274">
        <v>134</v>
      </c>
      <c r="H854" s="274">
        <v>1023.2</v>
      </c>
      <c r="I854" s="274">
        <v>88753</v>
      </c>
      <c r="J854" s="274">
        <v>0</v>
      </c>
      <c r="K854" s="274">
        <v>0</v>
      </c>
      <c r="L854" s="274">
        <v>0</v>
      </c>
      <c r="M854" s="274">
        <v>65.3</v>
      </c>
      <c r="N854" s="396">
        <v>599.79999999999995</v>
      </c>
      <c r="O854" s="396">
        <v>39.4</v>
      </c>
      <c r="P854" s="396">
        <v>38</v>
      </c>
      <c r="Q854" s="397">
        <v>0.58680555555555602</v>
      </c>
      <c r="R854" s="396"/>
      <c r="S854" s="410"/>
      <c r="T854" s="409"/>
      <c r="U854" s="398" t="str">
        <f t="shared" si="38"/>
        <v/>
      </c>
      <c r="V854" s="400"/>
      <c r="W854" s="410">
        <f t="shared" si="37"/>
        <v>39.4</v>
      </c>
      <c r="X854" s="472">
        <f t="shared" si="39"/>
        <v>60</v>
      </c>
      <c r="AT854" s="232"/>
      <c r="AV854" s="198"/>
      <c r="AW854" s="274"/>
    </row>
    <row r="855" spans="2:49" x14ac:dyDescent="0.25">
      <c r="B855" s="274">
        <v>21.7</v>
      </c>
      <c r="C855" s="274">
        <v>58</v>
      </c>
      <c r="D855" s="274">
        <v>21.7</v>
      </c>
      <c r="E855" s="274">
        <v>2.5</v>
      </c>
      <c r="F855" s="274">
        <v>5.4</v>
      </c>
      <c r="G855" s="274">
        <v>104</v>
      </c>
      <c r="H855" s="274">
        <v>1023.4</v>
      </c>
      <c r="I855" s="274">
        <v>88489</v>
      </c>
      <c r="J855" s="274">
        <v>0</v>
      </c>
      <c r="K855" s="274">
        <v>0</v>
      </c>
      <c r="L855" s="274">
        <v>0</v>
      </c>
      <c r="M855" s="274">
        <v>65.3</v>
      </c>
      <c r="N855" s="396">
        <v>599.79999999999995</v>
      </c>
      <c r="O855" s="396">
        <v>39.5</v>
      </c>
      <c r="P855" s="396">
        <v>38</v>
      </c>
      <c r="Q855" s="397">
        <v>0.58750000000000002</v>
      </c>
      <c r="R855" s="396"/>
      <c r="S855" s="410"/>
      <c r="T855" s="409"/>
      <c r="U855" s="398" t="str">
        <f t="shared" si="38"/>
        <v/>
      </c>
      <c r="V855" s="400"/>
      <c r="W855" s="410">
        <f t="shared" si="37"/>
        <v>39.5</v>
      </c>
      <c r="X855" s="472">
        <f t="shared" si="39"/>
        <v>60</v>
      </c>
      <c r="AT855" s="232"/>
      <c r="AV855" s="198"/>
      <c r="AW855" s="274"/>
    </row>
    <row r="856" spans="2:49" x14ac:dyDescent="0.25">
      <c r="B856" s="274">
        <v>21.7</v>
      </c>
      <c r="C856" s="274">
        <v>59</v>
      </c>
      <c r="D856" s="274">
        <v>21.7</v>
      </c>
      <c r="E856" s="274">
        <v>5.4</v>
      </c>
      <c r="F856" s="274">
        <v>5.4</v>
      </c>
      <c r="G856" s="274">
        <v>143</v>
      </c>
      <c r="H856" s="274">
        <v>1023.2</v>
      </c>
      <c r="I856" s="274">
        <v>88148</v>
      </c>
      <c r="J856" s="274">
        <v>0</v>
      </c>
      <c r="K856" s="274">
        <v>0</v>
      </c>
      <c r="L856" s="274">
        <v>0</v>
      </c>
      <c r="M856" s="274">
        <v>65.3</v>
      </c>
      <c r="N856" s="396">
        <v>599.79999999999995</v>
      </c>
      <c r="O856" s="396">
        <v>39.5</v>
      </c>
      <c r="P856" s="396">
        <v>38</v>
      </c>
      <c r="Q856" s="397">
        <v>0.58819444444444402</v>
      </c>
      <c r="R856" s="396"/>
      <c r="S856" s="410"/>
      <c r="T856" s="409"/>
      <c r="U856" s="398" t="str">
        <f t="shared" si="38"/>
        <v/>
      </c>
      <c r="V856" s="400"/>
      <c r="W856" s="410">
        <f t="shared" si="37"/>
        <v>39.5</v>
      </c>
      <c r="X856" s="472">
        <f t="shared" si="39"/>
        <v>60</v>
      </c>
      <c r="AT856" s="232"/>
      <c r="AV856" s="198"/>
      <c r="AW856" s="274"/>
    </row>
    <row r="857" spans="2:49" x14ac:dyDescent="0.25">
      <c r="B857" s="274">
        <v>21.7</v>
      </c>
      <c r="C857" s="274">
        <v>58</v>
      </c>
      <c r="D857" s="274">
        <v>21.7</v>
      </c>
      <c r="E857" s="274">
        <v>2.9</v>
      </c>
      <c r="F857" s="274">
        <v>5.4</v>
      </c>
      <c r="G857" s="274">
        <v>116</v>
      </c>
      <c r="H857" s="274">
        <v>1023.2</v>
      </c>
      <c r="I857" s="274">
        <v>89032</v>
      </c>
      <c r="J857" s="274">
        <v>0</v>
      </c>
      <c r="K857" s="274">
        <v>0</v>
      </c>
      <c r="L857" s="274">
        <v>0</v>
      </c>
      <c r="M857" s="274">
        <v>65.3</v>
      </c>
      <c r="N857" s="396">
        <v>599.79999999999995</v>
      </c>
      <c r="O857" s="396">
        <v>39.5</v>
      </c>
      <c r="P857" s="396">
        <v>37.9</v>
      </c>
      <c r="Q857" s="397">
        <v>0.58888888888888902</v>
      </c>
      <c r="R857" s="396"/>
      <c r="S857" s="410"/>
      <c r="T857" s="409"/>
      <c r="U857" s="398" t="str">
        <f t="shared" si="38"/>
        <v/>
      </c>
      <c r="V857" s="400"/>
      <c r="W857" s="410">
        <f t="shared" si="37"/>
        <v>39.5</v>
      </c>
      <c r="X857" s="472">
        <f t="shared" si="39"/>
        <v>60</v>
      </c>
      <c r="AT857" s="232"/>
      <c r="AV857" s="198"/>
      <c r="AW857" s="274"/>
    </row>
    <row r="858" spans="2:49" x14ac:dyDescent="0.25">
      <c r="B858" s="274">
        <v>21.7</v>
      </c>
      <c r="C858" s="274">
        <v>56</v>
      </c>
      <c r="D858" s="274">
        <v>21.7</v>
      </c>
      <c r="E858" s="274">
        <v>3.2</v>
      </c>
      <c r="F858" s="274">
        <v>5.4</v>
      </c>
      <c r="G858" s="274">
        <v>129</v>
      </c>
      <c r="H858" s="274">
        <v>1023.3</v>
      </c>
      <c r="I858" s="274">
        <v>88706</v>
      </c>
      <c r="J858" s="274">
        <v>0</v>
      </c>
      <c r="K858" s="274">
        <v>0</v>
      </c>
      <c r="L858" s="274">
        <v>0</v>
      </c>
      <c r="M858" s="274">
        <v>65.3</v>
      </c>
      <c r="N858" s="396">
        <v>599.79999999999995</v>
      </c>
      <c r="O858" s="396">
        <v>39.5</v>
      </c>
      <c r="P858" s="396">
        <v>37.9</v>
      </c>
      <c r="Q858" s="397">
        <v>0.58958333333333302</v>
      </c>
      <c r="R858" s="396"/>
      <c r="S858" s="410"/>
      <c r="T858" s="409"/>
      <c r="U858" s="398" t="str">
        <f t="shared" si="38"/>
        <v/>
      </c>
      <c r="V858" s="400"/>
      <c r="W858" s="410">
        <f t="shared" si="37"/>
        <v>39.5</v>
      </c>
      <c r="X858" s="472">
        <f t="shared" si="39"/>
        <v>60</v>
      </c>
      <c r="AT858" s="232"/>
      <c r="AV858" s="198"/>
      <c r="AW858" s="274"/>
    </row>
    <row r="859" spans="2:49" x14ac:dyDescent="0.25">
      <c r="B859" s="274">
        <v>21.7</v>
      </c>
      <c r="C859" s="274">
        <v>58</v>
      </c>
      <c r="D859" s="274">
        <v>21.7</v>
      </c>
      <c r="E859" s="274">
        <v>1.1000000000000001</v>
      </c>
      <c r="F859" s="274">
        <v>1.8</v>
      </c>
      <c r="G859" s="274">
        <v>133</v>
      </c>
      <c r="H859" s="274">
        <v>1023.3</v>
      </c>
      <c r="I859" s="274">
        <v>89032</v>
      </c>
      <c r="J859" s="274">
        <v>0</v>
      </c>
      <c r="K859" s="274">
        <v>0</v>
      </c>
      <c r="L859" s="274">
        <v>0</v>
      </c>
      <c r="M859" s="274">
        <v>65.3</v>
      </c>
      <c r="N859" s="396">
        <v>599.79999999999995</v>
      </c>
      <c r="O859" s="396">
        <v>39.6</v>
      </c>
      <c r="P859" s="396">
        <v>37.799999999999997</v>
      </c>
      <c r="Q859" s="397">
        <v>0.59027777777777801</v>
      </c>
      <c r="R859" s="396"/>
      <c r="S859" s="410"/>
      <c r="T859" s="409"/>
      <c r="U859" s="398" t="str">
        <f t="shared" si="38"/>
        <v/>
      </c>
      <c r="V859" s="400"/>
      <c r="W859" s="410">
        <f t="shared" si="37"/>
        <v>39.6</v>
      </c>
      <c r="X859" s="472">
        <f t="shared" si="39"/>
        <v>60</v>
      </c>
      <c r="AT859" s="232"/>
      <c r="AV859" s="198"/>
      <c r="AW859" s="274"/>
    </row>
    <row r="860" spans="2:49" x14ac:dyDescent="0.25">
      <c r="B860" s="274">
        <v>21.8</v>
      </c>
      <c r="C860" s="274">
        <v>54</v>
      </c>
      <c r="D860" s="274">
        <v>21.8</v>
      </c>
      <c r="E860" s="274">
        <v>6.1</v>
      </c>
      <c r="F860" s="274">
        <v>7.2</v>
      </c>
      <c r="G860" s="274">
        <v>239</v>
      </c>
      <c r="H860" s="274">
        <v>1023.1</v>
      </c>
      <c r="I860" s="274">
        <v>88598</v>
      </c>
      <c r="J860" s="274">
        <v>0</v>
      </c>
      <c r="K860" s="274">
        <v>0</v>
      </c>
      <c r="L860" s="274">
        <v>0</v>
      </c>
      <c r="M860" s="274">
        <v>65.3</v>
      </c>
      <c r="N860" s="396">
        <v>599.79999999999995</v>
      </c>
      <c r="O860" s="396">
        <v>39.799999999999997</v>
      </c>
      <c r="P860" s="396">
        <v>37.799999999999997</v>
      </c>
      <c r="Q860" s="397">
        <v>0.59097222222222201</v>
      </c>
      <c r="R860" s="396"/>
      <c r="S860" s="410"/>
      <c r="T860" s="409"/>
      <c r="U860" s="398" t="str">
        <f t="shared" si="38"/>
        <v/>
      </c>
      <c r="V860" s="400"/>
      <c r="W860" s="410">
        <f t="shared" si="37"/>
        <v>39.799999999999997</v>
      </c>
      <c r="X860" s="472">
        <f t="shared" si="39"/>
        <v>60</v>
      </c>
      <c r="AT860" s="232"/>
      <c r="AV860" s="198"/>
      <c r="AW860" s="274"/>
    </row>
    <row r="861" spans="2:49" x14ac:dyDescent="0.25">
      <c r="B861" s="274">
        <v>21.7</v>
      </c>
      <c r="C861" s="274">
        <v>55</v>
      </c>
      <c r="D861" s="274">
        <v>21.7</v>
      </c>
      <c r="E861" s="274">
        <v>2.9</v>
      </c>
      <c r="F861" s="274">
        <v>5.4</v>
      </c>
      <c r="G861" s="274">
        <v>143</v>
      </c>
      <c r="H861" s="274">
        <v>1023.4</v>
      </c>
      <c r="I861" s="274">
        <v>88427</v>
      </c>
      <c r="J861" s="274">
        <v>0</v>
      </c>
      <c r="K861" s="274">
        <v>0</v>
      </c>
      <c r="L861" s="274">
        <v>0</v>
      </c>
      <c r="M861" s="274">
        <v>65.3</v>
      </c>
      <c r="N861" s="396">
        <v>599.79999999999995</v>
      </c>
      <c r="O861" s="396">
        <v>39.9</v>
      </c>
      <c r="P861" s="396">
        <v>37.9</v>
      </c>
      <c r="Q861" s="397">
        <v>0.59166666666666701</v>
      </c>
      <c r="R861" s="396"/>
      <c r="S861" s="410"/>
      <c r="T861" s="409"/>
      <c r="U861" s="398" t="str">
        <f t="shared" si="38"/>
        <v/>
      </c>
      <c r="V861" s="400"/>
      <c r="W861" s="410">
        <f t="shared" si="37"/>
        <v>39.9</v>
      </c>
      <c r="X861" s="472">
        <f t="shared" si="39"/>
        <v>60</v>
      </c>
      <c r="AT861" s="232"/>
      <c r="AV861" s="198"/>
      <c r="AW861" s="274"/>
    </row>
    <row r="862" spans="2:49" x14ac:dyDescent="0.25">
      <c r="B862" s="274">
        <v>21.6</v>
      </c>
      <c r="C862" s="274">
        <v>55</v>
      </c>
      <c r="D862" s="274">
        <v>21.6</v>
      </c>
      <c r="E862" s="274">
        <v>3.2</v>
      </c>
      <c r="F862" s="274">
        <v>5.4</v>
      </c>
      <c r="G862" s="274">
        <v>136</v>
      </c>
      <c r="H862" s="274">
        <v>1023.2</v>
      </c>
      <c r="I862" s="274">
        <v>88148</v>
      </c>
      <c r="J862" s="274">
        <v>0</v>
      </c>
      <c r="K862" s="274">
        <v>0</v>
      </c>
      <c r="L862" s="274">
        <v>0</v>
      </c>
      <c r="M862" s="274">
        <v>65.3</v>
      </c>
      <c r="N862" s="396">
        <v>599.79999999999995</v>
      </c>
      <c r="O862" s="396">
        <v>39.9</v>
      </c>
      <c r="P862" s="396">
        <v>38</v>
      </c>
      <c r="Q862" s="397">
        <v>0.59236111111111101</v>
      </c>
      <c r="R862" s="396"/>
      <c r="S862" s="410"/>
      <c r="T862" s="409"/>
      <c r="U862" s="398" t="str">
        <f t="shared" si="38"/>
        <v/>
      </c>
      <c r="V862" s="400"/>
      <c r="W862" s="410">
        <f t="shared" si="37"/>
        <v>39.9</v>
      </c>
      <c r="X862" s="472">
        <f t="shared" si="39"/>
        <v>60</v>
      </c>
      <c r="AT862" s="232"/>
      <c r="AV862" s="198"/>
      <c r="AW862" s="274"/>
    </row>
    <row r="863" spans="2:49" x14ac:dyDescent="0.25">
      <c r="B863" s="274">
        <v>21.4</v>
      </c>
      <c r="C863" s="274">
        <v>56</v>
      </c>
      <c r="D863" s="274">
        <v>21.4</v>
      </c>
      <c r="E863" s="274">
        <v>4</v>
      </c>
      <c r="F863" s="274">
        <v>5.4</v>
      </c>
      <c r="G863" s="274">
        <v>116</v>
      </c>
      <c r="H863" s="274">
        <v>1023.3</v>
      </c>
      <c r="I863" s="274">
        <v>88923</v>
      </c>
      <c r="J863" s="274">
        <v>0</v>
      </c>
      <c r="K863" s="274">
        <v>0</v>
      </c>
      <c r="L863" s="274">
        <v>0</v>
      </c>
      <c r="M863" s="274">
        <v>65.3</v>
      </c>
      <c r="N863" s="396">
        <v>599.79999999999995</v>
      </c>
      <c r="O863" s="396">
        <v>39.799999999999997</v>
      </c>
      <c r="P863" s="396">
        <v>37.9</v>
      </c>
      <c r="Q863" s="397">
        <v>0.593055555555556</v>
      </c>
      <c r="R863" s="396"/>
      <c r="S863" s="410"/>
      <c r="T863" s="409"/>
      <c r="U863" s="398" t="str">
        <f t="shared" si="38"/>
        <v/>
      </c>
      <c r="V863" s="400"/>
      <c r="W863" s="410">
        <f t="shared" si="37"/>
        <v>39.799999999999997</v>
      </c>
      <c r="X863" s="472">
        <f t="shared" si="39"/>
        <v>60</v>
      </c>
      <c r="AT863" s="232"/>
      <c r="AV863" s="198"/>
      <c r="AW863" s="274"/>
    </row>
    <row r="864" spans="2:49" x14ac:dyDescent="0.25">
      <c r="B864" s="274">
        <v>21.3</v>
      </c>
      <c r="C864" s="274">
        <v>56</v>
      </c>
      <c r="D864" s="274">
        <v>21.3</v>
      </c>
      <c r="E864" s="274">
        <v>3.6</v>
      </c>
      <c r="F864" s="274">
        <v>7.2</v>
      </c>
      <c r="G864" s="274">
        <v>97</v>
      </c>
      <c r="H864" s="274">
        <v>1023.2</v>
      </c>
      <c r="I864" s="274">
        <v>88381</v>
      </c>
      <c r="J864" s="274">
        <v>0</v>
      </c>
      <c r="K864" s="274">
        <v>0</v>
      </c>
      <c r="L864" s="274">
        <v>0</v>
      </c>
      <c r="M864" s="274">
        <v>65.3</v>
      </c>
      <c r="N864" s="396">
        <v>599.79999999999995</v>
      </c>
      <c r="O864" s="396">
        <v>39.799999999999997</v>
      </c>
      <c r="P864" s="396">
        <v>37.9</v>
      </c>
      <c r="Q864" s="397">
        <v>0.59375</v>
      </c>
      <c r="R864" s="396"/>
      <c r="S864" s="410"/>
      <c r="T864" s="409"/>
      <c r="U864" s="398" t="str">
        <f t="shared" si="38"/>
        <v/>
      </c>
      <c r="V864" s="400"/>
      <c r="W864" s="410">
        <f t="shared" si="37"/>
        <v>39.799999999999997</v>
      </c>
      <c r="X864" s="472">
        <f t="shared" si="39"/>
        <v>60</v>
      </c>
      <c r="AT864" s="232"/>
      <c r="AV864" s="198"/>
      <c r="AW864" s="274"/>
    </row>
    <row r="865" spans="2:49" x14ac:dyDescent="0.25">
      <c r="B865" s="274">
        <v>21.5</v>
      </c>
      <c r="C865" s="274">
        <v>56</v>
      </c>
      <c r="D865" s="274">
        <v>21.5</v>
      </c>
      <c r="E865" s="274">
        <v>2.2000000000000002</v>
      </c>
      <c r="F865" s="274">
        <v>3.6</v>
      </c>
      <c r="G865" s="274">
        <v>155</v>
      </c>
      <c r="H865" s="274">
        <v>1023.3</v>
      </c>
      <c r="I865" s="274">
        <v>87885</v>
      </c>
      <c r="J865" s="274">
        <v>0</v>
      </c>
      <c r="K865" s="274">
        <v>0</v>
      </c>
      <c r="L865" s="274">
        <v>0</v>
      </c>
      <c r="M865" s="274">
        <v>65.3</v>
      </c>
      <c r="N865" s="396">
        <v>599.79999999999995</v>
      </c>
      <c r="O865" s="396">
        <v>39.700000000000003</v>
      </c>
      <c r="P865" s="396">
        <v>37.9</v>
      </c>
      <c r="Q865" s="397">
        <v>0.594444444444444</v>
      </c>
      <c r="R865" s="396"/>
      <c r="S865" s="410"/>
      <c r="T865" s="409"/>
      <c r="U865" s="398" t="str">
        <f t="shared" si="38"/>
        <v/>
      </c>
      <c r="V865" s="400"/>
      <c r="W865" s="410">
        <f t="shared" si="37"/>
        <v>39.700000000000003</v>
      </c>
      <c r="X865" s="472">
        <f t="shared" si="39"/>
        <v>60</v>
      </c>
      <c r="AT865" s="232"/>
      <c r="AV865" s="198"/>
      <c r="AW865" s="274"/>
    </row>
    <row r="866" spans="2:49" x14ac:dyDescent="0.25">
      <c r="B866" s="274">
        <v>21.5</v>
      </c>
      <c r="C866" s="274">
        <v>57</v>
      </c>
      <c r="D866" s="274">
        <v>21.5</v>
      </c>
      <c r="E866" s="274">
        <v>3.2</v>
      </c>
      <c r="F866" s="274">
        <v>5.4</v>
      </c>
      <c r="G866" s="274">
        <v>134</v>
      </c>
      <c r="H866" s="274">
        <v>1023.2</v>
      </c>
      <c r="I866" s="274">
        <v>87063</v>
      </c>
      <c r="J866" s="274">
        <v>0</v>
      </c>
      <c r="K866" s="274">
        <v>0</v>
      </c>
      <c r="L866" s="274">
        <v>0</v>
      </c>
      <c r="M866" s="274">
        <v>65.3</v>
      </c>
      <c r="N866" s="396">
        <v>599.79999999999995</v>
      </c>
      <c r="O866" s="396">
        <v>39.6</v>
      </c>
      <c r="P866" s="396">
        <v>37.799999999999997</v>
      </c>
      <c r="Q866" s="397">
        <v>0.59513888888888899</v>
      </c>
      <c r="R866" s="396"/>
      <c r="S866" s="410"/>
      <c r="T866" s="409"/>
      <c r="U866" s="398" t="str">
        <f t="shared" si="38"/>
        <v/>
      </c>
      <c r="V866" s="400"/>
      <c r="W866" s="410">
        <f t="shared" si="37"/>
        <v>39.6</v>
      </c>
      <c r="X866" s="472">
        <f t="shared" si="39"/>
        <v>60</v>
      </c>
      <c r="AT866" s="232"/>
      <c r="AV866" s="198"/>
      <c r="AW866" s="274"/>
    </row>
    <row r="867" spans="2:49" x14ac:dyDescent="0.25">
      <c r="B867" s="274">
        <v>21.6</v>
      </c>
      <c r="C867" s="274">
        <v>57</v>
      </c>
      <c r="D867" s="274">
        <v>21.6</v>
      </c>
      <c r="E867" s="274">
        <v>1.1000000000000001</v>
      </c>
      <c r="F867" s="274">
        <v>1.8</v>
      </c>
      <c r="G867" s="274">
        <v>97</v>
      </c>
      <c r="H867" s="274">
        <v>1023.2</v>
      </c>
      <c r="I867" s="274">
        <v>86505</v>
      </c>
      <c r="J867" s="274">
        <v>0</v>
      </c>
      <c r="K867" s="274">
        <v>0</v>
      </c>
      <c r="L867" s="274">
        <v>0</v>
      </c>
      <c r="M867" s="274">
        <v>65.3</v>
      </c>
      <c r="N867" s="396">
        <v>599.79999999999995</v>
      </c>
      <c r="O867" s="396">
        <v>39.6</v>
      </c>
      <c r="P867" s="396">
        <v>37.700000000000003</v>
      </c>
      <c r="Q867" s="397">
        <v>0.59583333333333299</v>
      </c>
      <c r="R867" s="396"/>
      <c r="S867" s="410"/>
      <c r="T867" s="409"/>
      <c r="U867" s="398" t="str">
        <f t="shared" si="38"/>
        <v/>
      </c>
      <c r="V867" s="400"/>
      <c r="W867" s="410">
        <f t="shared" si="37"/>
        <v>39.6</v>
      </c>
      <c r="X867" s="472">
        <f t="shared" si="39"/>
        <v>60</v>
      </c>
      <c r="AT867" s="232"/>
      <c r="AV867" s="198"/>
      <c r="AW867" s="274"/>
    </row>
    <row r="868" spans="2:49" x14ac:dyDescent="0.25">
      <c r="B868" s="274">
        <v>21.6</v>
      </c>
      <c r="C868" s="274">
        <v>56</v>
      </c>
      <c r="D868" s="274">
        <v>21.6</v>
      </c>
      <c r="E868" s="274">
        <v>1.8</v>
      </c>
      <c r="F868" s="274">
        <v>1.8</v>
      </c>
      <c r="G868" s="274">
        <v>160</v>
      </c>
      <c r="H868" s="274">
        <v>1023.3</v>
      </c>
      <c r="I868" s="274">
        <v>85730</v>
      </c>
      <c r="J868" s="274">
        <v>0</v>
      </c>
      <c r="K868" s="274">
        <v>0</v>
      </c>
      <c r="L868" s="274">
        <v>0</v>
      </c>
      <c r="M868" s="274">
        <v>65.3</v>
      </c>
      <c r="N868" s="396">
        <v>599.79999999999995</v>
      </c>
      <c r="O868" s="396">
        <v>39.6</v>
      </c>
      <c r="P868" s="396">
        <v>37.6</v>
      </c>
      <c r="Q868" s="397">
        <v>0.59652777777777799</v>
      </c>
      <c r="R868" s="396"/>
      <c r="S868" s="410"/>
      <c r="T868" s="409"/>
      <c r="U868" s="398" t="str">
        <f t="shared" si="38"/>
        <v/>
      </c>
      <c r="V868" s="400"/>
      <c r="W868" s="410">
        <f t="shared" si="37"/>
        <v>39.6</v>
      </c>
      <c r="X868" s="472">
        <f t="shared" si="39"/>
        <v>60</v>
      </c>
      <c r="AT868" s="232"/>
      <c r="AV868" s="198"/>
      <c r="AW868" s="274"/>
    </row>
    <row r="869" spans="2:49" x14ac:dyDescent="0.25">
      <c r="B869" s="274">
        <v>21.9</v>
      </c>
      <c r="C869" s="274">
        <v>55</v>
      </c>
      <c r="D869" s="274">
        <v>21.9</v>
      </c>
      <c r="E869" s="274">
        <v>1.1000000000000001</v>
      </c>
      <c r="F869" s="274">
        <v>1.8</v>
      </c>
      <c r="G869" s="274">
        <v>235</v>
      </c>
      <c r="H869" s="274">
        <v>1023.2</v>
      </c>
      <c r="I869" s="274">
        <v>85358</v>
      </c>
      <c r="J869" s="274">
        <v>0</v>
      </c>
      <c r="K869" s="274">
        <v>0</v>
      </c>
      <c r="L869" s="274">
        <v>0</v>
      </c>
      <c r="M869" s="274">
        <v>65.3</v>
      </c>
      <c r="N869" s="396">
        <v>599.79999999999995</v>
      </c>
      <c r="O869" s="396">
        <v>39.799999999999997</v>
      </c>
      <c r="P869" s="396">
        <v>37.6</v>
      </c>
      <c r="Q869" s="397">
        <v>0.59722222222222199</v>
      </c>
      <c r="R869" s="396"/>
      <c r="S869" s="410"/>
      <c r="T869" s="409"/>
      <c r="U869" s="398" t="str">
        <f t="shared" si="38"/>
        <v/>
      </c>
      <c r="V869" s="400"/>
      <c r="W869" s="410">
        <f t="shared" si="37"/>
        <v>39.799999999999997</v>
      </c>
      <c r="X869" s="472">
        <f t="shared" si="39"/>
        <v>60</v>
      </c>
      <c r="AT869" s="232"/>
      <c r="AV869" s="198"/>
      <c r="AW869" s="274"/>
    </row>
    <row r="870" spans="2:49" x14ac:dyDescent="0.25">
      <c r="B870" s="274">
        <v>21.9</v>
      </c>
      <c r="C870" s="274">
        <v>55</v>
      </c>
      <c r="D870" s="274">
        <v>21.9</v>
      </c>
      <c r="E870" s="274">
        <v>1.1000000000000001</v>
      </c>
      <c r="F870" s="274">
        <v>1.8</v>
      </c>
      <c r="G870" s="274">
        <v>68</v>
      </c>
      <c r="H870" s="274">
        <v>1023.1</v>
      </c>
      <c r="I870" s="274">
        <v>85296</v>
      </c>
      <c r="J870" s="274">
        <v>0</v>
      </c>
      <c r="K870" s="274">
        <v>0</v>
      </c>
      <c r="L870" s="274">
        <v>0</v>
      </c>
      <c r="M870" s="274">
        <v>65.3</v>
      </c>
      <c r="N870" s="396">
        <v>599.79999999999995</v>
      </c>
      <c r="O870" s="396">
        <v>39.799999999999997</v>
      </c>
      <c r="P870" s="396">
        <v>37.6</v>
      </c>
      <c r="Q870" s="397">
        <v>0.59791666666666698</v>
      </c>
      <c r="R870" s="396"/>
      <c r="S870" s="410"/>
      <c r="T870" s="409"/>
      <c r="U870" s="398" t="str">
        <f t="shared" si="38"/>
        <v/>
      </c>
      <c r="V870" s="400"/>
      <c r="W870" s="410">
        <f t="shared" si="37"/>
        <v>39.799999999999997</v>
      </c>
      <c r="X870" s="472">
        <f t="shared" si="39"/>
        <v>60</v>
      </c>
      <c r="AT870" s="232"/>
      <c r="AV870" s="198"/>
      <c r="AW870" s="274"/>
    </row>
    <row r="871" spans="2:49" x14ac:dyDescent="0.25">
      <c r="B871" s="274">
        <v>22.1</v>
      </c>
      <c r="C871" s="274">
        <v>53</v>
      </c>
      <c r="D871" s="274">
        <v>22.1</v>
      </c>
      <c r="E871" s="274">
        <v>3.6</v>
      </c>
      <c r="F871" s="274">
        <v>3.6</v>
      </c>
      <c r="G871" s="274">
        <v>122</v>
      </c>
      <c r="H871" s="274">
        <v>1023.4</v>
      </c>
      <c r="I871" s="274">
        <v>84862</v>
      </c>
      <c r="J871" s="274">
        <v>0</v>
      </c>
      <c r="K871" s="274">
        <v>0</v>
      </c>
      <c r="L871" s="274">
        <v>0</v>
      </c>
      <c r="M871" s="274">
        <v>65.3</v>
      </c>
      <c r="N871" s="396">
        <v>599.79999999999995</v>
      </c>
      <c r="O871" s="396">
        <v>39.9</v>
      </c>
      <c r="P871" s="396">
        <v>37.6</v>
      </c>
      <c r="Q871" s="397">
        <v>0.59861111111111098</v>
      </c>
      <c r="R871" s="396"/>
      <c r="S871" s="410"/>
      <c r="T871" s="409"/>
      <c r="U871" s="398" t="str">
        <f t="shared" si="38"/>
        <v/>
      </c>
      <c r="V871" s="400"/>
      <c r="W871" s="410">
        <f t="shared" si="37"/>
        <v>39.9</v>
      </c>
      <c r="X871" s="472">
        <f t="shared" si="39"/>
        <v>60</v>
      </c>
      <c r="AT871" s="232"/>
      <c r="AV871" s="198"/>
      <c r="AW871" s="274"/>
    </row>
    <row r="872" spans="2:49" x14ac:dyDescent="0.25">
      <c r="B872" s="274">
        <v>22.2</v>
      </c>
      <c r="C872" s="274">
        <v>54</v>
      </c>
      <c r="D872" s="274">
        <v>22.2</v>
      </c>
      <c r="E872" s="274">
        <v>3.6</v>
      </c>
      <c r="F872" s="274">
        <v>5.4</v>
      </c>
      <c r="G872" s="274">
        <v>78</v>
      </c>
      <c r="H872" s="274">
        <v>1023.3</v>
      </c>
      <c r="I872" s="274">
        <v>84909</v>
      </c>
      <c r="J872" s="274">
        <v>0</v>
      </c>
      <c r="K872" s="274">
        <v>0</v>
      </c>
      <c r="L872" s="274">
        <v>0</v>
      </c>
      <c r="M872" s="274">
        <v>65.3</v>
      </c>
      <c r="N872" s="396">
        <v>599.79999999999995</v>
      </c>
      <c r="O872" s="396">
        <v>40</v>
      </c>
      <c r="P872" s="396">
        <v>37.5</v>
      </c>
      <c r="Q872" s="397">
        <v>0.59930555555555598</v>
      </c>
      <c r="R872" s="396"/>
      <c r="S872" s="410"/>
      <c r="T872" s="409"/>
      <c r="U872" s="398" t="str">
        <f t="shared" si="38"/>
        <v/>
      </c>
      <c r="V872" s="400"/>
      <c r="W872" s="410">
        <f t="shared" si="37"/>
        <v>40</v>
      </c>
      <c r="X872" s="472">
        <f t="shared" si="39"/>
        <v>60</v>
      </c>
      <c r="AT872" s="232"/>
      <c r="AV872" s="198"/>
      <c r="AW872" s="274"/>
    </row>
    <row r="873" spans="2:49" x14ac:dyDescent="0.25">
      <c r="B873" s="274">
        <v>22.2</v>
      </c>
      <c r="C873" s="274">
        <v>55</v>
      </c>
      <c r="D873" s="274">
        <v>22.2</v>
      </c>
      <c r="E873" s="274">
        <v>1.1000000000000001</v>
      </c>
      <c r="F873" s="274">
        <v>3.6</v>
      </c>
      <c r="G873" s="274">
        <v>186</v>
      </c>
      <c r="H873" s="274">
        <v>1023.3</v>
      </c>
      <c r="I873" s="274">
        <v>84366</v>
      </c>
      <c r="J873" s="274">
        <v>0</v>
      </c>
      <c r="K873" s="274">
        <v>0</v>
      </c>
      <c r="L873" s="274">
        <v>0</v>
      </c>
      <c r="M873" s="274">
        <v>65.3</v>
      </c>
      <c r="N873" s="396">
        <v>599.79999999999995</v>
      </c>
      <c r="O873" s="396">
        <v>40.1</v>
      </c>
      <c r="P873" s="396">
        <v>37.6</v>
      </c>
      <c r="Q873" s="397">
        <v>0.6</v>
      </c>
      <c r="R873" s="396"/>
      <c r="S873" s="410"/>
      <c r="T873" s="409"/>
      <c r="U873" s="398" t="str">
        <f t="shared" si="38"/>
        <v/>
      </c>
      <c r="V873" s="400"/>
      <c r="W873" s="410">
        <f t="shared" si="37"/>
        <v>40.1</v>
      </c>
      <c r="X873" s="472">
        <f t="shared" si="39"/>
        <v>60</v>
      </c>
      <c r="AT873" s="232"/>
      <c r="AV873" s="198"/>
      <c r="AW873" s="274"/>
    </row>
    <row r="874" spans="2:49" x14ac:dyDescent="0.25">
      <c r="B874" s="274">
        <v>22.2</v>
      </c>
      <c r="C874" s="274">
        <v>54</v>
      </c>
      <c r="D874" s="274">
        <v>22.2</v>
      </c>
      <c r="E874" s="274">
        <v>1.4</v>
      </c>
      <c r="F874" s="274">
        <v>1.8</v>
      </c>
      <c r="G874" s="274">
        <v>233</v>
      </c>
      <c r="H874" s="274">
        <v>1023.2</v>
      </c>
      <c r="I874" s="274">
        <v>83653</v>
      </c>
      <c r="J874" s="274">
        <v>0</v>
      </c>
      <c r="K874" s="274">
        <v>0</v>
      </c>
      <c r="L874" s="274">
        <v>0</v>
      </c>
      <c r="M874" s="274">
        <v>65.3</v>
      </c>
      <c r="N874" s="396">
        <v>599.79999999999995</v>
      </c>
      <c r="O874" s="396">
        <v>40.299999999999997</v>
      </c>
      <c r="P874" s="396">
        <v>37.6</v>
      </c>
      <c r="Q874" s="397">
        <v>0.60069444444444398</v>
      </c>
      <c r="R874" s="396"/>
      <c r="S874" s="410"/>
      <c r="T874" s="409"/>
      <c r="U874" s="398" t="str">
        <f t="shared" si="38"/>
        <v/>
      </c>
      <c r="V874" s="400"/>
      <c r="W874" s="410">
        <f t="shared" si="37"/>
        <v>40.299999999999997</v>
      </c>
      <c r="X874" s="472">
        <f t="shared" si="39"/>
        <v>60</v>
      </c>
      <c r="AT874" s="232"/>
      <c r="AV874" s="198"/>
      <c r="AW874" s="274"/>
    </row>
    <row r="875" spans="2:49" x14ac:dyDescent="0.25">
      <c r="B875" s="274">
        <v>22.5</v>
      </c>
      <c r="C875" s="274">
        <v>53</v>
      </c>
      <c r="D875" s="274">
        <v>22.5</v>
      </c>
      <c r="E875" s="274">
        <v>1.8</v>
      </c>
      <c r="F875" s="274">
        <v>3.6</v>
      </c>
      <c r="G875" s="274">
        <v>52</v>
      </c>
      <c r="H875" s="274">
        <v>1023.1</v>
      </c>
      <c r="I875" s="274">
        <v>83374</v>
      </c>
      <c r="J875" s="274">
        <v>0</v>
      </c>
      <c r="K875" s="274">
        <v>0</v>
      </c>
      <c r="L875" s="274">
        <v>0</v>
      </c>
      <c r="M875" s="274">
        <v>65.3</v>
      </c>
      <c r="N875" s="396">
        <v>599.79999999999995</v>
      </c>
      <c r="O875" s="396">
        <v>40.4</v>
      </c>
      <c r="P875" s="396">
        <v>37.700000000000003</v>
      </c>
      <c r="Q875" s="397">
        <v>0.60138888888888897</v>
      </c>
      <c r="R875" s="396"/>
      <c r="S875" s="410"/>
      <c r="T875" s="409"/>
      <c r="U875" s="398" t="str">
        <f t="shared" si="38"/>
        <v/>
      </c>
      <c r="V875" s="400"/>
      <c r="W875" s="410">
        <f t="shared" si="37"/>
        <v>40.4</v>
      </c>
      <c r="X875" s="472">
        <f t="shared" si="39"/>
        <v>60</v>
      </c>
      <c r="AT875" s="232"/>
      <c r="AV875" s="198"/>
      <c r="AW875" s="274"/>
    </row>
    <row r="876" spans="2:49" x14ac:dyDescent="0.25">
      <c r="B876" s="274">
        <v>22.5</v>
      </c>
      <c r="C876" s="274">
        <v>52</v>
      </c>
      <c r="D876" s="274">
        <v>22.5</v>
      </c>
      <c r="E876" s="274">
        <v>5</v>
      </c>
      <c r="F876" s="274">
        <v>5.4</v>
      </c>
      <c r="G876" s="274">
        <v>112</v>
      </c>
      <c r="H876" s="274">
        <v>1023.3</v>
      </c>
      <c r="I876" s="274">
        <v>84025</v>
      </c>
      <c r="J876" s="274">
        <v>0</v>
      </c>
      <c r="K876" s="274">
        <v>0</v>
      </c>
      <c r="L876" s="274">
        <v>0</v>
      </c>
      <c r="M876" s="274">
        <v>65.3</v>
      </c>
      <c r="N876" s="396">
        <v>599.79999999999995</v>
      </c>
      <c r="O876" s="396">
        <v>40.6</v>
      </c>
      <c r="P876" s="396">
        <v>37.700000000000003</v>
      </c>
      <c r="Q876" s="397">
        <v>0.60208333333333297</v>
      </c>
      <c r="R876" s="396"/>
      <c r="S876" s="410"/>
      <c r="T876" s="409"/>
      <c r="U876" s="398" t="str">
        <f t="shared" si="38"/>
        <v/>
      </c>
      <c r="V876" s="400"/>
      <c r="W876" s="410">
        <f t="shared" si="37"/>
        <v>40.6</v>
      </c>
      <c r="X876" s="472">
        <f t="shared" si="39"/>
        <v>60</v>
      </c>
      <c r="AT876" s="232"/>
      <c r="AV876" s="198"/>
      <c r="AW876" s="274"/>
    </row>
    <row r="877" spans="2:49" x14ac:dyDescent="0.25">
      <c r="B877" s="274">
        <v>22.3</v>
      </c>
      <c r="C877" s="274">
        <v>52</v>
      </c>
      <c r="D877" s="274">
        <v>22.3</v>
      </c>
      <c r="E877" s="274">
        <v>0</v>
      </c>
      <c r="F877" s="274">
        <v>0</v>
      </c>
      <c r="G877" s="274">
        <v>102</v>
      </c>
      <c r="H877" s="274">
        <v>1023.3</v>
      </c>
      <c r="I877" s="274">
        <v>84025</v>
      </c>
      <c r="J877" s="274">
        <v>0</v>
      </c>
      <c r="K877" s="274">
        <v>0</v>
      </c>
      <c r="L877" s="274">
        <v>0</v>
      </c>
      <c r="M877" s="274">
        <v>65.3</v>
      </c>
      <c r="N877" s="396">
        <v>599.79999999999995</v>
      </c>
      <c r="O877" s="396">
        <v>40.6</v>
      </c>
      <c r="P877" s="396">
        <v>37.700000000000003</v>
      </c>
      <c r="Q877" s="397">
        <v>0.60277777777777797</v>
      </c>
      <c r="R877" s="396"/>
      <c r="S877" s="410"/>
      <c r="T877" s="409"/>
      <c r="U877" s="398" t="str">
        <f t="shared" si="38"/>
        <v/>
      </c>
      <c r="V877" s="400"/>
      <c r="W877" s="410">
        <f t="shared" si="37"/>
        <v>40.6</v>
      </c>
      <c r="X877" s="472">
        <f t="shared" si="39"/>
        <v>60</v>
      </c>
      <c r="AT877" s="232"/>
      <c r="AV877" s="198"/>
      <c r="AW877" s="274"/>
    </row>
    <row r="878" spans="2:49" x14ac:dyDescent="0.25">
      <c r="B878" s="274">
        <v>22.3</v>
      </c>
      <c r="C878" s="274">
        <v>52</v>
      </c>
      <c r="D878" s="274">
        <v>22.3</v>
      </c>
      <c r="E878" s="274">
        <v>2.9</v>
      </c>
      <c r="F878" s="274">
        <v>3.6</v>
      </c>
      <c r="G878" s="274">
        <v>143</v>
      </c>
      <c r="H878" s="274">
        <v>1023.2</v>
      </c>
      <c r="I878" s="274">
        <v>83762</v>
      </c>
      <c r="J878" s="274">
        <v>0</v>
      </c>
      <c r="K878" s="274">
        <v>0</v>
      </c>
      <c r="L878" s="274">
        <v>0</v>
      </c>
      <c r="M878" s="274">
        <v>65.3</v>
      </c>
      <c r="N878" s="396">
        <v>599.79999999999995</v>
      </c>
      <c r="O878" s="396">
        <v>40.700000000000003</v>
      </c>
      <c r="P878" s="396">
        <v>37.700000000000003</v>
      </c>
      <c r="Q878" s="397">
        <v>0.60347222222222197</v>
      </c>
      <c r="R878" s="396"/>
      <c r="S878" s="410"/>
      <c r="T878" s="409"/>
      <c r="U878" s="398" t="str">
        <f t="shared" si="38"/>
        <v/>
      </c>
      <c r="V878" s="400"/>
      <c r="W878" s="410">
        <f t="shared" si="37"/>
        <v>40.700000000000003</v>
      </c>
      <c r="X878" s="472">
        <f t="shared" si="39"/>
        <v>60</v>
      </c>
      <c r="AT878" s="232"/>
      <c r="AV878" s="198"/>
      <c r="AW878" s="274"/>
    </row>
    <row r="879" spans="2:49" x14ac:dyDescent="0.25">
      <c r="B879" s="274">
        <v>22.3</v>
      </c>
      <c r="C879" s="274">
        <v>52</v>
      </c>
      <c r="D879" s="274">
        <v>22.3</v>
      </c>
      <c r="E879" s="274">
        <v>4</v>
      </c>
      <c r="F879" s="274">
        <v>5.4</v>
      </c>
      <c r="G879" s="274">
        <v>115</v>
      </c>
      <c r="H879" s="274">
        <v>1023.2</v>
      </c>
      <c r="I879" s="274">
        <v>83591</v>
      </c>
      <c r="J879" s="274">
        <v>0</v>
      </c>
      <c r="K879" s="274">
        <v>0</v>
      </c>
      <c r="L879" s="274">
        <v>0</v>
      </c>
      <c r="M879" s="274">
        <v>65.3</v>
      </c>
      <c r="N879" s="396">
        <v>599.79999999999995</v>
      </c>
      <c r="O879" s="396">
        <v>40.799999999999997</v>
      </c>
      <c r="P879" s="396">
        <v>37.799999999999997</v>
      </c>
      <c r="Q879" s="397">
        <v>0.60416666666666696</v>
      </c>
      <c r="R879" s="396"/>
      <c r="S879" s="410"/>
      <c r="T879" s="409"/>
      <c r="U879" s="398" t="str">
        <f t="shared" si="38"/>
        <v/>
      </c>
      <c r="V879" s="400"/>
      <c r="W879" s="410">
        <f t="shared" si="37"/>
        <v>40.799999999999997</v>
      </c>
      <c r="X879" s="472">
        <f t="shared" si="39"/>
        <v>60</v>
      </c>
      <c r="AT879" s="232"/>
      <c r="AV879" s="198"/>
      <c r="AW879" s="274"/>
    </row>
    <row r="880" spans="2:49" x14ac:dyDescent="0.25">
      <c r="B880" s="274">
        <v>22.3</v>
      </c>
      <c r="C880" s="274">
        <v>52</v>
      </c>
      <c r="D880" s="274">
        <v>22.3</v>
      </c>
      <c r="E880" s="274">
        <v>2.2000000000000002</v>
      </c>
      <c r="F880" s="274">
        <v>3.6</v>
      </c>
      <c r="G880" s="274">
        <v>264</v>
      </c>
      <c r="H880" s="274">
        <v>1023.3</v>
      </c>
      <c r="I880" s="274">
        <v>84196</v>
      </c>
      <c r="J880" s="274">
        <v>0</v>
      </c>
      <c r="K880" s="274">
        <v>0</v>
      </c>
      <c r="L880" s="274">
        <v>0</v>
      </c>
      <c r="M880" s="274">
        <v>65.3</v>
      </c>
      <c r="N880" s="396">
        <v>599.79999999999995</v>
      </c>
      <c r="O880" s="396">
        <v>40.799999999999997</v>
      </c>
      <c r="P880" s="396">
        <v>37.799999999999997</v>
      </c>
      <c r="Q880" s="397">
        <v>0.60486111111111096</v>
      </c>
      <c r="R880" s="396"/>
      <c r="S880" s="410"/>
      <c r="T880" s="409"/>
      <c r="U880" s="398" t="str">
        <f t="shared" si="38"/>
        <v/>
      </c>
      <c r="V880" s="400"/>
      <c r="W880" s="410">
        <f t="shared" si="37"/>
        <v>40.799999999999997</v>
      </c>
      <c r="X880" s="472">
        <f t="shared" si="39"/>
        <v>60</v>
      </c>
      <c r="AT880" s="232"/>
      <c r="AV880" s="198"/>
      <c r="AW880" s="274"/>
    </row>
    <row r="881" spans="2:49" x14ac:dyDescent="0.25">
      <c r="B881" s="274">
        <v>22.3</v>
      </c>
      <c r="C881" s="274">
        <v>51</v>
      </c>
      <c r="D881" s="274">
        <v>22.3</v>
      </c>
      <c r="E881" s="274">
        <v>0.7</v>
      </c>
      <c r="F881" s="274">
        <v>1.8</v>
      </c>
      <c r="G881" s="274">
        <v>173</v>
      </c>
      <c r="H881" s="274">
        <v>1023.1</v>
      </c>
      <c r="I881" s="274">
        <v>84304</v>
      </c>
      <c r="J881" s="274">
        <v>0</v>
      </c>
      <c r="K881" s="274">
        <v>0</v>
      </c>
      <c r="L881" s="274">
        <v>0</v>
      </c>
      <c r="M881" s="274">
        <v>65.3</v>
      </c>
      <c r="N881" s="396">
        <v>599.79999999999995</v>
      </c>
      <c r="O881" s="396">
        <v>40.799999999999997</v>
      </c>
      <c r="P881" s="396">
        <v>37.799999999999997</v>
      </c>
      <c r="Q881" s="397">
        <v>0.60555555555555596</v>
      </c>
      <c r="R881" s="396"/>
      <c r="S881" s="410"/>
      <c r="T881" s="409"/>
      <c r="U881" s="398" t="str">
        <f t="shared" si="38"/>
        <v/>
      </c>
      <c r="V881" s="400"/>
      <c r="W881" s="410">
        <f t="shared" si="37"/>
        <v>40.799999999999997</v>
      </c>
      <c r="X881" s="472">
        <f t="shared" si="39"/>
        <v>60</v>
      </c>
      <c r="AT881" s="232"/>
      <c r="AV881" s="198"/>
      <c r="AW881" s="274"/>
    </row>
    <row r="882" spans="2:49" x14ac:dyDescent="0.25">
      <c r="B882" s="274">
        <v>22.4</v>
      </c>
      <c r="C882" s="274">
        <v>52</v>
      </c>
      <c r="D882" s="274">
        <v>22.4</v>
      </c>
      <c r="E882" s="274">
        <v>3.2</v>
      </c>
      <c r="F882" s="274">
        <v>5.4</v>
      </c>
      <c r="G882" s="274">
        <v>104</v>
      </c>
      <c r="H882" s="274">
        <v>1023.4</v>
      </c>
      <c r="I882" s="274">
        <v>84196</v>
      </c>
      <c r="J882" s="274">
        <v>0</v>
      </c>
      <c r="K882" s="274">
        <v>0</v>
      </c>
      <c r="L882" s="274">
        <v>0</v>
      </c>
      <c r="M882" s="274">
        <v>65.3</v>
      </c>
      <c r="N882" s="396">
        <v>599.79999999999995</v>
      </c>
      <c r="O882" s="396">
        <v>40.9</v>
      </c>
      <c r="P882" s="396">
        <v>37.9</v>
      </c>
      <c r="Q882" s="397">
        <v>0.60624999999999996</v>
      </c>
      <c r="R882" s="396"/>
      <c r="S882" s="410"/>
      <c r="T882" s="409"/>
      <c r="U882" s="398" t="str">
        <f t="shared" si="38"/>
        <v/>
      </c>
      <c r="V882" s="400"/>
      <c r="W882" s="410">
        <f t="shared" ref="W882:W945" si="40">MAX(O882:P882)</f>
        <v>40.9</v>
      </c>
      <c r="X882" s="472">
        <f t="shared" si="39"/>
        <v>60</v>
      </c>
      <c r="AT882" s="232"/>
      <c r="AV882" s="198"/>
      <c r="AW882" s="274"/>
    </row>
    <row r="883" spans="2:49" x14ac:dyDescent="0.25">
      <c r="B883" s="274">
        <v>22.6</v>
      </c>
      <c r="C883" s="274">
        <v>52</v>
      </c>
      <c r="D883" s="274">
        <v>22.6</v>
      </c>
      <c r="E883" s="274">
        <v>2.2000000000000002</v>
      </c>
      <c r="F883" s="274">
        <v>3.6</v>
      </c>
      <c r="G883" s="274">
        <v>100</v>
      </c>
      <c r="H883" s="274">
        <v>1023.2</v>
      </c>
      <c r="I883" s="274">
        <v>83653</v>
      </c>
      <c r="J883" s="274">
        <v>0</v>
      </c>
      <c r="K883" s="274">
        <v>0</v>
      </c>
      <c r="L883" s="274">
        <v>0</v>
      </c>
      <c r="M883" s="274">
        <v>65.3</v>
      </c>
      <c r="N883" s="396">
        <v>599.79999999999995</v>
      </c>
      <c r="O883" s="396">
        <v>41</v>
      </c>
      <c r="P883" s="396">
        <v>37.9</v>
      </c>
      <c r="Q883" s="397">
        <v>0.60694444444444495</v>
      </c>
      <c r="R883" s="396"/>
      <c r="S883" s="410"/>
      <c r="T883" s="409"/>
      <c r="U883" s="398" t="str">
        <f t="shared" si="38"/>
        <v/>
      </c>
      <c r="V883" s="400"/>
      <c r="W883" s="410">
        <f t="shared" si="40"/>
        <v>41</v>
      </c>
      <c r="X883" s="472">
        <f t="shared" si="39"/>
        <v>60</v>
      </c>
      <c r="AT883" s="232"/>
      <c r="AV883" s="198"/>
      <c r="AW883" s="274"/>
    </row>
    <row r="884" spans="2:49" x14ac:dyDescent="0.25">
      <c r="B884" s="274">
        <v>22.5</v>
      </c>
      <c r="C884" s="274">
        <v>52</v>
      </c>
      <c r="D884" s="274">
        <v>22.5</v>
      </c>
      <c r="E884" s="274">
        <v>7.6</v>
      </c>
      <c r="F884" s="274">
        <v>9.4</v>
      </c>
      <c r="G884" s="274">
        <v>93</v>
      </c>
      <c r="H884" s="274">
        <v>1023.2</v>
      </c>
      <c r="I884" s="274">
        <v>83266</v>
      </c>
      <c r="J884" s="274">
        <v>0</v>
      </c>
      <c r="K884" s="274">
        <v>0</v>
      </c>
      <c r="L884" s="274">
        <v>0</v>
      </c>
      <c r="M884" s="274">
        <v>65.3</v>
      </c>
      <c r="N884" s="396">
        <v>599.79999999999995</v>
      </c>
      <c r="O884" s="396">
        <v>41.1</v>
      </c>
      <c r="P884" s="396">
        <v>38</v>
      </c>
      <c r="Q884" s="397">
        <v>0.60763888888888895</v>
      </c>
      <c r="R884" s="396"/>
      <c r="S884" s="410"/>
      <c r="T884" s="409"/>
      <c r="U884" s="398" t="str">
        <f t="shared" si="38"/>
        <v/>
      </c>
      <c r="V884" s="400"/>
      <c r="W884" s="410">
        <f t="shared" si="40"/>
        <v>41.1</v>
      </c>
      <c r="X884" s="472">
        <f t="shared" si="39"/>
        <v>60</v>
      </c>
      <c r="AT884" s="232"/>
      <c r="AV884" s="198"/>
      <c r="AW884" s="274"/>
    </row>
    <row r="885" spans="2:49" x14ac:dyDescent="0.25">
      <c r="B885" s="274">
        <v>22.3</v>
      </c>
      <c r="C885" s="274">
        <v>54</v>
      </c>
      <c r="D885" s="274">
        <v>22.3</v>
      </c>
      <c r="E885" s="274">
        <v>4.3</v>
      </c>
      <c r="F885" s="274">
        <v>5.4</v>
      </c>
      <c r="G885" s="274">
        <v>161</v>
      </c>
      <c r="H885" s="274">
        <v>1023.2</v>
      </c>
      <c r="I885" s="274">
        <v>82708</v>
      </c>
      <c r="J885" s="274">
        <v>0</v>
      </c>
      <c r="K885" s="274">
        <v>0</v>
      </c>
      <c r="L885" s="274">
        <v>0</v>
      </c>
      <c r="M885" s="274">
        <v>65.3</v>
      </c>
      <c r="N885" s="396">
        <v>599.79999999999995</v>
      </c>
      <c r="O885" s="396">
        <v>41.1</v>
      </c>
      <c r="P885" s="396">
        <v>37.9</v>
      </c>
      <c r="Q885" s="397">
        <v>0.60833333333333295</v>
      </c>
      <c r="R885" s="396"/>
      <c r="S885" s="410"/>
      <c r="T885" s="409"/>
      <c r="U885" s="398" t="str">
        <f t="shared" si="38"/>
        <v/>
      </c>
      <c r="V885" s="400"/>
      <c r="W885" s="410">
        <f t="shared" si="40"/>
        <v>41.1</v>
      </c>
      <c r="X885" s="472">
        <f t="shared" si="39"/>
        <v>60</v>
      </c>
      <c r="AT885" s="232"/>
      <c r="AV885" s="198"/>
      <c r="AW885" s="274"/>
    </row>
    <row r="886" spans="2:49" x14ac:dyDescent="0.25">
      <c r="B886" s="274">
        <v>22</v>
      </c>
      <c r="C886" s="274">
        <v>54</v>
      </c>
      <c r="D886" s="274">
        <v>22</v>
      </c>
      <c r="E886" s="274">
        <v>3.2</v>
      </c>
      <c r="F886" s="274">
        <v>5.4</v>
      </c>
      <c r="G886" s="274">
        <v>68</v>
      </c>
      <c r="H886" s="274">
        <v>1023.1</v>
      </c>
      <c r="I886" s="274">
        <v>82816</v>
      </c>
      <c r="J886" s="274">
        <v>0</v>
      </c>
      <c r="K886" s="274">
        <v>0</v>
      </c>
      <c r="L886" s="274">
        <v>0</v>
      </c>
      <c r="M886" s="274">
        <v>65.3</v>
      </c>
      <c r="N886" s="396">
        <v>599.79999999999995</v>
      </c>
      <c r="O886" s="396">
        <v>41.1</v>
      </c>
      <c r="P886" s="396">
        <v>37.9</v>
      </c>
      <c r="Q886" s="397">
        <v>0.60902777777777795</v>
      </c>
      <c r="R886" s="396"/>
      <c r="S886" s="410"/>
      <c r="T886" s="409"/>
      <c r="U886" s="398" t="str">
        <f t="shared" si="38"/>
        <v/>
      </c>
      <c r="V886" s="400"/>
      <c r="W886" s="410">
        <f t="shared" si="40"/>
        <v>41.1</v>
      </c>
      <c r="X886" s="472">
        <f t="shared" si="39"/>
        <v>60</v>
      </c>
      <c r="AT886" s="232"/>
      <c r="AV886" s="198"/>
      <c r="AW886" s="274"/>
    </row>
    <row r="887" spans="2:49" x14ac:dyDescent="0.25">
      <c r="B887" s="274">
        <v>22</v>
      </c>
      <c r="C887" s="274">
        <v>52</v>
      </c>
      <c r="D887" s="274">
        <v>22</v>
      </c>
      <c r="E887" s="274">
        <v>7.2</v>
      </c>
      <c r="F887" s="274">
        <v>11.2</v>
      </c>
      <c r="G887" s="274">
        <v>124</v>
      </c>
      <c r="H887" s="274">
        <v>1023.1</v>
      </c>
      <c r="I887" s="274">
        <v>82382</v>
      </c>
      <c r="J887" s="274">
        <v>0</v>
      </c>
      <c r="K887" s="274">
        <v>0</v>
      </c>
      <c r="L887" s="274">
        <v>0</v>
      </c>
      <c r="M887" s="274">
        <v>65.3</v>
      </c>
      <c r="N887" s="396">
        <v>599.79999999999995</v>
      </c>
      <c r="O887" s="396">
        <v>41</v>
      </c>
      <c r="P887" s="396">
        <v>37.799999999999997</v>
      </c>
      <c r="Q887" s="397">
        <v>0.60972222222222205</v>
      </c>
      <c r="R887" s="396"/>
      <c r="S887" s="410"/>
      <c r="T887" s="409"/>
      <c r="U887" s="398" t="str">
        <f t="shared" si="38"/>
        <v/>
      </c>
      <c r="V887" s="400"/>
      <c r="W887" s="410">
        <f t="shared" si="40"/>
        <v>41</v>
      </c>
      <c r="X887" s="472">
        <f t="shared" si="39"/>
        <v>60</v>
      </c>
      <c r="AT887" s="232"/>
      <c r="AV887" s="198"/>
      <c r="AW887" s="274"/>
    </row>
    <row r="888" spans="2:49" x14ac:dyDescent="0.25">
      <c r="B888" s="274">
        <v>22.1</v>
      </c>
      <c r="C888" s="274">
        <v>52</v>
      </c>
      <c r="D888" s="274">
        <v>22.1</v>
      </c>
      <c r="E888" s="274">
        <v>6.5</v>
      </c>
      <c r="F888" s="274">
        <v>7.2</v>
      </c>
      <c r="G888" s="274">
        <v>96</v>
      </c>
      <c r="H888" s="274">
        <v>1023</v>
      </c>
      <c r="I888" s="274">
        <v>82661</v>
      </c>
      <c r="J888" s="274">
        <v>0</v>
      </c>
      <c r="K888" s="274">
        <v>0</v>
      </c>
      <c r="L888" s="274">
        <v>0</v>
      </c>
      <c r="M888" s="274">
        <v>65.3</v>
      </c>
      <c r="N888" s="396">
        <v>599.79999999999995</v>
      </c>
      <c r="O888" s="396">
        <v>41</v>
      </c>
      <c r="P888" s="396">
        <v>37.9</v>
      </c>
      <c r="Q888" s="397">
        <v>0.61041666666666705</v>
      </c>
      <c r="R888" s="396"/>
      <c r="S888" s="410"/>
      <c r="T888" s="409"/>
      <c r="U888" s="398" t="str">
        <f t="shared" si="38"/>
        <v/>
      </c>
      <c r="V888" s="400"/>
      <c r="W888" s="410">
        <f t="shared" si="40"/>
        <v>41</v>
      </c>
      <c r="X888" s="472">
        <f t="shared" si="39"/>
        <v>60</v>
      </c>
      <c r="AT888" s="232"/>
      <c r="AV888" s="198"/>
      <c r="AW888" s="274"/>
    </row>
    <row r="889" spans="2:49" x14ac:dyDescent="0.25">
      <c r="B889" s="274">
        <v>22.1</v>
      </c>
      <c r="C889" s="274">
        <v>54</v>
      </c>
      <c r="D889" s="274">
        <v>22.1</v>
      </c>
      <c r="E889" s="274">
        <v>0.4</v>
      </c>
      <c r="F889" s="274">
        <v>1.8</v>
      </c>
      <c r="G889" s="274">
        <v>208</v>
      </c>
      <c r="H889" s="274">
        <v>1023</v>
      </c>
      <c r="I889" s="274">
        <v>82553</v>
      </c>
      <c r="J889" s="274">
        <v>0</v>
      </c>
      <c r="K889" s="274">
        <v>0</v>
      </c>
      <c r="L889" s="274">
        <v>0</v>
      </c>
      <c r="M889" s="274">
        <v>65.3</v>
      </c>
      <c r="N889" s="396">
        <v>599.79999999999995</v>
      </c>
      <c r="O889" s="396">
        <v>40.9</v>
      </c>
      <c r="P889" s="396">
        <v>37.9</v>
      </c>
      <c r="Q889" s="397">
        <v>0.61111111111111105</v>
      </c>
      <c r="R889" s="396"/>
      <c r="S889" s="410"/>
      <c r="T889" s="409"/>
      <c r="U889" s="398" t="str">
        <f t="shared" si="38"/>
        <v/>
      </c>
      <c r="V889" s="400"/>
      <c r="W889" s="410">
        <f t="shared" si="40"/>
        <v>40.9</v>
      </c>
      <c r="X889" s="472">
        <f t="shared" si="39"/>
        <v>60</v>
      </c>
      <c r="AT889" s="232"/>
      <c r="AV889" s="198"/>
      <c r="AW889" s="274"/>
    </row>
    <row r="890" spans="2:49" x14ac:dyDescent="0.25">
      <c r="B890" s="274">
        <v>22.1</v>
      </c>
      <c r="C890" s="274">
        <v>52</v>
      </c>
      <c r="D890" s="274">
        <v>22.1</v>
      </c>
      <c r="E890" s="274">
        <v>3.6</v>
      </c>
      <c r="F890" s="274">
        <v>5.4</v>
      </c>
      <c r="G890" s="274">
        <v>102</v>
      </c>
      <c r="H890" s="274">
        <v>1023.2</v>
      </c>
      <c r="I890" s="274">
        <v>82770</v>
      </c>
      <c r="J890" s="274">
        <v>0</v>
      </c>
      <c r="K890" s="274">
        <v>0</v>
      </c>
      <c r="L890" s="274">
        <v>0</v>
      </c>
      <c r="M890" s="274">
        <v>65.3</v>
      </c>
      <c r="N890" s="396">
        <v>599.79999999999995</v>
      </c>
      <c r="O890" s="396">
        <v>40.799999999999997</v>
      </c>
      <c r="P890" s="396">
        <v>37.9</v>
      </c>
      <c r="Q890" s="397">
        <v>0.61180555555555605</v>
      </c>
      <c r="R890" s="396"/>
      <c r="S890" s="410"/>
      <c r="T890" s="409"/>
      <c r="U890" s="398" t="str">
        <f t="shared" si="38"/>
        <v/>
      </c>
      <c r="V890" s="400"/>
      <c r="W890" s="410">
        <f t="shared" si="40"/>
        <v>40.799999999999997</v>
      </c>
      <c r="X890" s="472">
        <f t="shared" si="39"/>
        <v>60</v>
      </c>
      <c r="AT890" s="232"/>
      <c r="AV890" s="198"/>
      <c r="AW890" s="274"/>
    </row>
    <row r="891" spans="2:49" x14ac:dyDescent="0.25">
      <c r="B891" s="274">
        <v>22</v>
      </c>
      <c r="C891" s="274">
        <v>52</v>
      </c>
      <c r="D891" s="274">
        <v>22</v>
      </c>
      <c r="E891" s="274">
        <v>0.4</v>
      </c>
      <c r="F891" s="274">
        <v>1.8</v>
      </c>
      <c r="G891" s="274">
        <v>108</v>
      </c>
      <c r="H891" s="274">
        <v>1023.2</v>
      </c>
      <c r="I891" s="274">
        <v>82708</v>
      </c>
      <c r="J891" s="274">
        <v>0</v>
      </c>
      <c r="K891" s="274">
        <v>0</v>
      </c>
      <c r="L891" s="274">
        <v>0</v>
      </c>
      <c r="M891" s="274">
        <v>65.3</v>
      </c>
      <c r="N891" s="396">
        <v>599.79999999999995</v>
      </c>
      <c r="O891" s="396">
        <v>40.799999999999997</v>
      </c>
      <c r="P891" s="396">
        <v>37.9</v>
      </c>
      <c r="Q891" s="397">
        <v>0.61250000000000004</v>
      </c>
      <c r="R891" s="396"/>
      <c r="S891" s="410"/>
      <c r="T891" s="409"/>
      <c r="U891" s="398" t="str">
        <f t="shared" si="38"/>
        <v/>
      </c>
      <c r="V891" s="400"/>
      <c r="W891" s="410">
        <f t="shared" si="40"/>
        <v>40.799999999999997</v>
      </c>
      <c r="X891" s="472">
        <f t="shared" si="39"/>
        <v>60</v>
      </c>
      <c r="AT891" s="232"/>
      <c r="AV891" s="198"/>
      <c r="AW891" s="274"/>
    </row>
    <row r="892" spans="2:49" x14ac:dyDescent="0.25">
      <c r="B892" s="274">
        <v>22.2</v>
      </c>
      <c r="C892" s="274">
        <v>52</v>
      </c>
      <c r="D892" s="274">
        <v>22.2</v>
      </c>
      <c r="E892" s="274">
        <v>1.4</v>
      </c>
      <c r="F892" s="274">
        <v>3.6</v>
      </c>
      <c r="G892" s="274">
        <v>94</v>
      </c>
      <c r="H892" s="274">
        <v>1023.1</v>
      </c>
      <c r="I892" s="274">
        <v>83049</v>
      </c>
      <c r="J892" s="274">
        <v>0</v>
      </c>
      <c r="K892" s="274">
        <v>0</v>
      </c>
      <c r="L892" s="274">
        <v>0</v>
      </c>
      <c r="M892" s="274">
        <v>65.3</v>
      </c>
      <c r="N892" s="396">
        <v>599.79999999999995</v>
      </c>
      <c r="O892" s="396">
        <v>40.799999999999997</v>
      </c>
      <c r="P892" s="396">
        <v>38</v>
      </c>
      <c r="Q892" s="397">
        <v>0.61319444444444404</v>
      </c>
      <c r="R892" s="396"/>
      <c r="S892" s="410"/>
      <c r="T892" s="409"/>
      <c r="U892" s="398" t="str">
        <f t="shared" si="38"/>
        <v/>
      </c>
      <c r="V892" s="400"/>
      <c r="W892" s="410">
        <f t="shared" si="40"/>
        <v>40.799999999999997</v>
      </c>
      <c r="X892" s="472">
        <f t="shared" si="39"/>
        <v>60</v>
      </c>
      <c r="AT892" s="232"/>
      <c r="AV892" s="198"/>
      <c r="AW892" s="274"/>
    </row>
    <row r="893" spans="2:49" x14ac:dyDescent="0.25">
      <c r="B893" s="274">
        <v>22.2</v>
      </c>
      <c r="C893" s="274">
        <v>51</v>
      </c>
      <c r="D893" s="274">
        <v>22.2</v>
      </c>
      <c r="E893" s="274">
        <v>4</v>
      </c>
      <c r="F893" s="274">
        <v>5.4</v>
      </c>
      <c r="G893" s="274">
        <v>98</v>
      </c>
      <c r="H893" s="274">
        <v>1023.1</v>
      </c>
      <c r="I893" s="274">
        <v>82770</v>
      </c>
      <c r="J893" s="274">
        <v>0</v>
      </c>
      <c r="K893" s="274">
        <v>0</v>
      </c>
      <c r="L893" s="274">
        <v>0</v>
      </c>
      <c r="M893" s="274">
        <v>65.3</v>
      </c>
      <c r="N893" s="396">
        <v>599.79999999999995</v>
      </c>
      <c r="O893" s="396">
        <v>40.799999999999997</v>
      </c>
      <c r="P893" s="396">
        <v>38.1</v>
      </c>
      <c r="Q893" s="397">
        <v>0.61388888888888904</v>
      </c>
      <c r="R893" s="396"/>
      <c r="S893" s="410"/>
      <c r="T893" s="409"/>
      <c r="U893" s="398" t="str">
        <f t="shared" si="38"/>
        <v/>
      </c>
      <c r="V893" s="400"/>
      <c r="W893" s="410">
        <f t="shared" si="40"/>
        <v>40.799999999999997</v>
      </c>
      <c r="X893" s="472">
        <f t="shared" si="39"/>
        <v>60</v>
      </c>
      <c r="AT893" s="232"/>
      <c r="AV893" s="198"/>
      <c r="AW893" s="274"/>
    </row>
    <row r="894" spans="2:49" x14ac:dyDescent="0.25">
      <c r="B894" s="274">
        <v>22.2</v>
      </c>
      <c r="C894" s="274">
        <v>51</v>
      </c>
      <c r="D894" s="274">
        <v>22.2</v>
      </c>
      <c r="E894" s="274">
        <v>4</v>
      </c>
      <c r="F894" s="274">
        <v>5.4</v>
      </c>
      <c r="G894" s="274">
        <v>58</v>
      </c>
      <c r="H894" s="274">
        <v>1023.1</v>
      </c>
      <c r="I894" s="274">
        <v>82382</v>
      </c>
      <c r="J894" s="274">
        <v>0</v>
      </c>
      <c r="K894" s="274">
        <v>0</v>
      </c>
      <c r="L894" s="274">
        <v>0</v>
      </c>
      <c r="M894" s="274">
        <v>65.3</v>
      </c>
      <c r="N894" s="396">
        <v>599.79999999999995</v>
      </c>
      <c r="O894" s="396">
        <v>40.9</v>
      </c>
      <c r="P894" s="396">
        <v>38.200000000000003</v>
      </c>
      <c r="Q894" s="397">
        <v>0.61458333333333304</v>
      </c>
      <c r="R894" s="396"/>
      <c r="S894" s="410"/>
      <c r="T894" s="409"/>
      <c r="U894" s="398" t="str">
        <f t="shared" si="38"/>
        <v/>
      </c>
      <c r="V894" s="400"/>
      <c r="W894" s="410">
        <f t="shared" si="40"/>
        <v>40.9</v>
      </c>
      <c r="X894" s="472">
        <f t="shared" si="39"/>
        <v>60</v>
      </c>
      <c r="AT894" s="232"/>
      <c r="AV894" s="198"/>
      <c r="AW894" s="274"/>
    </row>
    <row r="895" spans="2:49" x14ac:dyDescent="0.25">
      <c r="B895" s="274">
        <v>22.1</v>
      </c>
      <c r="C895" s="274">
        <v>53</v>
      </c>
      <c r="D895" s="274">
        <v>22.1</v>
      </c>
      <c r="E895" s="274">
        <v>3.2</v>
      </c>
      <c r="F895" s="274">
        <v>5.4</v>
      </c>
      <c r="G895" s="274">
        <v>114</v>
      </c>
      <c r="H895" s="274">
        <v>1023</v>
      </c>
      <c r="I895" s="274">
        <v>81886</v>
      </c>
      <c r="J895" s="274">
        <v>0</v>
      </c>
      <c r="K895" s="274">
        <v>0</v>
      </c>
      <c r="L895" s="274">
        <v>0</v>
      </c>
      <c r="M895" s="274">
        <v>65.3</v>
      </c>
      <c r="N895" s="396">
        <v>599.79999999999995</v>
      </c>
      <c r="O895" s="396">
        <v>41</v>
      </c>
      <c r="P895" s="396">
        <v>38.299999999999997</v>
      </c>
      <c r="Q895" s="397">
        <v>0.61527777777777803</v>
      </c>
      <c r="R895" s="396"/>
      <c r="S895" s="410"/>
      <c r="T895" s="409"/>
      <c r="U895" s="398" t="str">
        <f t="shared" si="38"/>
        <v/>
      </c>
      <c r="V895" s="400"/>
      <c r="W895" s="410">
        <f t="shared" si="40"/>
        <v>41</v>
      </c>
      <c r="X895" s="472">
        <f t="shared" si="39"/>
        <v>60</v>
      </c>
      <c r="AT895" s="232"/>
      <c r="AV895" s="198"/>
      <c r="AW895" s="274"/>
    </row>
    <row r="896" spans="2:49" x14ac:dyDescent="0.25">
      <c r="B896" s="274">
        <v>22</v>
      </c>
      <c r="C896" s="274">
        <v>52</v>
      </c>
      <c r="D896" s="274">
        <v>22</v>
      </c>
      <c r="E896" s="274">
        <v>5</v>
      </c>
      <c r="F896" s="274">
        <v>7.2</v>
      </c>
      <c r="G896" s="274">
        <v>148</v>
      </c>
      <c r="H896" s="274">
        <v>1023</v>
      </c>
      <c r="I896" s="274">
        <v>82103</v>
      </c>
      <c r="J896" s="274">
        <v>0</v>
      </c>
      <c r="K896" s="274">
        <v>0</v>
      </c>
      <c r="L896" s="274">
        <v>0</v>
      </c>
      <c r="M896" s="274">
        <v>65.3</v>
      </c>
      <c r="N896" s="396">
        <v>599.79999999999995</v>
      </c>
      <c r="O896" s="396">
        <v>41</v>
      </c>
      <c r="P896" s="396">
        <v>38.299999999999997</v>
      </c>
      <c r="Q896" s="397">
        <v>0.61597222222222203</v>
      </c>
      <c r="R896" s="396"/>
      <c r="S896" s="410"/>
      <c r="T896" s="409"/>
      <c r="U896" s="398" t="str">
        <f t="shared" si="38"/>
        <v/>
      </c>
      <c r="V896" s="400"/>
      <c r="W896" s="410">
        <f t="shared" si="40"/>
        <v>41</v>
      </c>
      <c r="X896" s="472">
        <f t="shared" si="39"/>
        <v>60</v>
      </c>
      <c r="AT896" s="232"/>
      <c r="AV896" s="198"/>
      <c r="AW896" s="274"/>
    </row>
    <row r="897" spans="2:49" x14ac:dyDescent="0.25">
      <c r="B897" s="274">
        <v>22</v>
      </c>
      <c r="C897" s="274">
        <v>52</v>
      </c>
      <c r="D897" s="274">
        <v>22</v>
      </c>
      <c r="E897" s="274">
        <v>3.6</v>
      </c>
      <c r="F897" s="274">
        <v>3.6</v>
      </c>
      <c r="G897" s="274">
        <v>230</v>
      </c>
      <c r="H897" s="274">
        <v>1023.1</v>
      </c>
      <c r="I897" s="274">
        <v>82382</v>
      </c>
      <c r="J897" s="274">
        <v>0</v>
      </c>
      <c r="K897" s="274">
        <v>0</v>
      </c>
      <c r="L897" s="274">
        <v>0</v>
      </c>
      <c r="M897" s="274">
        <v>65.3</v>
      </c>
      <c r="N897" s="396">
        <v>599.79999999999995</v>
      </c>
      <c r="O897" s="396">
        <v>41</v>
      </c>
      <c r="P897" s="396">
        <v>38.4</v>
      </c>
      <c r="Q897" s="397">
        <v>0.61666666666666703</v>
      </c>
      <c r="R897" s="396"/>
      <c r="S897" s="410"/>
      <c r="T897" s="409"/>
      <c r="U897" s="398" t="str">
        <f t="shared" si="38"/>
        <v/>
      </c>
      <c r="V897" s="400"/>
      <c r="W897" s="410">
        <f t="shared" si="40"/>
        <v>41</v>
      </c>
      <c r="X897" s="472">
        <f t="shared" si="39"/>
        <v>60</v>
      </c>
      <c r="AT897" s="232"/>
      <c r="AV897" s="198"/>
      <c r="AW897" s="274"/>
    </row>
    <row r="898" spans="2:49" x14ac:dyDescent="0.25">
      <c r="B898" s="274">
        <v>21.9</v>
      </c>
      <c r="C898" s="274">
        <v>53</v>
      </c>
      <c r="D898" s="274">
        <v>21.9</v>
      </c>
      <c r="E898" s="274">
        <v>2.2000000000000002</v>
      </c>
      <c r="F898" s="274">
        <v>3.6</v>
      </c>
      <c r="G898" s="274">
        <v>169</v>
      </c>
      <c r="H898" s="274">
        <v>1023.1</v>
      </c>
      <c r="I898" s="274">
        <v>82878</v>
      </c>
      <c r="J898" s="274">
        <v>0</v>
      </c>
      <c r="K898" s="274">
        <v>0</v>
      </c>
      <c r="L898" s="274">
        <v>0</v>
      </c>
      <c r="M898" s="274">
        <v>65.3</v>
      </c>
      <c r="N898" s="396">
        <v>599.79999999999995</v>
      </c>
      <c r="O898" s="396">
        <v>40.9</v>
      </c>
      <c r="P898" s="396">
        <v>38.4</v>
      </c>
      <c r="Q898" s="397">
        <v>0.61736111111111103</v>
      </c>
      <c r="R898" s="396"/>
      <c r="S898" s="410"/>
      <c r="T898" s="409"/>
      <c r="U898" s="398" t="str">
        <f t="shared" si="38"/>
        <v/>
      </c>
      <c r="V898" s="400"/>
      <c r="W898" s="410">
        <f t="shared" si="40"/>
        <v>40.9</v>
      </c>
      <c r="X898" s="472">
        <f t="shared" si="39"/>
        <v>60</v>
      </c>
      <c r="AT898" s="232"/>
      <c r="AV898" s="198"/>
      <c r="AW898" s="274"/>
    </row>
    <row r="899" spans="2:49" x14ac:dyDescent="0.25">
      <c r="B899" s="274">
        <v>21.8</v>
      </c>
      <c r="C899" s="274">
        <v>52</v>
      </c>
      <c r="D899" s="274">
        <v>21.8</v>
      </c>
      <c r="E899" s="274">
        <v>1.4</v>
      </c>
      <c r="F899" s="274">
        <v>1.8</v>
      </c>
      <c r="G899" s="274">
        <v>220</v>
      </c>
      <c r="H899" s="274">
        <v>1023.2</v>
      </c>
      <c r="I899" s="274">
        <v>82878</v>
      </c>
      <c r="J899" s="274">
        <v>0</v>
      </c>
      <c r="K899" s="274">
        <v>0</v>
      </c>
      <c r="L899" s="274">
        <v>0</v>
      </c>
      <c r="M899" s="274">
        <v>65.3</v>
      </c>
      <c r="N899" s="396">
        <v>599.79999999999995</v>
      </c>
      <c r="O899" s="396">
        <v>40.799999999999997</v>
      </c>
      <c r="P899" s="396">
        <v>38.299999999999997</v>
      </c>
      <c r="Q899" s="397">
        <v>0.61805555555555602</v>
      </c>
      <c r="R899" s="396"/>
      <c r="S899" s="410"/>
      <c r="T899" s="409"/>
      <c r="U899" s="398" t="str">
        <f t="shared" si="38"/>
        <v/>
      </c>
      <c r="V899" s="400"/>
      <c r="W899" s="410">
        <f t="shared" si="40"/>
        <v>40.799999999999997</v>
      </c>
      <c r="X899" s="472">
        <f t="shared" si="39"/>
        <v>60</v>
      </c>
      <c r="AT899" s="232"/>
      <c r="AV899" s="198"/>
      <c r="AW899" s="274"/>
    </row>
    <row r="900" spans="2:49" x14ac:dyDescent="0.25">
      <c r="B900" s="274">
        <v>21.7</v>
      </c>
      <c r="C900" s="274">
        <v>53</v>
      </c>
      <c r="D900" s="274">
        <v>21.7</v>
      </c>
      <c r="E900" s="274">
        <v>4</v>
      </c>
      <c r="F900" s="274">
        <v>5.4</v>
      </c>
      <c r="G900" s="274">
        <v>107</v>
      </c>
      <c r="H900" s="274">
        <v>1023.2</v>
      </c>
      <c r="I900" s="274">
        <v>83374</v>
      </c>
      <c r="J900" s="274">
        <v>0</v>
      </c>
      <c r="K900" s="274">
        <v>0</v>
      </c>
      <c r="L900" s="274">
        <v>0</v>
      </c>
      <c r="M900" s="274">
        <v>65.3</v>
      </c>
      <c r="N900" s="396">
        <v>599.79999999999995</v>
      </c>
      <c r="O900" s="396">
        <v>40.700000000000003</v>
      </c>
      <c r="P900" s="396">
        <v>38.1</v>
      </c>
      <c r="Q900" s="397">
        <v>0.61875000000000002</v>
      </c>
      <c r="R900" s="396"/>
      <c r="S900" s="410"/>
      <c r="T900" s="409"/>
      <c r="U900" s="398" t="str">
        <f t="shared" si="38"/>
        <v/>
      </c>
      <c r="V900" s="400"/>
      <c r="W900" s="410">
        <f t="shared" si="40"/>
        <v>40.700000000000003</v>
      </c>
      <c r="X900" s="472">
        <f t="shared" si="39"/>
        <v>60</v>
      </c>
      <c r="AT900" s="232"/>
      <c r="AV900" s="198"/>
      <c r="AW900" s="274"/>
    </row>
    <row r="901" spans="2:49" x14ac:dyDescent="0.25">
      <c r="B901" s="274">
        <v>21.7</v>
      </c>
      <c r="C901" s="274">
        <v>54</v>
      </c>
      <c r="D901" s="274">
        <v>21.7</v>
      </c>
      <c r="E901" s="274">
        <v>3.6</v>
      </c>
      <c r="F901" s="274">
        <v>5.4</v>
      </c>
      <c r="G901" s="274">
        <v>161</v>
      </c>
      <c r="H901" s="274">
        <v>1022.8</v>
      </c>
      <c r="I901" s="274">
        <v>83157</v>
      </c>
      <c r="J901" s="274">
        <v>0</v>
      </c>
      <c r="K901" s="274">
        <v>0</v>
      </c>
      <c r="L901" s="274">
        <v>0</v>
      </c>
      <c r="M901" s="274">
        <v>65.3</v>
      </c>
      <c r="N901" s="396">
        <v>599.79999999999995</v>
      </c>
      <c r="O901" s="396">
        <v>40.6</v>
      </c>
      <c r="P901" s="396">
        <v>37.9</v>
      </c>
      <c r="Q901" s="397">
        <v>0.61944444444444402</v>
      </c>
      <c r="R901" s="396"/>
      <c r="S901" s="410"/>
      <c r="T901" s="409"/>
      <c r="U901" s="398" t="str">
        <f t="shared" si="38"/>
        <v/>
      </c>
      <c r="V901" s="400"/>
      <c r="W901" s="410">
        <f t="shared" si="40"/>
        <v>40.6</v>
      </c>
      <c r="X901" s="472">
        <f t="shared" si="39"/>
        <v>60</v>
      </c>
      <c r="AT901" s="232"/>
      <c r="AV901" s="198"/>
      <c r="AW901" s="274"/>
    </row>
    <row r="902" spans="2:49" x14ac:dyDescent="0.25">
      <c r="B902" s="274">
        <v>21.8</v>
      </c>
      <c r="C902" s="274">
        <v>52</v>
      </c>
      <c r="D902" s="274">
        <v>21.8</v>
      </c>
      <c r="E902" s="274">
        <v>4.7</v>
      </c>
      <c r="F902" s="274">
        <v>7.2</v>
      </c>
      <c r="G902" s="274">
        <v>99</v>
      </c>
      <c r="H902" s="274">
        <v>1023</v>
      </c>
      <c r="I902" s="274">
        <v>83204</v>
      </c>
      <c r="J902" s="274">
        <v>0</v>
      </c>
      <c r="K902" s="274">
        <v>0</v>
      </c>
      <c r="L902" s="274">
        <v>0</v>
      </c>
      <c r="M902" s="274">
        <v>65.3</v>
      </c>
      <c r="N902" s="396">
        <v>599.79999999999995</v>
      </c>
      <c r="O902" s="396">
        <v>40.5</v>
      </c>
      <c r="P902" s="396">
        <v>37.700000000000003</v>
      </c>
      <c r="Q902" s="397">
        <v>0.62013888888888902</v>
      </c>
      <c r="R902" s="396"/>
      <c r="S902" s="410"/>
      <c r="T902" s="409"/>
      <c r="U902" s="398" t="str">
        <f t="shared" si="38"/>
        <v/>
      </c>
      <c r="V902" s="400"/>
      <c r="W902" s="410">
        <f t="shared" si="40"/>
        <v>40.5</v>
      </c>
      <c r="X902" s="472">
        <f t="shared" si="39"/>
        <v>60</v>
      </c>
      <c r="AT902" s="232"/>
      <c r="AV902" s="198"/>
      <c r="AW902" s="274"/>
    </row>
    <row r="903" spans="2:49" x14ac:dyDescent="0.25">
      <c r="B903" s="274">
        <v>21.8</v>
      </c>
      <c r="C903" s="274">
        <v>54</v>
      </c>
      <c r="D903" s="274">
        <v>21.8</v>
      </c>
      <c r="E903" s="274">
        <v>1.4</v>
      </c>
      <c r="F903" s="274">
        <v>3.6</v>
      </c>
      <c r="G903" s="274">
        <v>66</v>
      </c>
      <c r="H903" s="274">
        <v>1023</v>
      </c>
      <c r="I903" s="274">
        <v>82940</v>
      </c>
      <c r="J903" s="274">
        <v>0</v>
      </c>
      <c r="K903" s="274">
        <v>0</v>
      </c>
      <c r="L903" s="274">
        <v>0</v>
      </c>
      <c r="M903" s="274">
        <v>65.3</v>
      </c>
      <c r="N903" s="396">
        <v>599.79999999999995</v>
      </c>
      <c r="O903" s="396">
        <v>40.5</v>
      </c>
      <c r="P903" s="396">
        <v>37.6</v>
      </c>
      <c r="Q903" s="397">
        <v>0.62083333333333302</v>
      </c>
      <c r="R903" s="396"/>
      <c r="S903" s="410"/>
      <c r="T903" s="409"/>
      <c r="U903" s="398" t="str">
        <f t="shared" si="38"/>
        <v/>
      </c>
      <c r="V903" s="400"/>
      <c r="W903" s="410">
        <f t="shared" si="40"/>
        <v>40.5</v>
      </c>
      <c r="X903" s="472">
        <f t="shared" si="39"/>
        <v>60</v>
      </c>
      <c r="AT903" s="232"/>
      <c r="AV903" s="198"/>
      <c r="AW903" s="274"/>
    </row>
    <row r="904" spans="2:49" x14ac:dyDescent="0.25">
      <c r="B904" s="274">
        <v>22</v>
      </c>
      <c r="C904" s="274">
        <v>53</v>
      </c>
      <c r="D904" s="274">
        <v>22</v>
      </c>
      <c r="E904" s="274">
        <v>1.1000000000000001</v>
      </c>
      <c r="F904" s="274">
        <v>1.8</v>
      </c>
      <c r="G904" s="274">
        <v>54</v>
      </c>
      <c r="H904" s="274">
        <v>1023.1</v>
      </c>
      <c r="I904" s="274">
        <v>83204</v>
      </c>
      <c r="J904" s="274">
        <v>0</v>
      </c>
      <c r="K904" s="274">
        <v>0</v>
      </c>
      <c r="L904" s="274">
        <v>0</v>
      </c>
      <c r="M904" s="274">
        <v>65.3</v>
      </c>
      <c r="N904" s="396">
        <v>599.79999999999995</v>
      </c>
      <c r="O904" s="396">
        <v>40.5</v>
      </c>
      <c r="P904" s="396">
        <v>37.6</v>
      </c>
      <c r="Q904" s="397">
        <v>0.62152777777777801</v>
      </c>
      <c r="R904" s="396"/>
      <c r="S904" s="410"/>
      <c r="T904" s="409"/>
      <c r="U904" s="398" t="str">
        <f t="shared" si="38"/>
        <v/>
      </c>
      <c r="V904" s="400"/>
      <c r="W904" s="410">
        <f t="shared" si="40"/>
        <v>40.5</v>
      </c>
      <c r="X904" s="472">
        <f t="shared" si="39"/>
        <v>60</v>
      </c>
      <c r="AT904" s="232"/>
      <c r="AV904" s="198"/>
      <c r="AW904" s="274"/>
    </row>
    <row r="905" spans="2:49" x14ac:dyDescent="0.25">
      <c r="B905" s="274">
        <v>22.4</v>
      </c>
      <c r="C905" s="274">
        <v>52</v>
      </c>
      <c r="D905" s="274">
        <v>22.4</v>
      </c>
      <c r="E905" s="274">
        <v>4</v>
      </c>
      <c r="F905" s="274">
        <v>5.4</v>
      </c>
      <c r="G905" s="274">
        <v>82</v>
      </c>
      <c r="H905" s="274">
        <v>1023.1</v>
      </c>
      <c r="I905" s="274">
        <v>83095</v>
      </c>
      <c r="J905" s="274">
        <v>0</v>
      </c>
      <c r="K905" s="274">
        <v>0</v>
      </c>
      <c r="L905" s="274">
        <v>0</v>
      </c>
      <c r="M905" s="274">
        <v>65.3</v>
      </c>
      <c r="N905" s="396">
        <v>599.79999999999995</v>
      </c>
      <c r="O905" s="396">
        <v>40.6</v>
      </c>
      <c r="P905" s="396">
        <v>37.6</v>
      </c>
      <c r="Q905" s="397">
        <v>0.62222222222222201</v>
      </c>
      <c r="R905" s="396"/>
      <c r="S905" s="410"/>
      <c r="T905" s="409"/>
      <c r="U905" s="398" t="str">
        <f t="shared" si="38"/>
        <v/>
      </c>
      <c r="V905" s="400"/>
      <c r="W905" s="410">
        <f t="shared" si="40"/>
        <v>40.6</v>
      </c>
      <c r="X905" s="472">
        <f t="shared" si="39"/>
        <v>60</v>
      </c>
      <c r="AT905" s="232"/>
      <c r="AV905" s="198"/>
      <c r="AW905" s="274"/>
    </row>
    <row r="906" spans="2:49" x14ac:dyDescent="0.25">
      <c r="B906" s="274">
        <v>22.4</v>
      </c>
      <c r="C906" s="274">
        <v>53</v>
      </c>
      <c r="D906" s="274">
        <v>22.4</v>
      </c>
      <c r="E906" s="274">
        <v>4.7</v>
      </c>
      <c r="F906" s="274">
        <v>7.2</v>
      </c>
      <c r="G906" s="274">
        <v>175</v>
      </c>
      <c r="H906" s="274">
        <v>1022.9</v>
      </c>
      <c r="I906" s="274">
        <v>83095</v>
      </c>
      <c r="J906" s="274">
        <v>0</v>
      </c>
      <c r="K906" s="274">
        <v>0</v>
      </c>
      <c r="L906" s="274">
        <v>0</v>
      </c>
      <c r="M906" s="274">
        <v>65.3</v>
      </c>
      <c r="N906" s="396">
        <v>599.79999999999995</v>
      </c>
      <c r="O906" s="396">
        <v>40.700000000000003</v>
      </c>
      <c r="P906" s="396">
        <v>37.700000000000003</v>
      </c>
      <c r="Q906" s="397">
        <v>0.62291666666666701</v>
      </c>
      <c r="R906" s="396"/>
      <c r="S906" s="410"/>
      <c r="T906" s="409"/>
      <c r="U906" s="398" t="str">
        <f t="shared" si="38"/>
        <v/>
      </c>
      <c r="V906" s="400"/>
      <c r="W906" s="410">
        <f t="shared" si="40"/>
        <v>40.700000000000003</v>
      </c>
      <c r="X906" s="472">
        <f t="shared" si="39"/>
        <v>60</v>
      </c>
      <c r="AT906" s="232"/>
      <c r="AV906" s="198"/>
      <c r="AW906" s="274"/>
    </row>
    <row r="907" spans="2:49" x14ac:dyDescent="0.25">
      <c r="B907" s="274">
        <v>22</v>
      </c>
      <c r="C907" s="274">
        <v>54</v>
      </c>
      <c r="D907" s="274">
        <v>22</v>
      </c>
      <c r="E907" s="274">
        <v>3.2</v>
      </c>
      <c r="F907" s="274">
        <v>3.6</v>
      </c>
      <c r="G907" s="274">
        <v>205</v>
      </c>
      <c r="H907" s="274">
        <v>1022.8</v>
      </c>
      <c r="I907" s="274">
        <v>82940</v>
      </c>
      <c r="J907" s="274">
        <v>0</v>
      </c>
      <c r="K907" s="274">
        <v>0</v>
      </c>
      <c r="L907" s="274">
        <v>0</v>
      </c>
      <c r="M907" s="274">
        <v>65.3</v>
      </c>
      <c r="N907" s="396">
        <v>599.79999999999995</v>
      </c>
      <c r="O907" s="396">
        <v>40.799999999999997</v>
      </c>
      <c r="P907" s="396">
        <v>37.799999999999997</v>
      </c>
      <c r="Q907" s="397">
        <v>0.62361111111111101</v>
      </c>
      <c r="R907" s="396"/>
      <c r="S907" s="410"/>
      <c r="T907" s="409"/>
      <c r="U907" s="398" t="str">
        <f t="shared" ref="U907:U970" si="41">IF(J907&gt;0,60,"")</f>
        <v/>
      </c>
      <c r="V907" s="400"/>
      <c r="W907" s="410">
        <f t="shared" si="40"/>
        <v>40.799999999999997</v>
      </c>
      <c r="X907" s="472">
        <f t="shared" si="39"/>
        <v>60</v>
      </c>
      <c r="AT907" s="232"/>
      <c r="AV907" s="198"/>
      <c r="AW907" s="274"/>
    </row>
    <row r="908" spans="2:49" x14ac:dyDescent="0.25">
      <c r="B908" s="274">
        <v>21.7</v>
      </c>
      <c r="C908" s="274">
        <v>54</v>
      </c>
      <c r="D908" s="274">
        <v>21.7</v>
      </c>
      <c r="E908" s="274">
        <v>4.3</v>
      </c>
      <c r="F908" s="274">
        <v>5.4</v>
      </c>
      <c r="G908" s="274">
        <v>172</v>
      </c>
      <c r="H908" s="274">
        <v>1022.9</v>
      </c>
      <c r="I908" s="274">
        <v>82382</v>
      </c>
      <c r="J908" s="274">
        <v>0</v>
      </c>
      <c r="K908" s="274">
        <v>0</v>
      </c>
      <c r="L908" s="274">
        <v>0</v>
      </c>
      <c r="M908" s="274">
        <v>65.3</v>
      </c>
      <c r="N908" s="396">
        <v>599.79999999999995</v>
      </c>
      <c r="O908" s="396">
        <v>40.700000000000003</v>
      </c>
      <c r="P908" s="396">
        <v>37.799999999999997</v>
      </c>
      <c r="Q908" s="397">
        <v>0.624305555555556</v>
      </c>
      <c r="R908" s="396"/>
      <c r="S908" s="410"/>
      <c r="T908" s="409"/>
      <c r="U908" s="398" t="str">
        <f t="shared" si="41"/>
        <v/>
      </c>
      <c r="V908" s="400"/>
      <c r="W908" s="410">
        <f t="shared" si="40"/>
        <v>40.700000000000003</v>
      </c>
      <c r="X908" s="472">
        <f t="shared" si="39"/>
        <v>60</v>
      </c>
      <c r="AT908" s="232"/>
      <c r="AV908" s="198"/>
      <c r="AW908" s="274"/>
    </row>
    <row r="909" spans="2:49" x14ac:dyDescent="0.25">
      <c r="B909" s="274">
        <v>21.7</v>
      </c>
      <c r="C909" s="274">
        <v>53</v>
      </c>
      <c r="D909" s="274">
        <v>21.7</v>
      </c>
      <c r="E909" s="274">
        <v>2.9</v>
      </c>
      <c r="F909" s="274">
        <v>3.6</v>
      </c>
      <c r="G909" s="274">
        <v>214</v>
      </c>
      <c r="H909" s="274">
        <v>1023</v>
      </c>
      <c r="I909" s="274">
        <v>81669</v>
      </c>
      <c r="J909" s="274">
        <v>0</v>
      </c>
      <c r="K909" s="274">
        <v>0</v>
      </c>
      <c r="L909" s="274">
        <v>0</v>
      </c>
      <c r="M909" s="274">
        <v>65.3</v>
      </c>
      <c r="N909" s="396">
        <v>599.79999999999995</v>
      </c>
      <c r="O909" s="396">
        <v>40.6</v>
      </c>
      <c r="P909" s="396">
        <v>37.799999999999997</v>
      </c>
      <c r="Q909" s="397">
        <v>0.625</v>
      </c>
      <c r="R909" s="396"/>
      <c r="S909" s="410"/>
      <c r="T909" s="409"/>
      <c r="U909" s="398" t="str">
        <f t="shared" si="41"/>
        <v/>
      </c>
      <c r="V909" s="400"/>
      <c r="W909" s="410">
        <f t="shared" si="40"/>
        <v>40.6</v>
      </c>
      <c r="X909" s="472">
        <f t="shared" si="39"/>
        <v>60</v>
      </c>
      <c r="AT909" s="232"/>
      <c r="AV909" s="198"/>
      <c r="AW909" s="274"/>
    </row>
    <row r="910" spans="2:49" x14ac:dyDescent="0.25">
      <c r="B910" s="274">
        <v>22</v>
      </c>
      <c r="C910" s="274">
        <v>55</v>
      </c>
      <c r="D910" s="274">
        <v>22</v>
      </c>
      <c r="E910" s="274">
        <v>1.4</v>
      </c>
      <c r="F910" s="274">
        <v>3.6</v>
      </c>
      <c r="G910" s="274">
        <v>79</v>
      </c>
      <c r="H910" s="274">
        <v>1023</v>
      </c>
      <c r="I910" s="274">
        <v>81173</v>
      </c>
      <c r="J910" s="274">
        <v>0</v>
      </c>
      <c r="K910" s="274">
        <v>0</v>
      </c>
      <c r="L910" s="274">
        <v>0</v>
      </c>
      <c r="M910" s="274">
        <v>65.3</v>
      </c>
      <c r="N910" s="396">
        <v>599.79999999999995</v>
      </c>
      <c r="O910" s="396">
        <v>40.5</v>
      </c>
      <c r="P910" s="396">
        <v>37.9</v>
      </c>
      <c r="Q910" s="397">
        <v>0.625694444444444</v>
      </c>
      <c r="R910" s="396"/>
      <c r="S910" s="410"/>
      <c r="T910" s="409"/>
      <c r="U910" s="398" t="str">
        <f t="shared" si="41"/>
        <v/>
      </c>
      <c r="V910" s="400"/>
      <c r="W910" s="410">
        <f t="shared" si="40"/>
        <v>40.5</v>
      </c>
      <c r="X910" s="472">
        <f t="shared" si="39"/>
        <v>60</v>
      </c>
      <c r="AT910" s="232"/>
      <c r="AV910" s="198"/>
      <c r="AW910" s="274"/>
    </row>
    <row r="911" spans="2:49" x14ac:dyDescent="0.25">
      <c r="B911" s="274">
        <v>22</v>
      </c>
      <c r="C911" s="274">
        <v>54</v>
      </c>
      <c r="D911" s="274">
        <v>22</v>
      </c>
      <c r="E911" s="274">
        <v>0.4</v>
      </c>
      <c r="F911" s="274">
        <v>1.8</v>
      </c>
      <c r="G911" s="274">
        <v>79</v>
      </c>
      <c r="H911" s="274">
        <v>1022.9</v>
      </c>
      <c r="I911" s="274">
        <v>81452</v>
      </c>
      <c r="J911" s="274">
        <v>0</v>
      </c>
      <c r="K911" s="274">
        <v>0</v>
      </c>
      <c r="L911" s="274">
        <v>0</v>
      </c>
      <c r="M911" s="274">
        <v>65.3</v>
      </c>
      <c r="N911" s="396">
        <v>599.79999999999995</v>
      </c>
      <c r="O911" s="396">
        <v>40.6</v>
      </c>
      <c r="P911" s="396">
        <v>37.9</v>
      </c>
      <c r="Q911" s="397">
        <v>0.62638888888888899</v>
      </c>
      <c r="R911" s="396"/>
      <c r="S911" s="410"/>
      <c r="T911" s="409"/>
      <c r="U911" s="398" t="str">
        <f t="shared" si="41"/>
        <v/>
      </c>
      <c r="V911" s="400"/>
      <c r="W911" s="410">
        <f t="shared" si="40"/>
        <v>40.6</v>
      </c>
      <c r="X911" s="472">
        <f t="shared" si="39"/>
        <v>60</v>
      </c>
      <c r="AT911" s="232"/>
      <c r="AV911" s="198"/>
      <c r="AW911" s="274"/>
    </row>
    <row r="912" spans="2:49" x14ac:dyDescent="0.25">
      <c r="B912" s="274">
        <v>22.5</v>
      </c>
      <c r="C912" s="274">
        <v>52</v>
      </c>
      <c r="D912" s="274">
        <v>22.5</v>
      </c>
      <c r="E912" s="274">
        <v>2.2000000000000002</v>
      </c>
      <c r="F912" s="274">
        <v>3.6</v>
      </c>
      <c r="G912" s="274">
        <v>263</v>
      </c>
      <c r="H912" s="274">
        <v>1023</v>
      </c>
      <c r="I912" s="274">
        <v>81499</v>
      </c>
      <c r="J912" s="274">
        <v>0</v>
      </c>
      <c r="K912" s="274">
        <v>0</v>
      </c>
      <c r="L912" s="274">
        <v>0</v>
      </c>
      <c r="M912" s="274">
        <v>65.3</v>
      </c>
      <c r="N912" s="396">
        <v>599.79999999999995</v>
      </c>
      <c r="O912" s="396">
        <v>40.6</v>
      </c>
      <c r="P912" s="396">
        <v>37.9</v>
      </c>
      <c r="Q912" s="397">
        <v>0.62708333333333299</v>
      </c>
      <c r="R912" s="396"/>
      <c r="S912" s="410"/>
      <c r="T912" s="409"/>
      <c r="U912" s="398" t="str">
        <f t="shared" si="41"/>
        <v/>
      </c>
      <c r="V912" s="400"/>
      <c r="W912" s="410">
        <f t="shared" si="40"/>
        <v>40.6</v>
      </c>
      <c r="X912" s="472">
        <f t="shared" si="39"/>
        <v>60</v>
      </c>
      <c r="AT912" s="232"/>
      <c r="AV912" s="198"/>
      <c r="AW912" s="274"/>
    </row>
    <row r="913" spans="2:49" x14ac:dyDescent="0.25">
      <c r="B913" s="274">
        <v>22.6</v>
      </c>
      <c r="C913" s="274">
        <v>52</v>
      </c>
      <c r="D913" s="274">
        <v>22.6</v>
      </c>
      <c r="E913" s="274">
        <v>1.8</v>
      </c>
      <c r="F913" s="274">
        <v>3.6</v>
      </c>
      <c r="G913" s="274">
        <v>62</v>
      </c>
      <c r="H913" s="274">
        <v>1022.9</v>
      </c>
      <c r="I913" s="274">
        <v>81065</v>
      </c>
      <c r="J913" s="274">
        <v>0</v>
      </c>
      <c r="K913" s="274">
        <v>0</v>
      </c>
      <c r="L913" s="274">
        <v>0</v>
      </c>
      <c r="M913" s="274">
        <v>65.3</v>
      </c>
      <c r="N913" s="396">
        <v>599.79999999999995</v>
      </c>
      <c r="O913" s="396">
        <v>40.799999999999997</v>
      </c>
      <c r="P913" s="396">
        <v>38</v>
      </c>
      <c r="Q913" s="397">
        <v>0.62777777777777799</v>
      </c>
      <c r="R913" s="396"/>
      <c r="S913" s="410"/>
      <c r="T913" s="409"/>
      <c r="U913" s="398" t="str">
        <f t="shared" si="41"/>
        <v/>
      </c>
      <c r="V913" s="400"/>
      <c r="W913" s="410">
        <f t="shared" si="40"/>
        <v>40.799999999999997</v>
      </c>
      <c r="X913" s="472">
        <f t="shared" ref="X913:X976" si="42">IF(W913&gt;B913+3,60,"")</f>
        <v>60</v>
      </c>
      <c r="AT913" s="232"/>
      <c r="AV913" s="198"/>
      <c r="AW913" s="274"/>
    </row>
    <row r="914" spans="2:49" x14ac:dyDescent="0.25">
      <c r="B914" s="274">
        <v>22.8</v>
      </c>
      <c r="C914" s="274">
        <v>51</v>
      </c>
      <c r="D914" s="274">
        <v>22.8</v>
      </c>
      <c r="E914" s="274">
        <v>1.8</v>
      </c>
      <c r="F914" s="274">
        <v>1.8</v>
      </c>
      <c r="G914" s="274">
        <v>87</v>
      </c>
      <c r="H914" s="274">
        <v>1022.9</v>
      </c>
      <c r="I914" s="274">
        <v>80956</v>
      </c>
      <c r="J914" s="274">
        <v>0</v>
      </c>
      <c r="K914" s="274">
        <v>0</v>
      </c>
      <c r="L914" s="274">
        <v>0</v>
      </c>
      <c r="M914" s="274">
        <v>65.3</v>
      </c>
      <c r="N914" s="396">
        <v>599.79999999999995</v>
      </c>
      <c r="O914" s="396">
        <v>41</v>
      </c>
      <c r="P914" s="396">
        <v>38</v>
      </c>
      <c r="Q914" s="397">
        <v>0.62847222222222199</v>
      </c>
      <c r="R914" s="396"/>
      <c r="S914" s="410"/>
      <c r="T914" s="409"/>
      <c r="U914" s="398" t="str">
        <f t="shared" si="41"/>
        <v/>
      </c>
      <c r="V914" s="400"/>
      <c r="W914" s="410">
        <f t="shared" si="40"/>
        <v>41</v>
      </c>
      <c r="X914" s="472">
        <f t="shared" si="42"/>
        <v>60</v>
      </c>
      <c r="AT914" s="232"/>
      <c r="AV914" s="198"/>
      <c r="AW914" s="274"/>
    </row>
    <row r="915" spans="2:49" x14ac:dyDescent="0.25">
      <c r="B915" s="274">
        <v>22.9</v>
      </c>
      <c r="C915" s="274">
        <v>52</v>
      </c>
      <c r="D915" s="274">
        <v>22.9</v>
      </c>
      <c r="E915" s="274">
        <v>3.2</v>
      </c>
      <c r="F915" s="274">
        <v>3.6</v>
      </c>
      <c r="G915" s="274">
        <v>158</v>
      </c>
      <c r="H915" s="274">
        <v>1023</v>
      </c>
      <c r="I915" s="274">
        <v>80073</v>
      </c>
      <c r="J915" s="274">
        <v>0</v>
      </c>
      <c r="K915" s="274">
        <v>0</v>
      </c>
      <c r="L915" s="274">
        <v>0</v>
      </c>
      <c r="M915" s="274">
        <v>65.3</v>
      </c>
      <c r="N915" s="396">
        <v>599.79999999999995</v>
      </c>
      <c r="O915" s="396">
        <v>41.2</v>
      </c>
      <c r="P915" s="396">
        <v>38</v>
      </c>
      <c r="Q915" s="397">
        <v>0.62916666666666698</v>
      </c>
      <c r="R915" s="396"/>
      <c r="S915" s="410"/>
      <c r="T915" s="409"/>
      <c r="U915" s="398" t="str">
        <f t="shared" si="41"/>
        <v/>
      </c>
      <c r="V915" s="400"/>
      <c r="W915" s="410">
        <f t="shared" si="40"/>
        <v>41.2</v>
      </c>
      <c r="X915" s="472">
        <f t="shared" si="42"/>
        <v>60</v>
      </c>
      <c r="AT915" s="232"/>
      <c r="AV915" s="198"/>
      <c r="AW915" s="274"/>
    </row>
    <row r="916" spans="2:49" x14ac:dyDescent="0.25">
      <c r="B916" s="274">
        <v>23</v>
      </c>
      <c r="C916" s="274">
        <v>52</v>
      </c>
      <c r="D916" s="274">
        <v>23</v>
      </c>
      <c r="E916" s="274">
        <v>2.2000000000000002</v>
      </c>
      <c r="F916" s="274">
        <v>3.6</v>
      </c>
      <c r="G916" s="274">
        <v>128</v>
      </c>
      <c r="H916" s="274">
        <v>1023</v>
      </c>
      <c r="I916" s="274">
        <v>79313</v>
      </c>
      <c r="J916" s="274">
        <v>0</v>
      </c>
      <c r="K916" s="274">
        <v>0</v>
      </c>
      <c r="L916" s="274">
        <v>0</v>
      </c>
      <c r="M916" s="274">
        <v>65.3</v>
      </c>
      <c r="N916" s="396">
        <v>599.79999999999995</v>
      </c>
      <c r="O916" s="396">
        <v>41.4</v>
      </c>
      <c r="P916" s="396">
        <v>38</v>
      </c>
      <c r="Q916" s="397">
        <v>0.62986111111111098</v>
      </c>
      <c r="R916" s="396"/>
      <c r="S916" s="410"/>
      <c r="T916" s="409"/>
      <c r="U916" s="398" t="str">
        <f t="shared" si="41"/>
        <v/>
      </c>
      <c r="V916" s="400"/>
      <c r="W916" s="410">
        <f t="shared" si="40"/>
        <v>41.4</v>
      </c>
      <c r="X916" s="472">
        <f t="shared" si="42"/>
        <v>60</v>
      </c>
      <c r="AT916" s="232"/>
      <c r="AV916" s="198"/>
      <c r="AW916" s="274"/>
    </row>
    <row r="917" spans="2:49" x14ac:dyDescent="0.25">
      <c r="B917" s="274">
        <v>22.9</v>
      </c>
      <c r="C917" s="274">
        <v>52</v>
      </c>
      <c r="D917" s="274">
        <v>22.9</v>
      </c>
      <c r="E917" s="274">
        <v>2.9</v>
      </c>
      <c r="F917" s="274">
        <v>5.4</v>
      </c>
      <c r="G917" s="274">
        <v>63</v>
      </c>
      <c r="H917" s="274">
        <v>1023</v>
      </c>
      <c r="I917" s="274">
        <v>79143</v>
      </c>
      <c r="J917" s="274">
        <v>0</v>
      </c>
      <c r="K917" s="274">
        <v>0</v>
      </c>
      <c r="L917" s="274">
        <v>0</v>
      </c>
      <c r="M917" s="274">
        <v>65.3</v>
      </c>
      <c r="N917" s="396">
        <v>599.79999999999995</v>
      </c>
      <c r="O917" s="396">
        <v>41.5</v>
      </c>
      <c r="P917" s="396">
        <v>38.1</v>
      </c>
      <c r="Q917" s="397">
        <v>0.63055555555555598</v>
      </c>
      <c r="R917" s="396"/>
      <c r="S917" s="410"/>
      <c r="T917" s="409"/>
      <c r="U917" s="398" t="str">
        <f t="shared" si="41"/>
        <v/>
      </c>
      <c r="V917" s="400"/>
      <c r="W917" s="410">
        <f t="shared" si="40"/>
        <v>41.5</v>
      </c>
      <c r="X917" s="472">
        <f t="shared" si="42"/>
        <v>60</v>
      </c>
      <c r="AT917" s="232"/>
      <c r="AV917" s="198"/>
      <c r="AW917" s="274"/>
    </row>
    <row r="918" spans="2:49" x14ac:dyDescent="0.25">
      <c r="B918" s="274">
        <v>22.9</v>
      </c>
      <c r="C918" s="274">
        <v>51</v>
      </c>
      <c r="D918" s="274">
        <v>22.9</v>
      </c>
      <c r="E918" s="274">
        <v>2.2000000000000002</v>
      </c>
      <c r="F918" s="274">
        <v>3.6</v>
      </c>
      <c r="G918" s="274">
        <v>152</v>
      </c>
      <c r="H918" s="274">
        <v>1022.9</v>
      </c>
      <c r="I918" s="274">
        <v>78755</v>
      </c>
      <c r="J918" s="274">
        <v>0</v>
      </c>
      <c r="K918" s="274">
        <v>0</v>
      </c>
      <c r="L918" s="274">
        <v>0</v>
      </c>
      <c r="M918" s="274">
        <v>65.3</v>
      </c>
      <c r="N918" s="396">
        <v>599.79999999999995</v>
      </c>
      <c r="O918" s="396">
        <v>41.6</v>
      </c>
      <c r="P918" s="396">
        <v>38.200000000000003</v>
      </c>
      <c r="Q918" s="397">
        <v>0.63124999999999998</v>
      </c>
      <c r="R918" s="396"/>
      <c r="S918" s="410"/>
      <c r="T918" s="409"/>
      <c r="U918" s="398" t="str">
        <f t="shared" si="41"/>
        <v/>
      </c>
      <c r="V918" s="400"/>
      <c r="W918" s="410">
        <f t="shared" si="40"/>
        <v>41.6</v>
      </c>
      <c r="X918" s="472">
        <f t="shared" si="42"/>
        <v>60</v>
      </c>
      <c r="AT918" s="232"/>
      <c r="AV918" s="198"/>
      <c r="AW918" s="274"/>
    </row>
    <row r="919" spans="2:49" x14ac:dyDescent="0.25">
      <c r="B919" s="274">
        <v>22.9</v>
      </c>
      <c r="C919" s="274">
        <v>52</v>
      </c>
      <c r="D919" s="274">
        <v>22.9</v>
      </c>
      <c r="E919" s="274">
        <v>1.1000000000000001</v>
      </c>
      <c r="F919" s="274">
        <v>1.8</v>
      </c>
      <c r="G919" s="274">
        <v>199</v>
      </c>
      <c r="H919" s="274">
        <v>1023.1</v>
      </c>
      <c r="I919" s="274">
        <v>79034</v>
      </c>
      <c r="J919" s="274">
        <v>0</v>
      </c>
      <c r="K919" s="274">
        <v>0</v>
      </c>
      <c r="L919" s="274">
        <v>0</v>
      </c>
      <c r="M919" s="274">
        <v>65.3</v>
      </c>
      <c r="N919" s="396">
        <v>599.79999999999995</v>
      </c>
      <c r="O919" s="396">
        <v>41.7</v>
      </c>
      <c r="P919" s="396">
        <v>38.299999999999997</v>
      </c>
      <c r="Q919" s="397">
        <v>0.63194444444444398</v>
      </c>
      <c r="R919" s="396"/>
      <c r="S919" s="410"/>
      <c r="T919" s="409"/>
      <c r="U919" s="398" t="str">
        <f t="shared" si="41"/>
        <v/>
      </c>
      <c r="V919" s="400"/>
      <c r="W919" s="410">
        <f t="shared" si="40"/>
        <v>41.7</v>
      </c>
      <c r="X919" s="472">
        <f t="shared" si="42"/>
        <v>60</v>
      </c>
      <c r="AT919" s="232"/>
      <c r="AV919" s="198"/>
      <c r="AW919" s="274"/>
    </row>
    <row r="920" spans="2:49" x14ac:dyDescent="0.25">
      <c r="B920" s="274">
        <v>22.9</v>
      </c>
      <c r="C920" s="274">
        <v>52</v>
      </c>
      <c r="D920" s="274">
        <v>22.9</v>
      </c>
      <c r="E920" s="274">
        <v>0</v>
      </c>
      <c r="F920" s="274">
        <v>0</v>
      </c>
      <c r="G920" s="274">
        <v>179</v>
      </c>
      <c r="H920" s="274">
        <v>1023.1</v>
      </c>
      <c r="I920" s="274">
        <v>79747</v>
      </c>
      <c r="J920" s="274">
        <v>0</v>
      </c>
      <c r="K920" s="274">
        <v>0</v>
      </c>
      <c r="L920" s="274">
        <v>0</v>
      </c>
      <c r="M920" s="274">
        <v>65.3</v>
      </c>
      <c r="N920" s="396">
        <v>599.79999999999995</v>
      </c>
      <c r="O920" s="396">
        <v>41.8</v>
      </c>
      <c r="P920" s="396">
        <v>38.299999999999997</v>
      </c>
      <c r="Q920" s="397">
        <v>0.63263888888888897</v>
      </c>
      <c r="R920" s="396"/>
      <c r="S920" s="410"/>
      <c r="T920" s="409"/>
      <c r="U920" s="398" t="str">
        <f t="shared" si="41"/>
        <v/>
      </c>
      <c r="V920" s="400"/>
      <c r="W920" s="410">
        <f t="shared" si="40"/>
        <v>41.8</v>
      </c>
      <c r="X920" s="472">
        <f t="shared" si="42"/>
        <v>60</v>
      </c>
      <c r="AT920" s="232"/>
      <c r="AV920" s="198"/>
      <c r="AW920" s="274"/>
    </row>
    <row r="921" spans="2:49" x14ac:dyDescent="0.25">
      <c r="B921" s="274">
        <v>23.1</v>
      </c>
      <c r="C921" s="274">
        <v>51</v>
      </c>
      <c r="D921" s="274">
        <v>23.1</v>
      </c>
      <c r="E921" s="274">
        <v>1.1000000000000001</v>
      </c>
      <c r="F921" s="274">
        <v>1.8</v>
      </c>
      <c r="G921" s="274">
        <v>177</v>
      </c>
      <c r="H921" s="274">
        <v>1023</v>
      </c>
      <c r="I921" s="274">
        <v>80026</v>
      </c>
      <c r="J921" s="274">
        <v>0</v>
      </c>
      <c r="K921" s="274">
        <v>0</v>
      </c>
      <c r="L921" s="274">
        <v>0</v>
      </c>
      <c r="M921" s="274">
        <v>65.3</v>
      </c>
      <c r="N921" s="396">
        <v>599.79999999999995</v>
      </c>
      <c r="O921" s="396">
        <v>41.9</v>
      </c>
      <c r="P921" s="396">
        <v>38.4</v>
      </c>
      <c r="Q921" s="397">
        <v>0.63333333333333297</v>
      </c>
      <c r="R921" s="396"/>
      <c r="S921" s="410"/>
      <c r="T921" s="409"/>
      <c r="U921" s="398" t="str">
        <f t="shared" si="41"/>
        <v/>
      </c>
      <c r="V921" s="400"/>
      <c r="W921" s="410">
        <f t="shared" si="40"/>
        <v>41.9</v>
      </c>
      <c r="X921" s="472">
        <f t="shared" si="42"/>
        <v>60</v>
      </c>
      <c r="AT921" s="232"/>
      <c r="AV921" s="198"/>
      <c r="AW921" s="274"/>
    </row>
    <row r="922" spans="2:49" x14ac:dyDescent="0.25">
      <c r="B922" s="274">
        <v>23.3</v>
      </c>
      <c r="C922" s="274">
        <v>50</v>
      </c>
      <c r="D922" s="274">
        <v>23.3</v>
      </c>
      <c r="E922" s="274">
        <v>2.2000000000000002</v>
      </c>
      <c r="F922" s="274">
        <v>3.6</v>
      </c>
      <c r="G922" s="274">
        <v>34</v>
      </c>
      <c r="H922" s="274">
        <v>1022.9</v>
      </c>
      <c r="I922" s="274">
        <v>79918</v>
      </c>
      <c r="J922" s="274">
        <v>0</v>
      </c>
      <c r="K922" s="274">
        <v>0</v>
      </c>
      <c r="L922" s="274">
        <v>0</v>
      </c>
      <c r="M922" s="274">
        <v>65.3</v>
      </c>
      <c r="N922" s="396">
        <v>599.79999999999995</v>
      </c>
      <c r="O922" s="396">
        <v>42.1</v>
      </c>
      <c r="P922" s="396">
        <v>38.6</v>
      </c>
      <c r="Q922" s="397">
        <v>0.63402777777777797</v>
      </c>
      <c r="R922" s="396"/>
      <c r="S922" s="410"/>
      <c r="T922" s="409"/>
      <c r="U922" s="398" t="str">
        <f t="shared" si="41"/>
        <v/>
      </c>
      <c r="V922" s="400"/>
      <c r="W922" s="410">
        <f t="shared" si="40"/>
        <v>42.1</v>
      </c>
      <c r="X922" s="472">
        <f t="shared" si="42"/>
        <v>60</v>
      </c>
      <c r="AT922" s="232"/>
      <c r="AV922" s="198"/>
      <c r="AW922" s="274"/>
    </row>
    <row r="923" spans="2:49" x14ac:dyDescent="0.25">
      <c r="B923" s="274">
        <v>23.4</v>
      </c>
      <c r="C923" s="274">
        <v>51</v>
      </c>
      <c r="D923" s="274">
        <v>23.4</v>
      </c>
      <c r="E923" s="274">
        <v>4.7</v>
      </c>
      <c r="F923" s="274">
        <v>7.2</v>
      </c>
      <c r="G923" s="274">
        <v>86</v>
      </c>
      <c r="H923" s="274">
        <v>1023</v>
      </c>
      <c r="I923" s="274">
        <v>80290</v>
      </c>
      <c r="J923" s="274">
        <v>0</v>
      </c>
      <c r="K923" s="274">
        <v>0</v>
      </c>
      <c r="L923" s="274">
        <v>0</v>
      </c>
      <c r="M923" s="274">
        <v>65.3</v>
      </c>
      <c r="N923" s="396">
        <v>599.79999999999995</v>
      </c>
      <c r="O923" s="396">
        <v>42.3</v>
      </c>
      <c r="P923" s="396">
        <v>38.799999999999997</v>
      </c>
      <c r="Q923" s="397">
        <v>0.63472222222222197</v>
      </c>
      <c r="R923" s="396"/>
      <c r="S923" s="410"/>
      <c r="T923" s="409"/>
      <c r="U923" s="398" t="str">
        <f t="shared" si="41"/>
        <v/>
      </c>
      <c r="V923" s="400"/>
      <c r="W923" s="410">
        <f t="shared" si="40"/>
        <v>42.3</v>
      </c>
      <c r="X923" s="472">
        <f t="shared" si="42"/>
        <v>60</v>
      </c>
      <c r="AT923" s="232"/>
      <c r="AV923" s="198"/>
      <c r="AW923" s="274"/>
    </row>
    <row r="924" spans="2:49" x14ac:dyDescent="0.25">
      <c r="B924" s="274">
        <v>23.4</v>
      </c>
      <c r="C924" s="274">
        <v>52</v>
      </c>
      <c r="D924" s="274">
        <v>23.4</v>
      </c>
      <c r="E924" s="274">
        <v>0.4</v>
      </c>
      <c r="F924" s="274">
        <v>1.8</v>
      </c>
      <c r="G924" s="274">
        <v>177</v>
      </c>
      <c r="H924" s="274">
        <v>1023</v>
      </c>
      <c r="I924" s="274">
        <v>80460</v>
      </c>
      <c r="J924" s="274">
        <v>0</v>
      </c>
      <c r="K924" s="274">
        <v>0</v>
      </c>
      <c r="L924" s="274">
        <v>0</v>
      </c>
      <c r="M924" s="274">
        <v>65.3</v>
      </c>
      <c r="N924" s="396">
        <v>599.79999999999995</v>
      </c>
      <c r="O924" s="396">
        <v>42.4</v>
      </c>
      <c r="P924" s="396">
        <v>38.9</v>
      </c>
      <c r="Q924" s="397">
        <v>0.63541666666666696</v>
      </c>
      <c r="R924" s="396"/>
      <c r="S924" s="410"/>
      <c r="T924" s="409"/>
      <c r="U924" s="398" t="str">
        <f t="shared" si="41"/>
        <v/>
      </c>
      <c r="V924" s="400"/>
      <c r="W924" s="410">
        <f t="shared" si="40"/>
        <v>42.4</v>
      </c>
      <c r="X924" s="472">
        <f t="shared" si="42"/>
        <v>60</v>
      </c>
      <c r="AT924" s="232"/>
      <c r="AV924" s="198"/>
      <c r="AW924" s="274"/>
    </row>
    <row r="925" spans="2:49" x14ac:dyDescent="0.25">
      <c r="B925" s="274">
        <v>22.6</v>
      </c>
      <c r="C925" s="274">
        <v>52</v>
      </c>
      <c r="D925" s="274">
        <v>22.6</v>
      </c>
      <c r="E925" s="274">
        <v>3.6</v>
      </c>
      <c r="F925" s="274">
        <v>7.2</v>
      </c>
      <c r="G925" s="274">
        <v>69</v>
      </c>
      <c r="H925" s="274">
        <v>1022.9</v>
      </c>
      <c r="I925" s="274">
        <v>80290</v>
      </c>
      <c r="J925" s="274">
        <v>0</v>
      </c>
      <c r="K925" s="274">
        <v>0</v>
      </c>
      <c r="L925" s="274">
        <v>0</v>
      </c>
      <c r="M925" s="274">
        <v>65.3</v>
      </c>
      <c r="N925" s="396">
        <v>599.79999999999995</v>
      </c>
      <c r="O925" s="396">
        <v>42.4</v>
      </c>
      <c r="P925" s="396">
        <v>38.9</v>
      </c>
      <c r="Q925" s="397">
        <v>0.63611111111111096</v>
      </c>
      <c r="R925" s="396"/>
      <c r="S925" s="410"/>
      <c r="T925" s="409"/>
      <c r="U925" s="398" t="str">
        <f t="shared" si="41"/>
        <v/>
      </c>
      <c r="V925" s="400"/>
      <c r="W925" s="410">
        <f t="shared" si="40"/>
        <v>42.4</v>
      </c>
      <c r="X925" s="472">
        <f t="shared" si="42"/>
        <v>60</v>
      </c>
      <c r="AT925" s="232"/>
      <c r="AV925" s="198"/>
      <c r="AW925" s="274"/>
    </row>
    <row r="926" spans="2:49" x14ac:dyDescent="0.25">
      <c r="B926" s="274">
        <v>22.5</v>
      </c>
      <c r="C926" s="274">
        <v>53</v>
      </c>
      <c r="D926" s="274">
        <v>22.5</v>
      </c>
      <c r="E926" s="274">
        <v>0.7</v>
      </c>
      <c r="F926" s="274">
        <v>1.8</v>
      </c>
      <c r="G926" s="274">
        <v>159</v>
      </c>
      <c r="H926" s="274">
        <v>1023</v>
      </c>
      <c r="I926" s="274">
        <v>80848</v>
      </c>
      <c r="J926" s="274">
        <v>0</v>
      </c>
      <c r="K926" s="274">
        <v>0</v>
      </c>
      <c r="L926" s="274">
        <v>0</v>
      </c>
      <c r="M926" s="274">
        <v>65.3</v>
      </c>
      <c r="N926" s="396">
        <v>599.79999999999995</v>
      </c>
      <c r="O926" s="396">
        <v>42.4</v>
      </c>
      <c r="P926" s="396">
        <v>38.799999999999997</v>
      </c>
      <c r="Q926" s="397">
        <v>0.63680555555555596</v>
      </c>
      <c r="R926" s="396"/>
      <c r="S926" s="410"/>
      <c r="T926" s="409"/>
      <c r="U926" s="398" t="str">
        <f t="shared" si="41"/>
        <v/>
      </c>
      <c r="V926" s="400"/>
      <c r="W926" s="410">
        <f t="shared" si="40"/>
        <v>42.4</v>
      </c>
      <c r="X926" s="472">
        <f t="shared" si="42"/>
        <v>60</v>
      </c>
      <c r="AT926" s="232"/>
      <c r="AV926" s="198"/>
      <c r="AW926" s="274"/>
    </row>
    <row r="927" spans="2:49" x14ac:dyDescent="0.25">
      <c r="B927" s="274">
        <v>22.5</v>
      </c>
      <c r="C927" s="274">
        <v>52</v>
      </c>
      <c r="D927" s="274">
        <v>22.5</v>
      </c>
      <c r="E927" s="274">
        <v>1.1000000000000001</v>
      </c>
      <c r="F927" s="274">
        <v>1.8</v>
      </c>
      <c r="G927" s="274">
        <v>121</v>
      </c>
      <c r="H927" s="274">
        <v>1022.8</v>
      </c>
      <c r="I927" s="274">
        <v>80677</v>
      </c>
      <c r="J927" s="274">
        <v>0</v>
      </c>
      <c r="K927" s="274">
        <v>0</v>
      </c>
      <c r="L927" s="274">
        <v>0</v>
      </c>
      <c r="M927" s="274">
        <v>65.3</v>
      </c>
      <c r="N927" s="396">
        <v>599.79999999999995</v>
      </c>
      <c r="O927" s="396">
        <v>42.3</v>
      </c>
      <c r="P927" s="396">
        <v>38.799999999999997</v>
      </c>
      <c r="Q927" s="397">
        <v>0.63749999999999996</v>
      </c>
      <c r="R927" s="396"/>
      <c r="S927" s="410"/>
      <c r="T927" s="409"/>
      <c r="U927" s="398" t="str">
        <f t="shared" si="41"/>
        <v/>
      </c>
      <c r="V927" s="400"/>
      <c r="W927" s="410">
        <f t="shared" si="40"/>
        <v>42.3</v>
      </c>
      <c r="X927" s="472">
        <f t="shared" si="42"/>
        <v>60</v>
      </c>
      <c r="AT927" s="232"/>
      <c r="AV927" s="198"/>
      <c r="AW927" s="274"/>
    </row>
    <row r="928" spans="2:49" x14ac:dyDescent="0.25">
      <c r="B928" s="274">
        <v>22.5</v>
      </c>
      <c r="C928" s="274">
        <v>51</v>
      </c>
      <c r="D928" s="274">
        <v>22.5</v>
      </c>
      <c r="E928" s="274">
        <v>2.5</v>
      </c>
      <c r="F928" s="274">
        <v>3.6</v>
      </c>
      <c r="G928" s="274">
        <v>76</v>
      </c>
      <c r="H928" s="274">
        <v>1022.9</v>
      </c>
      <c r="I928" s="274">
        <v>80739</v>
      </c>
      <c r="J928" s="274">
        <v>0</v>
      </c>
      <c r="K928" s="274">
        <v>0</v>
      </c>
      <c r="L928" s="274">
        <v>0</v>
      </c>
      <c r="M928" s="274">
        <v>65.3</v>
      </c>
      <c r="N928" s="396">
        <v>599.79999999999995</v>
      </c>
      <c r="O928" s="396">
        <v>42.3</v>
      </c>
      <c r="P928" s="396">
        <v>38.700000000000003</v>
      </c>
      <c r="Q928" s="397">
        <v>0.63819444444444495</v>
      </c>
      <c r="R928" s="396"/>
      <c r="S928" s="410"/>
      <c r="T928" s="409"/>
      <c r="U928" s="398" t="str">
        <f t="shared" si="41"/>
        <v/>
      </c>
      <c r="V928" s="400"/>
      <c r="W928" s="410">
        <f t="shared" si="40"/>
        <v>42.3</v>
      </c>
      <c r="X928" s="472">
        <f t="shared" si="42"/>
        <v>60</v>
      </c>
      <c r="AT928" s="232"/>
      <c r="AV928" s="198"/>
      <c r="AW928" s="274"/>
    </row>
    <row r="929" spans="2:49" x14ac:dyDescent="0.25">
      <c r="B929" s="274">
        <v>22.6</v>
      </c>
      <c r="C929" s="274">
        <v>52</v>
      </c>
      <c r="D929" s="274">
        <v>22.6</v>
      </c>
      <c r="E929" s="274">
        <v>1.1000000000000001</v>
      </c>
      <c r="F929" s="274">
        <v>1.8</v>
      </c>
      <c r="G929" s="274">
        <v>67</v>
      </c>
      <c r="H929" s="274">
        <v>1022.9</v>
      </c>
      <c r="I929" s="274">
        <v>80956</v>
      </c>
      <c r="J929" s="274">
        <v>0</v>
      </c>
      <c r="K929" s="274">
        <v>0</v>
      </c>
      <c r="L929" s="274">
        <v>0</v>
      </c>
      <c r="M929" s="274">
        <v>65.3</v>
      </c>
      <c r="N929" s="396">
        <v>599.79999999999995</v>
      </c>
      <c r="O929" s="396">
        <v>42.3</v>
      </c>
      <c r="P929" s="396">
        <v>38.6</v>
      </c>
      <c r="Q929" s="397">
        <v>0.63888888888888895</v>
      </c>
      <c r="R929" s="396"/>
      <c r="S929" s="410"/>
      <c r="T929" s="409"/>
      <c r="U929" s="398" t="str">
        <f t="shared" si="41"/>
        <v/>
      </c>
      <c r="V929" s="400"/>
      <c r="W929" s="410">
        <f t="shared" si="40"/>
        <v>42.3</v>
      </c>
      <c r="X929" s="472">
        <f t="shared" si="42"/>
        <v>60</v>
      </c>
      <c r="AT929" s="232"/>
      <c r="AV929" s="198"/>
      <c r="AW929" s="274"/>
    </row>
    <row r="930" spans="2:49" x14ac:dyDescent="0.25">
      <c r="B930" s="274">
        <v>22.7</v>
      </c>
      <c r="C930" s="274">
        <v>53</v>
      </c>
      <c r="D930" s="274">
        <v>22.7</v>
      </c>
      <c r="E930" s="274">
        <v>3.6</v>
      </c>
      <c r="F930" s="274">
        <v>5.4</v>
      </c>
      <c r="G930" s="274">
        <v>156</v>
      </c>
      <c r="H930" s="274">
        <v>1022.9</v>
      </c>
      <c r="I930" s="274">
        <v>80848</v>
      </c>
      <c r="J930" s="274">
        <v>0</v>
      </c>
      <c r="K930" s="274">
        <v>0</v>
      </c>
      <c r="L930" s="274">
        <v>0</v>
      </c>
      <c r="M930" s="274">
        <v>65.3</v>
      </c>
      <c r="N930" s="396">
        <v>599.79999999999995</v>
      </c>
      <c r="O930" s="396">
        <v>42.3</v>
      </c>
      <c r="P930" s="396">
        <v>38.5</v>
      </c>
      <c r="Q930" s="397">
        <v>0.63958333333333295</v>
      </c>
      <c r="R930" s="396"/>
      <c r="S930" s="410"/>
      <c r="T930" s="409"/>
      <c r="U930" s="398" t="str">
        <f t="shared" si="41"/>
        <v/>
      </c>
      <c r="V930" s="400"/>
      <c r="W930" s="410">
        <f t="shared" si="40"/>
        <v>42.3</v>
      </c>
      <c r="X930" s="472">
        <f t="shared" si="42"/>
        <v>60</v>
      </c>
      <c r="AT930" s="232"/>
      <c r="AV930" s="198"/>
      <c r="AW930" s="274"/>
    </row>
    <row r="931" spans="2:49" x14ac:dyDescent="0.25">
      <c r="B931" s="274">
        <v>22.7</v>
      </c>
      <c r="C931" s="274">
        <v>53</v>
      </c>
      <c r="D931" s="274">
        <v>22.7</v>
      </c>
      <c r="E931" s="274">
        <v>3.6</v>
      </c>
      <c r="F931" s="274">
        <v>5.4</v>
      </c>
      <c r="G931" s="274">
        <v>151</v>
      </c>
      <c r="H931" s="274">
        <v>1022.9</v>
      </c>
      <c r="I931" s="274">
        <v>80956</v>
      </c>
      <c r="J931" s="274">
        <v>0</v>
      </c>
      <c r="K931" s="274">
        <v>0</v>
      </c>
      <c r="L931" s="274">
        <v>0</v>
      </c>
      <c r="M931" s="274">
        <v>65.3</v>
      </c>
      <c r="N931" s="396">
        <v>599.79999999999995</v>
      </c>
      <c r="O931" s="396">
        <v>42.3</v>
      </c>
      <c r="P931" s="396">
        <v>38.5</v>
      </c>
      <c r="Q931" s="397">
        <v>0.64027777777777795</v>
      </c>
      <c r="R931" s="396"/>
      <c r="S931" s="410"/>
      <c r="T931" s="409"/>
      <c r="U931" s="398" t="str">
        <f t="shared" si="41"/>
        <v/>
      </c>
      <c r="V931" s="400"/>
      <c r="W931" s="410">
        <f t="shared" si="40"/>
        <v>42.3</v>
      </c>
      <c r="X931" s="472">
        <f t="shared" si="42"/>
        <v>60</v>
      </c>
      <c r="AT931" s="232"/>
      <c r="AV931" s="198"/>
      <c r="AW931" s="274"/>
    </row>
    <row r="932" spans="2:49" x14ac:dyDescent="0.25">
      <c r="B932" s="274">
        <v>22.7</v>
      </c>
      <c r="C932" s="274">
        <v>53</v>
      </c>
      <c r="D932" s="274">
        <v>22.7</v>
      </c>
      <c r="E932" s="274">
        <v>0.4</v>
      </c>
      <c r="F932" s="274">
        <v>1.8</v>
      </c>
      <c r="G932" s="274">
        <v>113</v>
      </c>
      <c r="H932" s="274">
        <v>1022.6</v>
      </c>
      <c r="I932" s="274">
        <v>80848</v>
      </c>
      <c r="J932" s="274">
        <v>0</v>
      </c>
      <c r="K932" s="274">
        <v>0</v>
      </c>
      <c r="L932" s="274">
        <v>0</v>
      </c>
      <c r="M932" s="274">
        <v>65.3</v>
      </c>
      <c r="N932" s="396">
        <v>599.79999999999995</v>
      </c>
      <c r="O932" s="396">
        <v>42.3</v>
      </c>
      <c r="P932" s="396">
        <v>38.5</v>
      </c>
      <c r="Q932" s="397">
        <v>0.64097222222222205</v>
      </c>
      <c r="R932" s="396"/>
      <c r="S932" s="410"/>
      <c r="T932" s="409"/>
      <c r="U932" s="398" t="str">
        <f t="shared" si="41"/>
        <v/>
      </c>
      <c r="V932" s="400"/>
      <c r="W932" s="410">
        <f t="shared" si="40"/>
        <v>42.3</v>
      </c>
      <c r="X932" s="472">
        <f t="shared" si="42"/>
        <v>60</v>
      </c>
      <c r="AT932" s="232"/>
      <c r="AV932" s="198"/>
      <c r="AW932" s="274"/>
    </row>
    <row r="933" spans="2:49" x14ac:dyDescent="0.25">
      <c r="B933" s="274">
        <v>22.5</v>
      </c>
      <c r="C933" s="274">
        <v>52</v>
      </c>
      <c r="D933" s="274">
        <v>22.5</v>
      </c>
      <c r="E933" s="274">
        <v>4</v>
      </c>
      <c r="F933" s="274">
        <v>5.4</v>
      </c>
      <c r="G933" s="274">
        <v>150</v>
      </c>
      <c r="H933" s="274">
        <v>1022.9</v>
      </c>
      <c r="I933" s="274">
        <v>80786</v>
      </c>
      <c r="J933" s="274">
        <v>0</v>
      </c>
      <c r="K933" s="274">
        <v>0</v>
      </c>
      <c r="L933" s="274">
        <v>0</v>
      </c>
      <c r="M933" s="274">
        <v>65.3</v>
      </c>
      <c r="N933" s="396">
        <v>599.79999999999995</v>
      </c>
      <c r="O933" s="396">
        <v>42.3</v>
      </c>
      <c r="P933" s="396">
        <v>38.4</v>
      </c>
      <c r="Q933" s="397">
        <v>0.64166666666666705</v>
      </c>
      <c r="R933" s="396"/>
      <c r="S933" s="410"/>
      <c r="T933" s="409"/>
      <c r="U933" s="398" t="str">
        <f t="shared" si="41"/>
        <v/>
      </c>
      <c r="V933" s="400"/>
      <c r="W933" s="410">
        <f t="shared" si="40"/>
        <v>42.3</v>
      </c>
      <c r="X933" s="472">
        <f t="shared" si="42"/>
        <v>60</v>
      </c>
      <c r="AT933" s="232"/>
      <c r="AV933" s="198"/>
      <c r="AW933" s="274"/>
    </row>
    <row r="934" spans="2:49" x14ac:dyDescent="0.25">
      <c r="B934" s="274">
        <v>22.4</v>
      </c>
      <c r="C934" s="274">
        <v>53</v>
      </c>
      <c r="D934" s="274">
        <v>22.4</v>
      </c>
      <c r="E934" s="274">
        <v>3.2</v>
      </c>
      <c r="F934" s="274">
        <v>5.4</v>
      </c>
      <c r="G934" s="274">
        <v>150</v>
      </c>
      <c r="H934" s="274">
        <v>1022.6</v>
      </c>
      <c r="I934" s="274">
        <v>80956</v>
      </c>
      <c r="J934" s="274">
        <v>0</v>
      </c>
      <c r="K934" s="274">
        <v>0</v>
      </c>
      <c r="L934" s="274">
        <v>0</v>
      </c>
      <c r="M934" s="274">
        <v>65.3</v>
      </c>
      <c r="N934" s="396">
        <v>599.79999999999995</v>
      </c>
      <c r="O934" s="396">
        <v>42.3</v>
      </c>
      <c r="P934" s="396">
        <v>38.4</v>
      </c>
      <c r="Q934" s="397">
        <v>0.64236111111111105</v>
      </c>
      <c r="R934" s="396"/>
      <c r="S934" s="410"/>
      <c r="T934" s="409"/>
      <c r="U934" s="398" t="str">
        <f t="shared" si="41"/>
        <v/>
      </c>
      <c r="V934" s="400"/>
      <c r="W934" s="410">
        <f t="shared" si="40"/>
        <v>42.3</v>
      </c>
      <c r="X934" s="472">
        <f t="shared" si="42"/>
        <v>60</v>
      </c>
      <c r="AT934" s="232"/>
      <c r="AV934" s="198"/>
      <c r="AW934" s="274"/>
    </row>
    <row r="935" spans="2:49" x14ac:dyDescent="0.25">
      <c r="B935" s="274">
        <v>22.4</v>
      </c>
      <c r="C935" s="274">
        <v>53</v>
      </c>
      <c r="D935" s="274">
        <v>22.4</v>
      </c>
      <c r="E935" s="274">
        <v>3.2</v>
      </c>
      <c r="F935" s="274">
        <v>3.6</v>
      </c>
      <c r="G935" s="274">
        <v>224</v>
      </c>
      <c r="H935" s="274">
        <v>1022.8</v>
      </c>
      <c r="I935" s="274">
        <v>81003</v>
      </c>
      <c r="J935" s="274">
        <v>0</v>
      </c>
      <c r="K935" s="274">
        <v>0</v>
      </c>
      <c r="L935" s="274">
        <v>0</v>
      </c>
      <c r="M935" s="274">
        <v>65.3</v>
      </c>
      <c r="N935" s="396">
        <v>599.79999999999995</v>
      </c>
      <c r="O935" s="396">
        <v>42.3</v>
      </c>
      <c r="P935" s="396">
        <v>38.4</v>
      </c>
      <c r="Q935" s="397">
        <v>0.64305555555555605</v>
      </c>
      <c r="R935" s="396"/>
      <c r="S935" s="410"/>
      <c r="T935" s="409"/>
      <c r="U935" s="398" t="str">
        <f t="shared" si="41"/>
        <v/>
      </c>
      <c r="V935" s="400"/>
      <c r="W935" s="410">
        <f t="shared" si="40"/>
        <v>42.3</v>
      </c>
      <c r="X935" s="472">
        <f t="shared" si="42"/>
        <v>60</v>
      </c>
      <c r="AT935" s="232"/>
      <c r="AV935" s="198"/>
      <c r="AW935" s="274"/>
    </row>
    <row r="936" spans="2:49" x14ac:dyDescent="0.25">
      <c r="B936" s="274">
        <v>22.4</v>
      </c>
      <c r="C936" s="274">
        <v>53</v>
      </c>
      <c r="D936" s="274">
        <v>22.4</v>
      </c>
      <c r="E936" s="274">
        <v>2.5</v>
      </c>
      <c r="F936" s="274">
        <v>3.6</v>
      </c>
      <c r="G936" s="274">
        <v>212</v>
      </c>
      <c r="H936" s="274">
        <v>1022.7</v>
      </c>
      <c r="I936" s="274">
        <v>80739</v>
      </c>
      <c r="J936" s="274">
        <v>0</v>
      </c>
      <c r="K936" s="274">
        <v>0</v>
      </c>
      <c r="L936" s="274">
        <v>0</v>
      </c>
      <c r="M936" s="274">
        <v>65.3</v>
      </c>
      <c r="N936" s="396">
        <v>599.79999999999995</v>
      </c>
      <c r="O936" s="396">
        <v>42.2</v>
      </c>
      <c r="P936" s="396">
        <v>38.4</v>
      </c>
      <c r="Q936" s="397">
        <v>0.64375000000000004</v>
      </c>
      <c r="R936" s="396"/>
      <c r="S936" s="410"/>
      <c r="T936" s="409"/>
      <c r="U936" s="398" t="str">
        <f t="shared" si="41"/>
        <v/>
      </c>
      <c r="V936" s="400"/>
      <c r="W936" s="410">
        <f t="shared" si="40"/>
        <v>42.2</v>
      </c>
      <c r="X936" s="472">
        <f t="shared" si="42"/>
        <v>60</v>
      </c>
      <c r="AT936" s="232"/>
      <c r="AV936" s="198"/>
      <c r="AW936" s="274"/>
    </row>
    <row r="937" spans="2:49" x14ac:dyDescent="0.25">
      <c r="B937" s="274">
        <v>22.4</v>
      </c>
      <c r="C937" s="274">
        <v>54</v>
      </c>
      <c r="D937" s="274">
        <v>22.4</v>
      </c>
      <c r="E937" s="274">
        <v>1.4</v>
      </c>
      <c r="F937" s="274">
        <v>1.8</v>
      </c>
      <c r="G937" s="274">
        <v>71</v>
      </c>
      <c r="H937" s="274">
        <v>1022.9</v>
      </c>
      <c r="I937" s="274">
        <v>80352</v>
      </c>
      <c r="J937" s="274">
        <v>0</v>
      </c>
      <c r="K937" s="274">
        <v>0</v>
      </c>
      <c r="L937" s="274">
        <v>0</v>
      </c>
      <c r="M937" s="274">
        <v>65.3</v>
      </c>
      <c r="N937" s="396">
        <v>599.79999999999995</v>
      </c>
      <c r="O937" s="396">
        <v>42.2</v>
      </c>
      <c r="P937" s="396">
        <v>38.4</v>
      </c>
      <c r="Q937" s="397">
        <v>0.64444444444444404</v>
      </c>
      <c r="R937" s="396"/>
      <c r="S937" s="410"/>
      <c r="T937" s="409"/>
      <c r="U937" s="398" t="str">
        <f t="shared" si="41"/>
        <v/>
      </c>
      <c r="V937" s="400"/>
      <c r="W937" s="410">
        <f t="shared" si="40"/>
        <v>42.2</v>
      </c>
      <c r="X937" s="472">
        <f t="shared" si="42"/>
        <v>60</v>
      </c>
      <c r="AT937" s="232"/>
      <c r="AV937" s="198"/>
      <c r="AW937" s="274"/>
    </row>
    <row r="938" spans="2:49" x14ac:dyDescent="0.25">
      <c r="B938" s="274">
        <v>22.6</v>
      </c>
      <c r="C938" s="274">
        <v>53</v>
      </c>
      <c r="D938" s="274">
        <v>22.6</v>
      </c>
      <c r="E938" s="274">
        <v>2.9</v>
      </c>
      <c r="F938" s="274">
        <v>5.4</v>
      </c>
      <c r="G938" s="274">
        <v>109</v>
      </c>
      <c r="H938" s="274">
        <v>1022.8</v>
      </c>
      <c r="I938" s="274">
        <v>80352</v>
      </c>
      <c r="J938" s="274">
        <v>0</v>
      </c>
      <c r="K938" s="274">
        <v>0</v>
      </c>
      <c r="L938" s="274">
        <v>0</v>
      </c>
      <c r="M938" s="274">
        <v>65.3</v>
      </c>
      <c r="N938" s="396">
        <v>599.79999999999995</v>
      </c>
      <c r="O938" s="396">
        <v>42.2</v>
      </c>
      <c r="P938" s="396">
        <v>38.299999999999997</v>
      </c>
      <c r="Q938" s="397">
        <v>0.64513888888888904</v>
      </c>
      <c r="R938" s="396"/>
      <c r="S938" s="410"/>
      <c r="T938" s="409"/>
      <c r="U938" s="398" t="str">
        <f t="shared" si="41"/>
        <v/>
      </c>
      <c r="V938" s="400"/>
      <c r="W938" s="410">
        <f t="shared" si="40"/>
        <v>42.2</v>
      </c>
      <c r="X938" s="472">
        <f t="shared" si="42"/>
        <v>60</v>
      </c>
      <c r="AT938" s="232"/>
      <c r="AV938" s="198"/>
      <c r="AW938" s="274"/>
    </row>
    <row r="939" spans="2:49" x14ac:dyDescent="0.25">
      <c r="B939" s="274">
        <v>22.6</v>
      </c>
      <c r="C939" s="274">
        <v>54</v>
      </c>
      <c r="D939" s="274">
        <v>22.6</v>
      </c>
      <c r="E939" s="274">
        <v>2.2000000000000002</v>
      </c>
      <c r="F939" s="274">
        <v>3.6</v>
      </c>
      <c r="G939" s="274">
        <v>89</v>
      </c>
      <c r="H939" s="274">
        <v>1022.6</v>
      </c>
      <c r="I939" s="274">
        <v>80460</v>
      </c>
      <c r="J939" s="274">
        <v>0</v>
      </c>
      <c r="K939" s="274">
        <v>0</v>
      </c>
      <c r="L939" s="274">
        <v>0</v>
      </c>
      <c r="M939" s="274">
        <v>65.3</v>
      </c>
      <c r="N939" s="396">
        <v>599.79999999999995</v>
      </c>
      <c r="O939" s="396">
        <v>42.1</v>
      </c>
      <c r="P939" s="396">
        <v>38.299999999999997</v>
      </c>
      <c r="Q939" s="397">
        <v>0.64583333333333304</v>
      </c>
      <c r="R939" s="396"/>
      <c r="S939" s="410"/>
      <c r="T939" s="409"/>
      <c r="U939" s="398" t="str">
        <f t="shared" si="41"/>
        <v/>
      </c>
      <c r="V939" s="400"/>
      <c r="W939" s="410">
        <f t="shared" si="40"/>
        <v>42.1</v>
      </c>
      <c r="X939" s="472">
        <f t="shared" si="42"/>
        <v>60</v>
      </c>
      <c r="AT939" s="232"/>
      <c r="AV939" s="198"/>
      <c r="AW939" s="274"/>
    </row>
    <row r="940" spans="2:49" x14ac:dyDescent="0.25">
      <c r="B940" s="274">
        <v>22.5</v>
      </c>
      <c r="C940" s="274">
        <v>52</v>
      </c>
      <c r="D940" s="274">
        <v>22.5</v>
      </c>
      <c r="E940" s="274">
        <v>3.6</v>
      </c>
      <c r="F940" s="274">
        <v>5.4</v>
      </c>
      <c r="G940" s="274">
        <v>140</v>
      </c>
      <c r="H940" s="274">
        <v>1022.8</v>
      </c>
      <c r="I940" s="274">
        <v>79856</v>
      </c>
      <c r="J940" s="274">
        <v>0</v>
      </c>
      <c r="K940" s="274">
        <v>0</v>
      </c>
      <c r="L940" s="274">
        <v>0</v>
      </c>
      <c r="M940" s="274">
        <v>65.3</v>
      </c>
      <c r="N940" s="396">
        <v>599.79999999999995</v>
      </c>
      <c r="O940" s="396">
        <v>42.1</v>
      </c>
      <c r="P940" s="396">
        <v>38.4</v>
      </c>
      <c r="Q940" s="397">
        <v>0.64652777777777803</v>
      </c>
      <c r="R940" s="396"/>
      <c r="S940" s="410"/>
      <c r="T940" s="409"/>
      <c r="U940" s="398" t="str">
        <f t="shared" si="41"/>
        <v/>
      </c>
      <c r="V940" s="400"/>
      <c r="W940" s="410">
        <f t="shared" si="40"/>
        <v>42.1</v>
      </c>
      <c r="X940" s="472">
        <f t="shared" si="42"/>
        <v>60</v>
      </c>
      <c r="AT940" s="232"/>
      <c r="AV940" s="198"/>
      <c r="AW940" s="274"/>
    </row>
    <row r="941" spans="2:49" x14ac:dyDescent="0.25">
      <c r="B941" s="274">
        <v>22.3</v>
      </c>
      <c r="C941" s="274">
        <v>53</v>
      </c>
      <c r="D941" s="274">
        <v>22.3</v>
      </c>
      <c r="E941" s="274">
        <v>2.2000000000000002</v>
      </c>
      <c r="F941" s="274">
        <v>3.6</v>
      </c>
      <c r="G941" s="274">
        <v>88</v>
      </c>
      <c r="H941" s="274">
        <v>1022.7</v>
      </c>
      <c r="I941" s="274">
        <v>79685</v>
      </c>
      <c r="J941" s="274">
        <v>0</v>
      </c>
      <c r="K941" s="274">
        <v>0</v>
      </c>
      <c r="L941" s="274">
        <v>0</v>
      </c>
      <c r="M941" s="274">
        <v>65.3</v>
      </c>
      <c r="N941" s="396">
        <v>599.79999999999995</v>
      </c>
      <c r="O941" s="396">
        <v>42</v>
      </c>
      <c r="P941" s="396">
        <v>38.4</v>
      </c>
      <c r="Q941" s="397">
        <v>0.64722222222222203</v>
      </c>
      <c r="R941" s="396"/>
      <c r="S941" s="410"/>
      <c r="T941" s="409"/>
      <c r="U941" s="398" t="str">
        <f t="shared" si="41"/>
        <v/>
      </c>
      <c r="V941" s="400"/>
      <c r="W941" s="410">
        <f t="shared" si="40"/>
        <v>42</v>
      </c>
      <c r="X941" s="472">
        <f t="shared" si="42"/>
        <v>60</v>
      </c>
      <c r="AT941" s="232"/>
      <c r="AV941" s="198"/>
      <c r="AW941" s="274"/>
    </row>
    <row r="942" spans="2:49" x14ac:dyDescent="0.25">
      <c r="B942" s="274">
        <v>22.2</v>
      </c>
      <c r="C942" s="274">
        <v>53</v>
      </c>
      <c r="D942" s="274">
        <v>22.2</v>
      </c>
      <c r="E942" s="274">
        <v>4.7</v>
      </c>
      <c r="F942" s="274">
        <v>7.2</v>
      </c>
      <c r="G942" s="274">
        <v>105</v>
      </c>
      <c r="H942" s="274">
        <v>1022.9</v>
      </c>
      <c r="I942" s="274">
        <v>78972</v>
      </c>
      <c r="J942" s="274">
        <v>0</v>
      </c>
      <c r="K942" s="274">
        <v>0</v>
      </c>
      <c r="L942" s="274">
        <v>0</v>
      </c>
      <c r="M942" s="274">
        <v>65.3</v>
      </c>
      <c r="N942" s="396">
        <v>599.79999999999995</v>
      </c>
      <c r="O942" s="396">
        <v>42</v>
      </c>
      <c r="P942" s="396">
        <v>38.4</v>
      </c>
      <c r="Q942" s="397">
        <v>0.64791666666666703</v>
      </c>
      <c r="R942" s="396"/>
      <c r="S942" s="410"/>
      <c r="T942" s="409"/>
      <c r="U942" s="398" t="str">
        <f t="shared" si="41"/>
        <v/>
      </c>
      <c r="V942" s="400"/>
      <c r="W942" s="410">
        <f t="shared" si="40"/>
        <v>42</v>
      </c>
      <c r="X942" s="472">
        <f t="shared" si="42"/>
        <v>60</v>
      </c>
      <c r="AT942" s="232"/>
      <c r="AV942" s="198"/>
      <c r="AW942" s="274"/>
    </row>
    <row r="943" spans="2:49" x14ac:dyDescent="0.25">
      <c r="B943" s="274">
        <v>22.1</v>
      </c>
      <c r="C943" s="274">
        <v>53</v>
      </c>
      <c r="D943" s="274">
        <v>22.1</v>
      </c>
      <c r="E943" s="274">
        <v>2.9</v>
      </c>
      <c r="F943" s="274">
        <v>5.4</v>
      </c>
      <c r="G943" s="274">
        <v>178</v>
      </c>
      <c r="H943" s="274">
        <v>1022.6</v>
      </c>
      <c r="I943" s="274">
        <v>78709</v>
      </c>
      <c r="J943" s="274">
        <v>0</v>
      </c>
      <c r="K943" s="274">
        <v>0</v>
      </c>
      <c r="L943" s="274">
        <v>0</v>
      </c>
      <c r="M943" s="274">
        <v>65.3</v>
      </c>
      <c r="N943" s="396">
        <v>599.79999999999995</v>
      </c>
      <c r="O943" s="396">
        <v>41.9</v>
      </c>
      <c r="P943" s="396">
        <v>38.4</v>
      </c>
      <c r="Q943" s="397">
        <v>0.64861111111111103</v>
      </c>
      <c r="R943" s="396"/>
      <c r="S943" s="410"/>
      <c r="T943" s="409"/>
      <c r="U943" s="398" t="str">
        <f t="shared" si="41"/>
        <v/>
      </c>
      <c r="V943" s="400"/>
      <c r="W943" s="410">
        <f t="shared" si="40"/>
        <v>41.9</v>
      </c>
      <c r="X943" s="472">
        <f t="shared" si="42"/>
        <v>60</v>
      </c>
      <c r="AT943" s="232"/>
      <c r="AV943" s="198"/>
      <c r="AW943" s="274"/>
    </row>
    <row r="944" spans="2:49" x14ac:dyDescent="0.25">
      <c r="B944" s="274">
        <v>22.1</v>
      </c>
      <c r="C944" s="274">
        <v>53</v>
      </c>
      <c r="D944" s="274">
        <v>22.1</v>
      </c>
      <c r="E944" s="274">
        <v>4</v>
      </c>
      <c r="F944" s="274">
        <v>7.2</v>
      </c>
      <c r="G944" s="274">
        <v>130</v>
      </c>
      <c r="H944" s="274">
        <v>1022.8</v>
      </c>
      <c r="I944" s="274">
        <v>78213</v>
      </c>
      <c r="J944" s="274">
        <v>0</v>
      </c>
      <c r="K944" s="274">
        <v>0</v>
      </c>
      <c r="L944" s="274">
        <v>0</v>
      </c>
      <c r="M944" s="274">
        <v>65.3</v>
      </c>
      <c r="N944" s="396">
        <v>599.79999999999995</v>
      </c>
      <c r="O944" s="396">
        <v>41.7</v>
      </c>
      <c r="P944" s="396">
        <v>38.4</v>
      </c>
      <c r="Q944" s="397">
        <v>0.64930555555555602</v>
      </c>
      <c r="R944" s="396"/>
      <c r="S944" s="410"/>
      <c r="T944" s="409"/>
      <c r="U944" s="398" t="str">
        <f t="shared" si="41"/>
        <v/>
      </c>
      <c r="V944" s="400"/>
      <c r="W944" s="410">
        <f t="shared" si="40"/>
        <v>41.7</v>
      </c>
      <c r="X944" s="472">
        <f t="shared" si="42"/>
        <v>60</v>
      </c>
      <c r="AT944" s="232"/>
      <c r="AV944" s="198"/>
      <c r="AW944" s="274"/>
    </row>
    <row r="945" spans="2:49" x14ac:dyDescent="0.25">
      <c r="B945" s="274">
        <v>22.1</v>
      </c>
      <c r="C945" s="274">
        <v>53</v>
      </c>
      <c r="D945" s="274">
        <v>22.1</v>
      </c>
      <c r="E945" s="274">
        <v>0.7</v>
      </c>
      <c r="F945" s="274">
        <v>1.8</v>
      </c>
      <c r="G945" s="274">
        <v>116</v>
      </c>
      <c r="H945" s="274">
        <v>1022.8</v>
      </c>
      <c r="I945" s="274">
        <v>77608</v>
      </c>
      <c r="J945" s="274">
        <v>0</v>
      </c>
      <c r="K945" s="274">
        <v>0</v>
      </c>
      <c r="L945" s="274">
        <v>0</v>
      </c>
      <c r="M945" s="274">
        <v>65.3</v>
      </c>
      <c r="N945" s="396">
        <v>599.79999999999995</v>
      </c>
      <c r="O945" s="396">
        <v>41.6</v>
      </c>
      <c r="P945" s="396">
        <v>38.299999999999997</v>
      </c>
      <c r="Q945" s="397">
        <v>0.65</v>
      </c>
      <c r="R945" s="396"/>
      <c r="S945" s="410"/>
      <c r="T945" s="409"/>
      <c r="U945" s="398" t="str">
        <f t="shared" si="41"/>
        <v/>
      </c>
      <c r="V945" s="400"/>
      <c r="W945" s="410">
        <f t="shared" si="40"/>
        <v>41.6</v>
      </c>
      <c r="X945" s="472">
        <f t="shared" si="42"/>
        <v>60</v>
      </c>
      <c r="AT945" s="232"/>
      <c r="AV945" s="198"/>
      <c r="AW945" s="274"/>
    </row>
    <row r="946" spans="2:49" x14ac:dyDescent="0.25">
      <c r="B946" s="274">
        <v>22.2</v>
      </c>
      <c r="C946" s="274">
        <v>53</v>
      </c>
      <c r="D946" s="274">
        <v>22.2</v>
      </c>
      <c r="E946" s="274">
        <v>2.5</v>
      </c>
      <c r="F946" s="274">
        <v>3.6</v>
      </c>
      <c r="G946" s="274">
        <v>100</v>
      </c>
      <c r="H946" s="274">
        <v>1022.7</v>
      </c>
      <c r="I946" s="274">
        <v>76833</v>
      </c>
      <c r="J946" s="274">
        <v>0</v>
      </c>
      <c r="K946" s="274">
        <v>0</v>
      </c>
      <c r="L946" s="274">
        <v>0</v>
      </c>
      <c r="M946" s="274">
        <v>65.3</v>
      </c>
      <c r="N946" s="396">
        <v>599.79999999999995</v>
      </c>
      <c r="O946" s="396">
        <v>41.4</v>
      </c>
      <c r="P946" s="396">
        <v>38.200000000000003</v>
      </c>
      <c r="Q946" s="397">
        <v>0.65069444444444402</v>
      </c>
      <c r="R946" s="396"/>
      <c r="S946" s="410"/>
      <c r="T946" s="409"/>
      <c r="U946" s="398" t="str">
        <f t="shared" si="41"/>
        <v/>
      </c>
      <c r="V946" s="400"/>
      <c r="W946" s="410">
        <f t="shared" ref="W946:W1009" si="43">MAX(O946:P946)</f>
        <v>41.4</v>
      </c>
      <c r="X946" s="472">
        <f t="shared" si="42"/>
        <v>60</v>
      </c>
      <c r="AT946" s="232"/>
      <c r="AV946" s="198"/>
      <c r="AW946" s="274"/>
    </row>
    <row r="947" spans="2:49" x14ac:dyDescent="0.25">
      <c r="B947" s="274">
        <v>22.4</v>
      </c>
      <c r="C947" s="274">
        <v>52</v>
      </c>
      <c r="D947" s="274">
        <v>22.4</v>
      </c>
      <c r="E947" s="274">
        <v>0.4</v>
      </c>
      <c r="F947" s="274">
        <v>1.8</v>
      </c>
      <c r="G947" s="274">
        <v>304</v>
      </c>
      <c r="H947" s="274">
        <v>1022.7</v>
      </c>
      <c r="I947" s="274">
        <v>76167</v>
      </c>
      <c r="J947" s="274">
        <v>0</v>
      </c>
      <c r="K947" s="274">
        <v>0</v>
      </c>
      <c r="L947" s="274">
        <v>0</v>
      </c>
      <c r="M947" s="274">
        <v>65.3</v>
      </c>
      <c r="N947" s="396">
        <v>599.79999999999995</v>
      </c>
      <c r="O947" s="396">
        <v>41.4</v>
      </c>
      <c r="P947" s="396">
        <v>38.200000000000003</v>
      </c>
      <c r="Q947" s="397">
        <v>0.65138888888888902</v>
      </c>
      <c r="R947" s="396"/>
      <c r="S947" s="410"/>
      <c r="T947" s="409"/>
      <c r="U947" s="398" t="str">
        <f t="shared" si="41"/>
        <v/>
      </c>
      <c r="V947" s="400"/>
      <c r="W947" s="410">
        <f t="shared" si="43"/>
        <v>41.4</v>
      </c>
      <c r="X947" s="472">
        <f t="shared" si="42"/>
        <v>60</v>
      </c>
      <c r="AT947" s="232"/>
      <c r="AV947" s="198"/>
      <c r="AW947" s="274"/>
    </row>
    <row r="948" spans="2:49" x14ac:dyDescent="0.25">
      <c r="B948" s="274">
        <v>22.7</v>
      </c>
      <c r="C948" s="274">
        <v>51</v>
      </c>
      <c r="D948" s="274">
        <v>22.7</v>
      </c>
      <c r="E948" s="274">
        <v>2.2000000000000002</v>
      </c>
      <c r="F948" s="274">
        <v>3.6</v>
      </c>
      <c r="G948" s="274">
        <v>192</v>
      </c>
      <c r="H948" s="274">
        <v>1022.8</v>
      </c>
      <c r="I948" s="274">
        <v>75950</v>
      </c>
      <c r="J948" s="274">
        <v>0</v>
      </c>
      <c r="K948" s="274">
        <v>0</v>
      </c>
      <c r="L948" s="274">
        <v>0</v>
      </c>
      <c r="M948" s="274">
        <v>65.3</v>
      </c>
      <c r="N948" s="396">
        <v>599.79999999999995</v>
      </c>
      <c r="O948" s="396">
        <v>41.4</v>
      </c>
      <c r="P948" s="396">
        <v>38.1</v>
      </c>
      <c r="Q948" s="397">
        <v>0.65208333333333302</v>
      </c>
      <c r="R948" s="396"/>
      <c r="S948" s="410"/>
      <c r="T948" s="409"/>
      <c r="U948" s="398" t="str">
        <f t="shared" si="41"/>
        <v/>
      </c>
      <c r="V948" s="400"/>
      <c r="W948" s="410">
        <f t="shared" si="43"/>
        <v>41.4</v>
      </c>
      <c r="X948" s="472">
        <f t="shared" si="42"/>
        <v>60</v>
      </c>
      <c r="AT948" s="232"/>
      <c r="AV948" s="198"/>
      <c r="AW948" s="274"/>
    </row>
    <row r="949" spans="2:49" x14ac:dyDescent="0.25">
      <c r="B949" s="274">
        <v>23.2</v>
      </c>
      <c r="C949" s="274">
        <v>50</v>
      </c>
      <c r="D949" s="274">
        <v>23.2</v>
      </c>
      <c r="E949" s="274">
        <v>1.1000000000000001</v>
      </c>
      <c r="F949" s="274">
        <v>1.8</v>
      </c>
      <c r="G949" s="274">
        <v>200</v>
      </c>
      <c r="H949" s="274">
        <v>1022.8</v>
      </c>
      <c r="I949" s="274">
        <v>75841</v>
      </c>
      <c r="J949" s="274">
        <v>0</v>
      </c>
      <c r="K949" s="274">
        <v>0</v>
      </c>
      <c r="L949" s="274">
        <v>0</v>
      </c>
      <c r="M949" s="274">
        <v>65.3</v>
      </c>
      <c r="N949" s="396">
        <v>599.79999999999995</v>
      </c>
      <c r="O949" s="396">
        <v>41.6</v>
      </c>
      <c r="P949" s="396">
        <v>38.1</v>
      </c>
      <c r="Q949" s="397">
        <v>0.65277777777777801</v>
      </c>
      <c r="R949" s="396"/>
      <c r="S949" s="410"/>
      <c r="T949" s="409"/>
      <c r="U949" s="398" t="str">
        <f t="shared" si="41"/>
        <v/>
      </c>
      <c r="V949" s="400"/>
      <c r="W949" s="410">
        <f t="shared" si="43"/>
        <v>41.6</v>
      </c>
      <c r="X949" s="472">
        <f t="shared" si="42"/>
        <v>60</v>
      </c>
      <c r="AT949" s="232"/>
      <c r="AV949" s="198"/>
      <c r="AW949" s="274"/>
    </row>
    <row r="950" spans="2:49" x14ac:dyDescent="0.25">
      <c r="B950" s="274">
        <v>23.3</v>
      </c>
      <c r="C950" s="274">
        <v>51</v>
      </c>
      <c r="D950" s="274">
        <v>23.3</v>
      </c>
      <c r="E950" s="274">
        <v>1.4</v>
      </c>
      <c r="F950" s="274">
        <v>1.8</v>
      </c>
      <c r="G950" s="274">
        <v>113</v>
      </c>
      <c r="H950" s="274">
        <v>1022.8</v>
      </c>
      <c r="I950" s="274">
        <v>75516</v>
      </c>
      <c r="J950" s="274">
        <v>0</v>
      </c>
      <c r="K950" s="274">
        <v>0</v>
      </c>
      <c r="L950" s="274">
        <v>0</v>
      </c>
      <c r="M950" s="274">
        <v>65.3</v>
      </c>
      <c r="N950" s="396">
        <v>599.79999999999995</v>
      </c>
      <c r="O950" s="396">
        <v>41.8</v>
      </c>
      <c r="P950" s="396">
        <v>38.200000000000003</v>
      </c>
      <c r="Q950" s="397">
        <v>0.65347222222222201</v>
      </c>
      <c r="R950" s="396"/>
      <c r="S950" s="410"/>
      <c r="T950" s="409"/>
      <c r="U950" s="398" t="str">
        <f t="shared" si="41"/>
        <v/>
      </c>
      <c r="V950" s="400"/>
      <c r="W950" s="410">
        <f t="shared" si="43"/>
        <v>41.8</v>
      </c>
      <c r="X950" s="472">
        <f t="shared" si="42"/>
        <v>60</v>
      </c>
      <c r="AT950" s="232"/>
      <c r="AV950" s="198"/>
      <c r="AW950" s="274"/>
    </row>
    <row r="951" spans="2:49" x14ac:dyDescent="0.25">
      <c r="B951" s="274">
        <v>23.3</v>
      </c>
      <c r="C951" s="274">
        <v>51</v>
      </c>
      <c r="D951" s="274">
        <v>23.3</v>
      </c>
      <c r="E951" s="274">
        <v>0.4</v>
      </c>
      <c r="F951" s="274">
        <v>1.8</v>
      </c>
      <c r="G951" s="274">
        <v>114</v>
      </c>
      <c r="H951" s="274">
        <v>1022.6</v>
      </c>
      <c r="I951" s="274">
        <v>75516</v>
      </c>
      <c r="J951" s="274">
        <v>0</v>
      </c>
      <c r="K951" s="274">
        <v>0</v>
      </c>
      <c r="L951" s="274">
        <v>0</v>
      </c>
      <c r="M951" s="274">
        <v>65.3</v>
      </c>
      <c r="N951" s="396">
        <v>599.79999999999995</v>
      </c>
      <c r="O951" s="396">
        <v>42</v>
      </c>
      <c r="P951" s="396">
        <v>38.200000000000003</v>
      </c>
      <c r="Q951" s="397">
        <v>0.65416666666666701</v>
      </c>
      <c r="R951" s="396"/>
      <c r="S951" s="410"/>
      <c r="T951" s="409"/>
      <c r="U951" s="398" t="str">
        <f t="shared" si="41"/>
        <v/>
      </c>
      <c r="V951" s="400"/>
      <c r="W951" s="410">
        <f t="shared" si="43"/>
        <v>42</v>
      </c>
      <c r="X951" s="472">
        <f t="shared" si="42"/>
        <v>60</v>
      </c>
      <c r="AT951" s="232"/>
      <c r="AV951" s="198"/>
      <c r="AW951" s="274"/>
    </row>
    <row r="952" spans="2:49" x14ac:dyDescent="0.25">
      <c r="B952" s="274">
        <v>23.5</v>
      </c>
      <c r="C952" s="274">
        <v>51</v>
      </c>
      <c r="D952" s="274">
        <v>23.5</v>
      </c>
      <c r="E952" s="274">
        <v>1.1000000000000001</v>
      </c>
      <c r="F952" s="274">
        <v>1.8</v>
      </c>
      <c r="G952" s="274">
        <v>246</v>
      </c>
      <c r="H952" s="274">
        <v>1023</v>
      </c>
      <c r="I952" s="274">
        <v>74958</v>
      </c>
      <c r="J952" s="274">
        <v>0</v>
      </c>
      <c r="K952" s="274">
        <v>0</v>
      </c>
      <c r="L952" s="274">
        <v>0</v>
      </c>
      <c r="M952" s="274">
        <v>65.3</v>
      </c>
      <c r="N952" s="396">
        <v>599.79999999999995</v>
      </c>
      <c r="O952" s="396">
        <v>42.2</v>
      </c>
      <c r="P952" s="396">
        <v>38.299999999999997</v>
      </c>
      <c r="Q952" s="397">
        <v>0.65486111111111101</v>
      </c>
      <c r="R952" s="396"/>
      <c r="S952" s="410"/>
      <c r="T952" s="409"/>
      <c r="U952" s="398" t="str">
        <f t="shared" si="41"/>
        <v/>
      </c>
      <c r="V952" s="400"/>
      <c r="W952" s="410">
        <f t="shared" si="43"/>
        <v>42.2</v>
      </c>
      <c r="X952" s="472">
        <f t="shared" si="42"/>
        <v>60</v>
      </c>
      <c r="AT952" s="232"/>
      <c r="AV952" s="198"/>
      <c r="AW952" s="274"/>
    </row>
    <row r="953" spans="2:49" x14ac:dyDescent="0.25">
      <c r="B953" s="274">
        <v>23.5</v>
      </c>
      <c r="C953" s="274">
        <v>51</v>
      </c>
      <c r="D953" s="274">
        <v>23.5</v>
      </c>
      <c r="E953" s="274">
        <v>1.4</v>
      </c>
      <c r="F953" s="274">
        <v>1.8</v>
      </c>
      <c r="G953" s="274">
        <v>106</v>
      </c>
      <c r="H953" s="274">
        <v>1022.7</v>
      </c>
      <c r="I953" s="274">
        <v>74524</v>
      </c>
      <c r="J953" s="274">
        <v>0</v>
      </c>
      <c r="K953" s="274">
        <v>0</v>
      </c>
      <c r="L953" s="274">
        <v>0</v>
      </c>
      <c r="M953" s="274">
        <v>65.3</v>
      </c>
      <c r="N953" s="396">
        <v>599.79999999999995</v>
      </c>
      <c r="O953" s="396">
        <v>42.4</v>
      </c>
      <c r="P953" s="396">
        <v>38.5</v>
      </c>
      <c r="Q953" s="397">
        <v>0.655555555555556</v>
      </c>
      <c r="R953" s="396"/>
      <c r="S953" s="410"/>
      <c r="T953" s="409"/>
      <c r="U953" s="398" t="str">
        <f t="shared" si="41"/>
        <v/>
      </c>
      <c r="V953" s="400"/>
      <c r="W953" s="410">
        <f t="shared" si="43"/>
        <v>42.4</v>
      </c>
      <c r="X953" s="472">
        <f t="shared" si="42"/>
        <v>60</v>
      </c>
      <c r="AT953" s="232"/>
      <c r="AV953" s="198"/>
      <c r="AW953" s="274"/>
    </row>
    <row r="954" spans="2:49" x14ac:dyDescent="0.25">
      <c r="B954" s="274">
        <v>23.4</v>
      </c>
      <c r="C954" s="274">
        <v>50</v>
      </c>
      <c r="D954" s="274">
        <v>23.4</v>
      </c>
      <c r="E954" s="274">
        <v>3.6</v>
      </c>
      <c r="F954" s="274">
        <v>7.2</v>
      </c>
      <c r="G954" s="274">
        <v>138</v>
      </c>
      <c r="H954" s="274">
        <v>1022.6</v>
      </c>
      <c r="I954" s="274">
        <v>74803</v>
      </c>
      <c r="J954" s="274">
        <v>0</v>
      </c>
      <c r="K954" s="274">
        <v>0</v>
      </c>
      <c r="L954" s="274">
        <v>0</v>
      </c>
      <c r="M954" s="274">
        <v>65.3</v>
      </c>
      <c r="N954" s="396">
        <v>599.79999999999995</v>
      </c>
      <c r="O954" s="396">
        <v>42.6</v>
      </c>
      <c r="P954" s="396">
        <v>38.5</v>
      </c>
      <c r="Q954" s="397">
        <v>0.65625</v>
      </c>
      <c r="R954" s="396"/>
      <c r="S954" s="410"/>
      <c r="T954" s="409"/>
      <c r="U954" s="398" t="str">
        <f t="shared" si="41"/>
        <v/>
      </c>
      <c r="V954" s="400"/>
      <c r="W954" s="410">
        <f t="shared" si="43"/>
        <v>42.6</v>
      </c>
      <c r="X954" s="472">
        <f t="shared" si="42"/>
        <v>60</v>
      </c>
      <c r="AT954" s="232"/>
      <c r="AV954" s="198"/>
      <c r="AW954" s="274"/>
    </row>
    <row r="955" spans="2:49" x14ac:dyDescent="0.25">
      <c r="B955" s="274">
        <v>23.4</v>
      </c>
      <c r="C955" s="274">
        <v>52</v>
      </c>
      <c r="D955" s="274">
        <v>23.4</v>
      </c>
      <c r="E955" s="274">
        <v>6.1</v>
      </c>
      <c r="F955" s="274">
        <v>7.2</v>
      </c>
      <c r="G955" s="274">
        <v>170</v>
      </c>
      <c r="H955" s="274">
        <v>1022.8</v>
      </c>
      <c r="I955" s="274">
        <v>75624</v>
      </c>
      <c r="J955" s="274">
        <v>0</v>
      </c>
      <c r="K955" s="274">
        <v>0</v>
      </c>
      <c r="L955" s="274">
        <v>0</v>
      </c>
      <c r="M955" s="274">
        <v>65.3</v>
      </c>
      <c r="N955" s="396">
        <v>599.79999999999995</v>
      </c>
      <c r="O955" s="396">
        <v>42.8</v>
      </c>
      <c r="P955" s="396">
        <v>38.6</v>
      </c>
      <c r="Q955" s="397">
        <v>0.656944444444444</v>
      </c>
      <c r="R955" s="396"/>
      <c r="S955" s="410"/>
      <c r="T955" s="409"/>
      <c r="U955" s="398" t="str">
        <f t="shared" si="41"/>
        <v/>
      </c>
      <c r="V955" s="400"/>
      <c r="W955" s="410">
        <f t="shared" si="43"/>
        <v>42.8</v>
      </c>
      <c r="X955" s="472">
        <f t="shared" si="42"/>
        <v>60</v>
      </c>
      <c r="AT955" s="232"/>
      <c r="AV955" s="198"/>
      <c r="AW955" s="274"/>
    </row>
    <row r="956" spans="2:49" x14ac:dyDescent="0.25">
      <c r="B956" s="274">
        <v>23</v>
      </c>
      <c r="C956" s="274">
        <v>53</v>
      </c>
      <c r="D956" s="274">
        <v>23</v>
      </c>
      <c r="E956" s="274">
        <v>2.9</v>
      </c>
      <c r="F956" s="274">
        <v>5.4</v>
      </c>
      <c r="G956" s="274">
        <v>116</v>
      </c>
      <c r="H956" s="274">
        <v>1022.8</v>
      </c>
      <c r="I956" s="274">
        <v>76833</v>
      </c>
      <c r="J956" s="274">
        <v>0</v>
      </c>
      <c r="K956" s="274">
        <v>0</v>
      </c>
      <c r="L956" s="274">
        <v>0</v>
      </c>
      <c r="M956" s="274">
        <v>65.3</v>
      </c>
      <c r="N956" s="396">
        <v>599.79999999999995</v>
      </c>
      <c r="O956" s="396">
        <v>42.8</v>
      </c>
      <c r="P956" s="396">
        <v>38.6</v>
      </c>
      <c r="Q956" s="397">
        <v>0.65763888888888899</v>
      </c>
      <c r="R956" s="396"/>
      <c r="S956" s="410"/>
      <c r="T956" s="409"/>
      <c r="U956" s="398" t="str">
        <f t="shared" si="41"/>
        <v/>
      </c>
      <c r="V956" s="400"/>
      <c r="W956" s="410">
        <f t="shared" si="43"/>
        <v>42.8</v>
      </c>
      <c r="X956" s="472">
        <f t="shared" si="42"/>
        <v>60</v>
      </c>
      <c r="AT956" s="232"/>
      <c r="AV956" s="198"/>
      <c r="AW956" s="274"/>
    </row>
    <row r="957" spans="2:49" x14ac:dyDescent="0.25">
      <c r="B957" s="274">
        <v>22.9</v>
      </c>
      <c r="C957" s="274">
        <v>52</v>
      </c>
      <c r="D957" s="274">
        <v>22.9</v>
      </c>
      <c r="E957" s="274">
        <v>4</v>
      </c>
      <c r="F957" s="274">
        <v>7.2</v>
      </c>
      <c r="G957" s="274">
        <v>163</v>
      </c>
      <c r="H957" s="274">
        <v>1022.7</v>
      </c>
      <c r="I957" s="274">
        <v>77655</v>
      </c>
      <c r="J957" s="274">
        <v>0</v>
      </c>
      <c r="K957" s="274">
        <v>0</v>
      </c>
      <c r="L957" s="274">
        <v>0</v>
      </c>
      <c r="M957" s="274">
        <v>65.3</v>
      </c>
      <c r="N957" s="396">
        <v>599.79999999999995</v>
      </c>
      <c r="O957" s="396">
        <v>42.7</v>
      </c>
      <c r="P957" s="396">
        <v>38.6</v>
      </c>
      <c r="Q957" s="397">
        <v>0.65833333333333299</v>
      </c>
      <c r="R957" s="396"/>
      <c r="S957" s="410"/>
      <c r="T957" s="409"/>
      <c r="U957" s="398" t="str">
        <f t="shared" si="41"/>
        <v/>
      </c>
      <c r="V957" s="400"/>
      <c r="W957" s="410">
        <f t="shared" si="43"/>
        <v>42.7</v>
      </c>
      <c r="X957" s="472">
        <f t="shared" si="42"/>
        <v>60</v>
      </c>
      <c r="AT957" s="232"/>
      <c r="AV957" s="198"/>
      <c r="AW957" s="274"/>
    </row>
    <row r="958" spans="2:49" x14ac:dyDescent="0.25">
      <c r="B958" s="274">
        <v>22.8</v>
      </c>
      <c r="C958" s="274">
        <v>52</v>
      </c>
      <c r="D958" s="274">
        <v>22.8</v>
      </c>
      <c r="E958" s="274">
        <v>3.2</v>
      </c>
      <c r="F958" s="274">
        <v>3.6</v>
      </c>
      <c r="G958" s="274">
        <v>250</v>
      </c>
      <c r="H958" s="274">
        <v>1022.9</v>
      </c>
      <c r="I958" s="274">
        <v>78213</v>
      </c>
      <c r="J958" s="274">
        <v>0</v>
      </c>
      <c r="K958" s="274">
        <v>0</v>
      </c>
      <c r="L958" s="274">
        <v>0</v>
      </c>
      <c r="M958" s="274">
        <v>65.3</v>
      </c>
      <c r="N958" s="396">
        <v>599.79999999999995</v>
      </c>
      <c r="O958" s="396">
        <v>42.6</v>
      </c>
      <c r="P958" s="396">
        <v>38.6</v>
      </c>
      <c r="Q958" s="397">
        <v>0.65902777777777799</v>
      </c>
      <c r="R958" s="396"/>
      <c r="S958" s="410"/>
      <c r="T958" s="409"/>
      <c r="U958" s="398" t="str">
        <f t="shared" si="41"/>
        <v/>
      </c>
      <c r="V958" s="400"/>
      <c r="W958" s="410">
        <f t="shared" si="43"/>
        <v>42.6</v>
      </c>
      <c r="X958" s="472">
        <f t="shared" si="42"/>
        <v>60</v>
      </c>
      <c r="AT958" s="232"/>
      <c r="AV958" s="198"/>
      <c r="AW958" s="274"/>
    </row>
    <row r="959" spans="2:49" x14ac:dyDescent="0.25">
      <c r="B959" s="274">
        <v>22.7</v>
      </c>
      <c r="C959" s="274">
        <v>52</v>
      </c>
      <c r="D959" s="274">
        <v>22.7</v>
      </c>
      <c r="E959" s="274">
        <v>4.7</v>
      </c>
      <c r="F959" s="274">
        <v>7.2</v>
      </c>
      <c r="G959" s="274">
        <v>155</v>
      </c>
      <c r="H959" s="274">
        <v>1022.8</v>
      </c>
      <c r="I959" s="274">
        <v>78104</v>
      </c>
      <c r="J959" s="274">
        <v>0</v>
      </c>
      <c r="K959" s="274">
        <v>0</v>
      </c>
      <c r="L959" s="274">
        <v>0</v>
      </c>
      <c r="M959" s="274">
        <v>65.3</v>
      </c>
      <c r="N959" s="396">
        <v>599.79999999999995</v>
      </c>
      <c r="O959" s="396">
        <v>42.6</v>
      </c>
      <c r="P959" s="396">
        <v>38.6</v>
      </c>
      <c r="Q959" s="397">
        <v>0.65972222222222199</v>
      </c>
      <c r="R959" s="396"/>
      <c r="S959" s="410"/>
      <c r="T959" s="409"/>
      <c r="U959" s="398" t="str">
        <f t="shared" si="41"/>
        <v/>
      </c>
      <c r="V959" s="400"/>
      <c r="W959" s="410">
        <f t="shared" si="43"/>
        <v>42.6</v>
      </c>
      <c r="X959" s="472">
        <f t="shared" si="42"/>
        <v>60</v>
      </c>
      <c r="AT959" s="232"/>
      <c r="AV959" s="198"/>
      <c r="AW959" s="274"/>
    </row>
    <row r="960" spans="2:49" x14ac:dyDescent="0.25">
      <c r="B960" s="274">
        <v>22.6</v>
      </c>
      <c r="C960" s="274">
        <v>52</v>
      </c>
      <c r="D960" s="274">
        <v>22.6</v>
      </c>
      <c r="E960" s="274">
        <v>0.7</v>
      </c>
      <c r="F960" s="274">
        <v>1.8</v>
      </c>
      <c r="G960" s="274">
        <v>249</v>
      </c>
      <c r="H960" s="274">
        <v>1022.6</v>
      </c>
      <c r="I960" s="274">
        <v>78321</v>
      </c>
      <c r="J960" s="274">
        <v>0</v>
      </c>
      <c r="K960" s="274">
        <v>0</v>
      </c>
      <c r="L960" s="274">
        <v>0</v>
      </c>
      <c r="M960" s="274">
        <v>65.3</v>
      </c>
      <c r="N960" s="396">
        <v>599.79999999999995</v>
      </c>
      <c r="O960" s="396">
        <v>42.5</v>
      </c>
      <c r="P960" s="396">
        <v>38.5</v>
      </c>
      <c r="Q960" s="397">
        <v>0.66041666666666698</v>
      </c>
      <c r="R960" s="396"/>
      <c r="S960" s="410"/>
      <c r="T960" s="409"/>
      <c r="U960" s="398" t="str">
        <f t="shared" si="41"/>
        <v/>
      </c>
      <c r="V960" s="400"/>
      <c r="W960" s="410">
        <f t="shared" si="43"/>
        <v>42.5</v>
      </c>
      <c r="X960" s="472">
        <f t="shared" si="42"/>
        <v>60</v>
      </c>
      <c r="AT960" s="232"/>
      <c r="AV960" s="198"/>
      <c r="AW960" s="274"/>
    </row>
    <row r="961" spans="2:49" x14ac:dyDescent="0.25">
      <c r="B961" s="274">
        <v>22.8</v>
      </c>
      <c r="C961" s="274">
        <v>50</v>
      </c>
      <c r="D961" s="274">
        <v>22.8</v>
      </c>
      <c r="E961" s="274">
        <v>3.6</v>
      </c>
      <c r="F961" s="274">
        <v>3.6</v>
      </c>
      <c r="G961" s="274">
        <v>86</v>
      </c>
      <c r="H961" s="274">
        <v>1022.6</v>
      </c>
      <c r="I961" s="274">
        <v>80290</v>
      </c>
      <c r="J961" s="274">
        <v>0</v>
      </c>
      <c r="K961" s="274">
        <v>0</v>
      </c>
      <c r="L961" s="274">
        <v>0</v>
      </c>
      <c r="M961" s="274">
        <v>65.3</v>
      </c>
      <c r="N961" s="396">
        <v>599.79999999999995</v>
      </c>
      <c r="O961" s="396">
        <v>42.4</v>
      </c>
      <c r="P961" s="396">
        <v>38.4</v>
      </c>
      <c r="Q961" s="397">
        <v>0.66111111111111098</v>
      </c>
      <c r="R961" s="396"/>
      <c r="S961" s="410"/>
      <c r="T961" s="409"/>
      <c r="U961" s="398" t="str">
        <f t="shared" si="41"/>
        <v/>
      </c>
      <c r="V961" s="400"/>
      <c r="W961" s="410">
        <f t="shared" si="43"/>
        <v>42.4</v>
      </c>
      <c r="X961" s="472">
        <f t="shared" si="42"/>
        <v>60</v>
      </c>
      <c r="AT961" s="232"/>
      <c r="AV961" s="198"/>
      <c r="AW961" s="274"/>
    </row>
    <row r="962" spans="2:49" x14ac:dyDescent="0.25">
      <c r="B962" s="274">
        <v>23.1</v>
      </c>
      <c r="C962" s="274">
        <v>51</v>
      </c>
      <c r="D962" s="274">
        <v>23.1</v>
      </c>
      <c r="E962" s="274">
        <v>4.7</v>
      </c>
      <c r="F962" s="274">
        <v>5.4</v>
      </c>
      <c r="G962" s="274">
        <v>222</v>
      </c>
      <c r="H962" s="274">
        <v>1022.8</v>
      </c>
      <c r="I962" s="274">
        <v>81840</v>
      </c>
      <c r="J962" s="274">
        <v>0</v>
      </c>
      <c r="K962" s="274">
        <v>0</v>
      </c>
      <c r="L962" s="274">
        <v>0</v>
      </c>
      <c r="M962" s="274">
        <v>65.3</v>
      </c>
      <c r="N962" s="396">
        <v>599.79999999999995</v>
      </c>
      <c r="O962" s="396">
        <v>42.5</v>
      </c>
      <c r="P962" s="396">
        <v>38.299999999999997</v>
      </c>
      <c r="Q962" s="397">
        <v>0.66180555555555598</v>
      </c>
      <c r="R962" s="396"/>
      <c r="S962" s="410"/>
      <c r="T962" s="409"/>
      <c r="U962" s="398" t="str">
        <f t="shared" si="41"/>
        <v/>
      </c>
      <c r="V962" s="400"/>
      <c r="W962" s="410">
        <f t="shared" si="43"/>
        <v>42.5</v>
      </c>
      <c r="X962" s="472">
        <f t="shared" si="42"/>
        <v>60</v>
      </c>
      <c r="AT962" s="232"/>
      <c r="AV962" s="198"/>
      <c r="AW962" s="274"/>
    </row>
    <row r="963" spans="2:49" x14ac:dyDescent="0.25">
      <c r="B963" s="274">
        <v>23.2</v>
      </c>
      <c r="C963" s="274">
        <v>49</v>
      </c>
      <c r="D963" s="274">
        <v>23.2</v>
      </c>
      <c r="E963" s="274">
        <v>1.1000000000000001</v>
      </c>
      <c r="F963" s="274">
        <v>1.8</v>
      </c>
      <c r="G963" s="274">
        <v>221</v>
      </c>
      <c r="H963" s="274">
        <v>1022.8</v>
      </c>
      <c r="I963" s="274">
        <v>84366</v>
      </c>
      <c r="J963" s="274">
        <v>0</v>
      </c>
      <c r="K963" s="274">
        <v>0</v>
      </c>
      <c r="L963" s="274">
        <v>0</v>
      </c>
      <c r="M963" s="274">
        <v>65.3</v>
      </c>
      <c r="N963" s="396">
        <v>599.79999999999995</v>
      </c>
      <c r="O963" s="396">
        <v>42.5</v>
      </c>
      <c r="P963" s="396">
        <v>38.299999999999997</v>
      </c>
      <c r="Q963" s="397">
        <v>0.66249999999999998</v>
      </c>
      <c r="R963" s="396"/>
      <c r="S963" s="410"/>
      <c r="T963" s="409"/>
      <c r="U963" s="398" t="str">
        <f t="shared" si="41"/>
        <v/>
      </c>
      <c r="V963" s="400"/>
      <c r="W963" s="410">
        <f t="shared" si="43"/>
        <v>42.5</v>
      </c>
      <c r="X963" s="472">
        <f t="shared" si="42"/>
        <v>60</v>
      </c>
      <c r="AT963" s="232"/>
      <c r="AV963" s="198"/>
      <c r="AW963" s="274"/>
    </row>
    <row r="964" spans="2:49" x14ac:dyDescent="0.25">
      <c r="B964" s="274">
        <v>23.2</v>
      </c>
      <c r="C964" s="274">
        <v>50</v>
      </c>
      <c r="D964" s="274">
        <v>23.2</v>
      </c>
      <c r="E964" s="274">
        <v>1.1000000000000001</v>
      </c>
      <c r="F964" s="274">
        <v>1.8</v>
      </c>
      <c r="G964" s="274">
        <v>158</v>
      </c>
      <c r="H964" s="274">
        <v>1022.7</v>
      </c>
      <c r="I964" s="274">
        <v>79530</v>
      </c>
      <c r="J964" s="274">
        <v>0</v>
      </c>
      <c r="K964" s="274">
        <v>0</v>
      </c>
      <c r="L964" s="274">
        <v>0</v>
      </c>
      <c r="M964" s="274">
        <v>65.3</v>
      </c>
      <c r="N964" s="396">
        <v>599.79999999999995</v>
      </c>
      <c r="O964" s="396">
        <v>42.6</v>
      </c>
      <c r="P964" s="396">
        <v>38.4</v>
      </c>
      <c r="Q964" s="397">
        <v>0.66319444444444398</v>
      </c>
      <c r="R964" s="396"/>
      <c r="S964" s="410"/>
      <c r="T964" s="409"/>
      <c r="U964" s="398" t="str">
        <f t="shared" si="41"/>
        <v/>
      </c>
      <c r="V964" s="400"/>
      <c r="W964" s="410">
        <f t="shared" si="43"/>
        <v>42.6</v>
      </c>
      <c r="X964" s="472">
        <f t="shared" si="42"/>
        <v>60</v>
      </c>
      <c r="AT964" s="232"/>
      <c r="AV964" s="198"/>
      <c r="AW964" s="274"/>
    </row>
    <row r="965" spans="2:49" x14ac:dyDescent="0.25">
      <c r="B965" s="274">
        <v>23.2</v>
      </c>
      <c r="C965" s="274">
        <v>51</v>
      </c>
      <c r="D965" s="274">
        <v>23.2</v>
      </c>
      <c r="E965" s="274">
        <v>4</v>
      </c>
      <c r="F965" s="274">
        <v>5.4</v>
      </c>
      <c r="G965" s="274">
        <v>100</v>
      </c>
      <c r="H965" s="274">
        <v>1022.8</v>
      </c>
      <c r="I965" s="274">
        <v>56931</v>
      </c>
      <c r="J965" s="274">
        <v>0</v>
      </c>
      <c r="K965" s="274">
        <v>0</v>
      </c>
      <c r="L965" s="274">
        <v>0</v>
      </c>
      <c r="M965" s="274">
        <v>65.3</v>
      </c>
      <c r="N965" s="396">
        <v>599.79999999999995</v>
      </c>
      <c r="O965" s="396">
        <v>42.7</v>
      </c>
      <c r="P965" s="396">
        <v>38.299999999999997</v>
      </c>
      <c r="Q965" s="397">
        <v>0.66388888888888897</v>
      </c>
      <c r="R965" s="396"/>
      <c r="S965" s="410"/>
      <c r="T965" s="409"/>
      <c r="U965" s="398" t="str">
        <f t="shared" si="41"/>
        <v/>
      </c>
      <c r="V965" s="400"/>
      <c r="W965" s="410">
        <f t="shared" si="43"/>
        <v>42.7</v>
      </c>
      <c r="X965" s="472">
        <f t="shared" si="42"/>
        <v>60</v>
      </c>
      <c r="AT965" s="232"/>
      <c r="AV965" s="198"/>
      <c r="AW965" s="274"/>
    </row>
    <row r="966" spans="2:49" x14ac:dyDescent="0.25">
      <c r="B966" s="274">
        <v>22.9</v>
      </c>
      <c r="C966" s="274">
        <v>51</v>
      </c>
      <c r="D966" s="274">
        <v>22.9</v>
      </c>
      <c r="E966" s="274">
        <v>2.5</v>
      </c>
      <c r="F966" s="274">
        <v>3.6</v>
      </c>
      <c r="G966" s="274">
        <v>153</v>
      </c>
      <c r="H966" s="274">
        <v>1022.8</v>
      </c>
      <c r="I966" s="274">
        <v>55893</v>
      </c>
      <c r="J966" s="274">
        <v>0</v>
      </c>
      <c r="K966" s="274">
        <v>0</v>
      </c>
      <c r="L966" s="274">
        <v>0</v>
      </c>
      <c r="M966" s="274">
        <v>65.3</v>
      </c>
      <c r="N966" s="396">
        <v>599.79999999999995</v>
      </c>
      <c r="O966" s="396">
        <v>42.8</v>
      </c>
      <c r="P966" s="396">
        <v>38.299999999999997</v>
      </c>
      <c r="Q966" s="397">
        <v>0.66458333333333297</v>
      </c>
      <c r="R966" s="396"/>
      <c r="S966" s="410"/>
      <c r="T966" s="409"/>
      <c r="U966" s="398" t="str">
        <f t="shared" si="41"/>
        <v/>
      </c>
      <c r="V966" s="400"/>
      <c r="W966" s="410">
        <f t="shared" si="43"/>
        <v>42.8</v>
      </c>
      <c r="X966" s="472">
        <f t="shared" si="42"/>
        <v>60</v>
      </c>
      <c r="AT966" s="232"/>
      <c r="AV966" s="198"/>
      <c r="AW966" s="274"/>
    </row>
    <row r="967" spans="2:49" x14ac:dyDescent="0.25">
      <c r="B967" s="274">
        <v>22.7</v>
      </c>
      <c r="C967" s="274">
        <v>52</v>
      </c>
      <c r="D967" s="274">
        <v>22.7</v>
      </c>
      <c r="E967" s="274">
        <v>1.1000000000000001</v>
      </c>
      <c r="F967" s="274">
        <v>1.8</v>
      </c>
      <c r="G967" s="274">
        <v>125</v>
      </c>
      <c r="H967" s="274">
        <v>1022.7</v>
      </c>
      <c r="I967" s="274">
        <v>48685</v>
      </c>
      <c r="J967" s="274">
        <v>0</v>
      </c>
      <c r="K967" s="274">
        <v>0</v>
      </c>
      <c r="L967" s="274">
        <v>0</v>
      </c>
      <c r="M967" s="274">
        <v>65.3</v>
      </c>
      <c r="N967" s="396">
        <v>599.79999999999995</v>
      </c>
      <c r="O967" s="396">
        <v>42.7</v>
      </c>
      <c r="P967" s="396">
        <v>38.1</v>
      </c>
      <c r="Q967" s="397">
        <v>0.66527777777777797</v>
      </c>
      <c r="R967" s="396"/>
      <c r="S967" s="410"/>
      <c r="T967" s="409"/>
      <c r="U967" s="398" t="str">
        <f t="shared" si="41"/>
        <v/>
      </c>
      <c r="V967" s="400"/>
      <c r="W967" s="410">
        <f t="shared" si="43"/>
        <v>42.7</v>
      </c>
      <c r="X967" s="472">
        <f t="shared" si="42"/>
        <v>60</v>
      </c>
      <c r="AT967" s="232"/>
      <c r="AV967" s="198"/>
      <c r="AW967" s="274"/>
    </row>
    <row r="968" spans="2:49" x14ac:dyDescent="0.25">
      <c r="B968" s="274">
        <v>22.8</v>
      </c>
      <c r="C968" s="274">
        <v>53</v>
      </c>
      <c r="D968" s="274">
        <v>22.8</v>
      </c>
      <c r="E968" s="274">
        <v>0.4</v>
      </c>
      <c r="F968" s="274">
        <v>1.8</v>
      </c>
      <c r="G968" s="274">
        <v>98</v>
      </c>
      <c r="H968" s="274">
        <v>1022.7</v>
      </c>
      <c r="I968" s="274">
        <v>49181</v>
      </c>
      <c r="J968" s="274">
        <v>0</v>
      </c>
      <c r="K968" s="274">
        <v>0</v>
      </c>
      <c r="L968" s="274">
        <v>0</v>
      </c>
      <c r="M968" s="274">
        <v>65.3</v>
      </c>
      <c r="N968" s="396">
        <v>599.79999999999995</v>
      </c>
      <c r="O968" s="396">
        <v>42.4</v>
      </c>
      <c r="P968" s="396">
        <v>38</v>
      </c>
      <c r="Q968" s="397">
        <v>0.66597222222222197</v>
      </c>
      <c r="R968" s="396"/>
      <c r="S968" s="410"/>
      <c r="T968" s="409"/>
      <c r="U968" s="398" t="str">
        <f t="shared" si="41"/>
        <v/>
      </c>
      <c r="V968" s="400"/>
      <c r="W968" s="410">
        <f t="shared" si="43"/>
        <v>42.4</v>
      </c>
      <c r="X968" s="472">
        <f t="shared" si="42"/>
        <v>60</v>
      </c>
      <c r="AT968" s="232"/>
      <c r="AV968" s="198"/>
      <c r="AW968" s="274"/>
    </row>
    <row r="969" spans="2:49" x14ac:dyDescent="0.25">
      <c r="B969" s="274">
        <v>23</v>
      </c>
      <c r="C969" s="274">
        <v>54</v>
      </c>
      <c r="D969" s="274">
        <v>23</v>
      </c>
      <c r="E969" s="274">
        <v>1.4</v>
      </c>
      <c r="F969" s="274">
        <v>1.8</v>
      </c>
      <c r="G969" s="274">
        <v>235</v>
      </c>
      <c r="H969" s="274">
        <v>1023</v>
      </c>
      <c r="I969" s="274">
        <v>56497</v>
      </c>
      <c r="J969" s="274">
        <v>0</v>
      </c>
      <c r="K969" s="274">
        <v>0</v>
      </c>
      <c r="L969" s="274">
        <v>0</v>
      </c>
      <c r="M969" s="274">
        <v>65.3</v>
      </c>
      <c r="N969" s="396">
        <v>599.79999999999995</v>
      </c>
      <c r="O969" s="396">
        <v>42.1</v>
      </c>
      <c r="P969" s="396">
        <v>37.700000000000003</v>
      </c>
      <c r="Q969" s="397">
        <v>0.66666666666666696</v>
      </c>
      <c r="R969" s="396"/>
      <c r="S969" s="410"/>
      <c r="T969" s="409"/>
      <c r="U969" s="398" t="str">
        <f t="shared" si="41"/>
        <v/>
      </c>
      <c r="V969" s="400"/>
      <c r="W969" s="410">
        <f t="shared" si="43"/>
        <v>42.1</v>
      </c>
      <c r="X969" s="472">
        <f t="shared" si="42"/>
        <v>60</v>
      </c>
      <c r="AT969" s="232"/>
      <c r="AV969" s="198"/>
      <c r="AW969" s="274"/>
    </row>
    <row r="970" spans="2:49" x14ac:dyDescent="0.25">
      <c r="B970" s="274">
        <v>23</v>
      </c>
      <c r="C970" s="274">
        <v>55</v>
      </c>
      <c r="D970" s="274">
        <v>23</v>
      </c>
      <c r="E970" s="274">
        <v>2.5</v>
      </c>
      <c r="F970" s="274">
        <v>3.6</v>
      </c>
      <c r="G970" s="274">
        <v>282</v>
      </c>
      <c r="H970" s="274">
        <v>1022.7</v>
      </c>
      <c r="I970" s="274">
        <v>76058</v>
      </c>
      <c r="J970" s="274">
        <v>0</v>
      </c>
      <c r="K970" s="274">
        <v>0</v>
      </c>
      <c r="L970" s="274">
        <v>0</v>
      </c>
      <c r="M970" s="274">
        <v>65.3</v>
      </c>
      <c r="N970" s="396">
        <v>599.79999999999995</v>
      </c>
      <c r="O970" s="396">
        <v>41.8</v>
      </c>
      <c r="P970" s="396">
        <v>37.5</v>
      </c>
      <c r="Q970" s="397">
        <v>0.66736111111111096</v>
      </c>
      <c r="R970" s="396"/>
      <c r="S970" s="410"/>
      <c r="T970" s="409"/>
      <c r="U970" s="398" t="str">
        <f t="shared" si="41"/>
        <v/>
      </c>
      <c r="V970" s="400"/>
      <c r="W970" s="410">
        <f t="shared" si="43"/>
        <v>41.8</v>
      </c>
      <c r="X970" s="472">
        <f t="shared" si="42"/>
        <v>60</v>
      </c>
      <c r="AT970" s="232"/>
      <c r="AV970" s="198"/>
      <c r="AW970" s="274"/>
    </row>
    <row r="971" spans="2:49" x14ac:dyDescent="0.25">
      <c r="B971" s="274">
        <v>22.9</v>
      </c>
      <c r="C971" s="274">
        <v>56</v>
      </c>
      <c r="D971" s="274">
        <v>22.9</v>
      </c>
      <c r="E971" s="274">
        <v>4.7</v>
      </c>
      <c r="F971" s="274">
        <v>7.2</v>
      </c>
      <c r="G971" s="274">
        <v>301</v>
      </c>
      <c r="H971" s="274">
        <v>1022.6</v>
      </c>
      <c r="I971" s="274">
        <v>81607</v>
      </c>
      <c r="J971" s="274">
        <v>0</v>
      </c>
      <c r="K971" s="274">
        <v>0</v>
      </c>
      <c r="L971" s="274">
        <v>0</v>
      </c>
      <c r="M971" s="274">
        <v>65.3</v>
      </c>
      <c r="N971" s="396">
        <v>599.79999999999995</v>
      </c>
      <c r="O971" s="396">
        <v>41.4</v>
      </c>
      <c r="P971" s="396">
        <v>37.200000000000003</v>
      </c>
      <c r="Q971" s="397">
        <v>0.66805555555555596</v>
      </c>
      <c r="R971" s="396"/>
      <c r="S971" s="410"/>
      <c r="T971" s="409"/>
      <c r="U971" s="398" t="str">
        <f t="shared" ref="U971:U1034" si="44">IF(J971&gt;0,60,"")</f>
        <v/>
      </c>
      <c r="V971" s="400"/>
      <c r="W971" s="410">
        <f t="shared" si="43"/>
        <v>41.4</v>
      </c>
      <c r="X971" s="472">
        <f t="shared" si="42"/>
        <v>60</v>
      </c>
      <c r="AT971" s="232"/>
      <c r="AV971" s="198"/>
      <c r="AW971" s="274"/>
    </row>
    <row r="972" spans="2:49" x14ac:dyDescent="0.25">
      <c r="B972" s="274">
        <v>22.6</v>
      </c>
      <c r="C972" s="274">
        <v>56</v>
      </c>
      <c r="D972" s="274">
        <v>22.6</v>
      </c>
      <c r="E972" s="274">
        <v>9.4</v>
      </c>
      <c r="F972" s="274">
        <v>13</v>
      </c>
      <c r="G972" s="274">
        <v>289</v>
      </c>
      <c r="H972" s="274">
        <v>1022.6</v>
      </c>
      <c r="I972" s="274">
        <v>75903</v>
      </c>
      <c r="J972" s="274">
        <v>0</v>
      </c>
      <c r="K972" s="274">
        <v>0</v>
      </c>
      <c r="L972" s="274">
        <v>0</v>
      </c>
      <c r="M972" s="274">
        <v>65.3</v>
      </c>
      <c r="N972" s="396">
        <v>599.79999999999995</v>
      </c>
      <c r="O972" s="396">
        <v>41</v>
      </c>
      <c r="P972" s="396">
        <v>37</v>
      </c>
      <c r="Q972" s="397">
        <v>0.66874999999999996</v>
      </c>
      <c r="R972" s="396"/>
      <c r="S972" s="410"/>
      <c r="T972" s="409"/>
      <c r="U972" s="398" t="str">
        <f t="shared" si="44"/>
        <v/>
      </c>
      <c r="V972" s="400"/>
      <c r="W972" s="410">
        <f t="shared" si="43"/>
        <v>41</v>
      </c>
      <c r="X972" s="472">
        <f t="shared" si="42"/>
        <v>60</v>
      </c>
      <c r="AT972" s="232"/>
      <c r="AV972" s="198"/>
      <c r="AW972" s="274"/>
    </row>
    <row r="973" spans="2:49" x14ac:dyDescent="0.25">
      <c r="B973" s="274">
        <v>22.5</v>
      </c>
      <c r="C973" s="274">
        <v>56</v>
      </c>
      <c r="D973" s="274">
        <v>22.5</v>
      </c>
      <c r="E973" s="274">
        <v>10.4</v>
      </c>
      <c r="F973" s="274">
        <v>14.8</v>
      </c>
      <c r="G973" s="274">
        <v>253</v>
      </c>
      <c r="H973" s="274">
        <v>1022.8</v>
      </c>
      <c r="I973" s="274">
        <v>78430</v>
      </c>
      <c r="J973" s="274">
        <v>0</v>
      </c>
      <c r="K973" s="274">
        <v>0</v>
      </c>
      <c r="L973" s="274">
        <v>0</v>
      </c>
      <c r="M973" s="274">
        <v>65.3</v>
      </c>
      <c r="N973" s="396">
        <v>599.79999999999995</v>
      </c>
      <c r="O973" s="396">
        <v>40.700000000000003</v>
      </c>
      <c r="P973" s="396">
        <v>36.700000000000003</v>
      </c>
      <c r="Q973" s="397">
        <v>0.66944444444444495</v>
      </c>
      <c r="R973" s="396"/>
      <c r="S973" s="410"/>
      <c r="T973" s="409"/>
      <c r="U973" s="398" t="str">
        <f t="shared" si="44"/>
        <v/>
      </c>
      <c r="V973" s="400"/>
      <c r="W973" s="410">
        <f t="shared" si="43"/>
        <v>40.700000000000003</v>
      </c>
      <c r="X973" s="472">
        <f t="shared" si="42"/>
        <v>60</v>
      </c>
      <c r="AT973" s="232"/>
      <c r="AV973" s="198"/>
      <c r="AW973" s="274"/>
    </row>
    <row r="974" spans="2:49" x14ac:dyDescent="0.25">
      <c r="B974" s="274">
        <v>22.2</v>
      </c>
      <c r="C974" s="274">
        <v>57</v>
      </c>
      <c r="D974" s="274">
        <v>22.2</v>
      </c>
      <c r="E974" s="274">
        <v>2.2000000000000002</v>
      </c>
      <c r="F974" s="274">
        <v>5.4</v>
      </c>
      <c r="G974" s="274">
        <v>251</v>
      </c>
      <c r="H974" s="274">
        <v>1022.7</v>
      </c>
      <c r="I974" s="274">
        <v>77825</v>
      </c>
      <c r="J974" s="274">
        <v>0</v>
      </c>
      <c r="K974" s="274">
        <v>0</v>
      </c>
      <c r="L974" s="274">
        <v>0</v>
      </c>
      <c r="M974" s="274">
        <v>65.3</v>
      </c>
      <c r="N974" s="396">
        <v>599.79999999999995</v>
      </c>
      <c r="O974" s="396">
        <v>40.4</v>
      </c>
      <c r="P974" s="396">
        <v>36.5</v>
      </c>
      <c r="Q974" s="397">
        <v>0.67013888888888895</v>
      </c>
      <c r="R974" s="396"/>
      <c r="S974" s="410"/>
      <c r="T974" s="409"/>
      <c r="U974" s="398" t="str">
        <f t="shared" si="44"/>
        <v/>
      </c>
      <c r="V974" s="400"/>
      <c r="W974" s="410">
        <f t="shared" si="43"/>
        <v>40.4</v>
      </c>
      <c r="X974" s="472">
        <f t="shared" si="42"/>
        <v>60</v>
      </c>
      <c r="AT974" s="232"/>
      <c r="AV974" s="198"/>
      <c r="AW974" s="274"/>
    </row>
    <row r="975" spans="2:49" x14ac:dyDescent="0.25">
      <c r="B975" s="274">
        <v>22</v>
      </c>
      <c r="C975" s="274">
        <v>57</v>
      </c>
      <c r="D975" s="274">
        <v>22</v>
      </c>
      <c r="E975" s="274">
        <v>9.4</v>
      </c>
      <c r="F975" s="274">
        <v>11.2</v>
      </c>
      <c r="G975" s="274">
        <v>264</v>
      </c>
      <c r="H975" s="274">
        <v>1022.7</v>
      </c>
      <c r="I975" s="274">
        <v>77438</v>
      </c>
      <c r="J975" s="274">
        <v>0</v>
      </c>
      <c r="K975" s="274">
        <v>0</v>
      </c>
      <c r="L975" s="274">
        <v>0</v>
      </c>
      <c r="M975" s="274">
        <v>65.3</v>
      </c>
      <c r="N975" s="396">
        <v>599.79999999999995</v>
      </c>
      <c r="O975" s="396">
        <v>40.200000000000003</v>
      </c>
      <c r="P975" s="396">
        <v>36.200000000000003</v>
      </c>
      <c r="Q975" s="397">
        <v>0.67083333333333295</v>
      </c>
      <c r="R975" s="396"/>
      <c r="S975" s="410"/>
      <c r="T975" s="409"/>
      <c r="U975" s="398" t="str">
        <f t="shared" si="44"/>
        <v/>
      </c>
      <c r="V975" s="400"/>
      <c r="W975" s="410">
        <f t="shared" si="43"/>
        <v>40.200000000000003</v>
      </c>
      <c r="X975" s="472">
        <f t="shared" si="42"/>
        <v>60</v>
      </c>
      <c r="AT975" s="232"/>
      <c r="AV975" s="198"/>
      <c r="AW975" s="274"/>
    </row>
    <row r="976" spans="2:49" x14ac:dyDescent="0.25">
      <c r="B976" s="274">
        <v>21.9</v>
      </c>
      <c r="C976" s="274">
        <v>57</v>
      </c>
      <c r="D976" s="274">
        <v>21.9</v>
      </c>
      <c r="E976" s="274">
        <v>8.6</v>
      </c>
      <c r="F976" s="274">
        <v>11.2</v>
      </c>
      <c r="G976" s="274">
        <v>269</v>
      </c>
      <c r="H976" s="274">
        <v>1022.7</v>
      </c>
      <c r="I976" s="274">
        <v>76942</v>
      </c>
      <c r="J976" s="274">
        <v>0</v>
      </c>
      <c r="K976" s="274">
        <v>0</v>
      </c>
      <c r="L976" s="274">
        <v>0</v>
      </c>
      <c r="M976" s="274">
        <v>65.3</v>
      </c>
      <c r="N976" s="396">
        <v>599.79999999999995</v>
      </c>
      <c r="O976" s="396">
        <v>40</v>
      </c>
      <c r="P976" s="396">
        <v>35.9</v>
      </c>
      <c r="Q976" s="397">
        <v>0.67152777777777795</v>
      </c>
      <c r="R976" s="396"/>
      <c r="S976" s="410"/>
      <c r="T976" s="409"/>
      <c r="U976" s="398" t="str">
        <f t="shared" si="44"/>
        <v/>
      </c>
      <c r="V976" s="400"/>
      <c r="W976" s="410">
        <f t="shared" si="43"/>
        <v>40</v>
      </c>
      <c r="X976" s="472">
        <f t="shared" si="42"/>
        <v>60</v>
      </c>
      <c r="AT976" s="232"/>
      <c r="AV976" s="198"/>
      <c r="AW976" s="274"/>
    </row>
    <row r="977" spans="2:49" x14ac:dyDescent="0.25">
      <c r="B977" s="274">
        <v>21.6</v>
      </c>
      <c r="C977" s="274">
        <v>58</v>
      </c>
      <c r="D977" s="274">
        <v>21.6</v>
      </c>
      <c r="E977" s="274">
        <v>5.4</v>
      </c>
      <c r="F977" s="274">
        <v>7.2</v>
      </c>
      <c r="G977" s="274">
        <v>263</v>
      </c>
      <c r="H977" s="274">
        <v>1022.5</v>
      </c>
      <c r="I977" s="274">
        <v>76399</v>
      </c>
      <c r="J977" s="274">
        <v>0</v>
      </c>
      <c r="K977" s="274">
        <v>0</v>
      </c>
      <c r="L977" s="274">
        <v>0</v>
      </c>
      <c r="M977" s="274">
        <v>65.3</v>
      </c>
      <c r="N977" s="396">
        <v>599.79999999999995</v>
      </c>
      <c r="O977" s="396">
        <v>39.799999999999997</v>
      </c>
      <c r="P977" s="396">
        <v>35.6</v>
      </c>
      <c r="Q977" s="397">
        <v>0.67222222222222205</v>
      </c>
      <c r="R977" s="396"/>
      <c r="S977" s="410"/>
      <c r="T977" s="409"/>
      <c r="U977" s="398" t="str">
        <f t="shared" si="44"/>
        <v/>
      </c>
      <c r="V977" s="400"/>
      <c r="W977" s="410">
        <f t="shared" si="43"/>
        <v>39.799999999999997</v>
      </c>
      <c r="X977" s="472">
        <f t="shared" ref="X977:X1040" si="45">IF(W977&gt;B977+3,60,"")</f>
        <v>60</v>
      </c>
      <c r="AT977" s="232"/>
      <c r="AV977" s="198"/>
      <c r="AW977" s="274"/>
    </row>
    <row r="978" spans="2:49" x14ac:dyDescent="0.25">
      <c r="B978" s="274">
        <v>21.5</v>
      </c>
      <c r="C978" s="274">
        <v>59</v>
      </c>
      <c r="D978" s="274">
        <v>21.5</v>
      </c>
      <c r="E978" s="274">
        <v>9</v>
      </c>
      <c r="F978" s="274">
        <v>14.8</v>
      </c>
      <c r="G978" s="274">
        <v>264</v>
      </c>
      <c r="H978" s="274">
        <v>1022.6</v>
      </c>
      <c r="I978" s="274">
        <v>75671</v>
      </c>
      <c r="J978" s="274">
        <v>0</v>
      </c>
      <c r="K978" s="274">
        <v>0</v>
      </c>
      <c r="L978" s="274">
        <v>0</v>
      </c>
      <c r="M978" s="274">
        <v>65.3</v>
      </c>
      <c r="N978" s="396">
        <v>599.79999999999995</v>
      </c>
      <c r="O978" s="396">
        <v>39.4</v>
      </c>
      <c r="P978" s="396">
        <v>35.299999999999997</v>
      </c>
      <c r="Q978" s="397">
        <v>0.67291666666666705</v>
      </c>
      <c r="R978" s="396"/>
      <c r="S978" s="410"/>
      <c r="T978" s="409"/>
      <c r="U978" s="398" t="str">
        <f t="shared" si="44"/>
        <v/>
      </c>
      <c r="V978" s="400"/>
      <c r="W978" s="410">
        <f t="shared" si="43"/>
        <v>39.4</v>
      </c>
      <c r="X978" s="472">
        <f t="shared" si="45"/>
        <v>60</v>
      </c>
      <c r="AT978" s="232"/>
      <c r="AV978" s="198"/>
      <c r="AW978" s="274"/>
    </row>
    <row r="979" spans="2:49" x14ac:dyDescent="0.25">
      <c r="B979" s="274">
        <v>21.4</v>
      </c>
      <c r="C979" s="274">
        <v>59</v>
      </c>
      <c r="D979" s="274">
        <v>21.4</v>
      </c>
      <c r="E979" s="274">
        <v>6.5</v>
      </c>
      <c r="F979" s="274">
        <v>9.4</v>
      </c>
      <c r="G979" s="274">
        <v>291</v>
      </c>
      <c r="H979" s="274">
        <v>1022.8</v>
      </c>
      <c r="I979" s="274">
        <v>76275</v>
      </c>
      <c r="J979" s="274">
        <v>0</v>
      </c>
      <c r="K979" s="274">
        <v>0</v>
      </c>
      <c r="L979" s="274">
        <v>0</v>
      </c>
      <c r="M979" s="274">
        <v>65.3</v>
      </c>
      <c r="N979" s="396">
        <v>599.79999999999995</v>
      </c>
      <c r="O979" s="396">
        <v>39.1</v>
      </c>
      <c r="P979" s="396">
        <v>34.9</v>
      </c>
      <c r="Q979" s="397">
        <v>0.67361111111111105</v>
      </c>
      <c r="R979" s="396"/>
      <c r="S979" s="410"/>
      <c r="T979" s="409"/>
      <c r="U979" s="398" t="str">
        <f t="shared" si="44"/>
        <v/>
      </c>
      <c r="V979" s="400"/>
      <c r="W979" s="410">
        <f t="shared" si="43"/>
        <v>39.1</v>
      </c>
      <c r="X979" s="472">
        <f t="shared" si="45"/>
        <v>60</v>
      </c>
      <c r="AT979" s="232"/>
      <c r="AV979" s="198"/>
      <c r="AW979" s="274"/>
    </row>
    <row r="980" spans="2:49" x14ac:dyDescent="0.25">
      <c r="B980" s="274">
        <v>21.4</v>
      </c>
      <c r="C980" s="274">
        <v>59</v>
      </c>
      <c r="D980" s="274">
        <v>21.4</v>
      </c>
      <c r="E980" s="274">
        <v>1.1000000000000001</v>
      </c>
      <c r="F980" s="274">
        <v>1.8</v>
      </c>
      <c r="G980" s="274">
        <v>218</v>
      </c>
      <c r="H980" s="274">
        <v>1022.5</v>
      </c>
      <c r="I980" s="274">
        <v>76663</v>
      </c>
      <c r="J980" s="274">
        <v>0</v>
      </c>
      <c r="K980" s="274">
        <v>0</v>
      </c>
      <c r="L980" s="274">
        <v>0</v>
      </c>
      <c r="M980" s="274">
        <v>65.3</v>
      </c>
      <c r="N980" s="396">
        <v>599.79999999999995</v>
      </c>
      <c r="O980" s="396">
        <v>38.799999999999997</v>
      </c>
      <c r="P980" s="396">
        <v>34.6</v>
      </c>
      <c r="Q980" s="397">
        <v>0.67430555555555605</v>
      </c>
      <c r="R980" s="396"/>
      <c r="S980" s="410"/>
      <c r="T980" s="409"/>
      <c r="U980" s="398" t="str">
        <f t="shared" si="44"/>
        <v/>
      </c>
      <c r="V980" s="400"/>
      <c r="W980" s="410">
        <f t="shared" si="43"/>
        <v>38.799999999999997</v>
      </c>
      <c r="X980" s="472">
        <f t="shared" si="45"/>
        <v>60</v>
      </c>
      <c r="AT980" s="232"/>
      <c r="AV980" s="198"/>
      <c r="AW980" s="274"/>
    </row>
    <row r="981" spans="2:49" x14ac:dyDescent="0.25">
      <c r="B981" s="274">
        <v>21.4</v>
      </c>
      <c r="C981" s="274">
        <v>58</v>
      </c>
      <c r="D981" s="274">
        <v>21.4</v>
      </c>
      <c r="E981" s="274">
        <v>6.5</v>
      </c>
      <c r="F981" s="274">
        <v>9.4</v>
      </c>
      <c r="G981" s="274">
        <v>302</v>
      </c>
      <c r="H981" s="274">
        <v>1022.7</v>
      </c>
      <c r="I981" s="274">
        <v>77438</v>
      </c>
      <c r="J981" s="274">
        <v>0</v>
      </c>
      <c r="K981" s="274">
        <v>0</v>
      </c>
      <c r="L981" s="274">
        <v>0</v>
      </c>
      <c r="M981" s="274">
        <v>65.3</v>
      </c>
      <c r="N981" s="396">
        <v>599.79999999999995</v>
      </c>
      <c r="O981" s="396">
        <v>38.6</v>
      </c>
      <c r="P981" s="396">
        <v>34.299999999999997</v>
      </c>
      <c r="Q981" s="397">
        <v>0.67500000000000004</v>
      </c>
      <c r="R981" s="396"/>
      <c r="S981" s="410"/>
      <c r="T981" s="409"/>
      <c r="U981" s="398" t="str">
        <f t="shared" si="44"/>
        <v/>
      </c>
      <c r="V981" s="400"/>
      <c r="W981" s="410">
        <f t="shared" si="43"/>
        <v>38.6</v>
      </c>
      <c r="X981" s="472">
        <f t="shared" si="45"/>
        <v>60</v>
      </c>
      <c r="AT981" s="232"/>
      <c r="AV981" s="198"/>
      <c r="AW981" s="274"/>
    </row>
    <row r="982" spans="2:49" x14ac:dyDescent="0.25">
      <c r="B982" s="274">
        <v>21.5</v>
      </c>
      <c r="C982" s="274">
        <v>60</v>
      </c>
      <c r="D982" s="274">
        <v>21.5</v>
      </c>
      <c r="E982" s="274">
        <v>4.7</v>
      </c>
      <c r="F982" s="274">
        <v>5.4</v>
      </c>
      <c r="G982" s="274">
        <v>258</v>
      </c>
      <c r="H982" s="274">
        <v>1022.7</v>
      </c>
      <c r="I982" s="274">
        <v>77980</v>
      </c>
      <c r="J982" s="274">
        <v>0</v>
      </c>
      <c r="K982" s="274">
        <v>0</v>
      </c>
      <c r="L982" s="274">
        <v>0</v>
      </c>
      <c r="M982" s="274">
        <v>65.3</v>
      </c>
      <c r="N982" s="396">
        <v>599.79999999999995</v>
      </c>
      <c r="O982" s="396">
        <v>38.5</v>
      </c>
      <c r="P982" s="396">
        <v>34.299999999999997</v>
      </c>
      <c r="Q982" s="397">
        <v>0.67569444444444404</v>
      </c>
      <c r="R982" s="396"/>
      <c r="S982" s="410"/>
      <c r="T982" s="409"/>
      <c r="U982" s="398" t="str">
        <f t="shared" si="44"/>
        <v/>
      </c>
      <c r="V982" s="400"/>
      <c r="W982" s="410">
        <f t="shared" si="43"/>
        <v>38.5</v>
      </c>
      <c r="X982" s="472">
        <f t="shared" si="45"/>
        <v>60</v>
      </c>
      <c r="AT982" s="232"/>
      <c r="AV982" s="198"/>
      <c r="AW982" s="274"/>
    </row>
    <row r="983" spans="2:49" x14ac:dyDescent="0.25">
      <c r="B983" s="274">
        <v>21.5</v>
      </c>
      <c r="C983" s="274">
        <v>60</v>
      </c>
      <c r="D983" s="274">
        <v>21.5</v>
      </c>
      <c r="E983" s="274">
        <v>2.9</v>
      </c>
      <c r="F983" s="274">
        <v>3.6</v>
      </c>
      <c r="G983" s="274">
        <v>253</v>
      </c>
      <c r="H983" s="274">
        <v>1022.6</v>
      </c>
      <c r="I983" s="274">
        <v>79313</v>
      </c>
      <c r="J983" s="274">
        <v>0</v>
      </c>
      <c r="K983" s="274">
        <v>0</v>
      </c>
      <c r="L983" s="274">
        <v>0</v>
      </c>
      <c r="M983" s="274">
        <v>65.3</v>
      </c>
      <c r="N983" s="396">
        <v>599.79999999999995</v>
      </c>
      <c r="O983" s="396">
        <v>38.4</v>
      </c>
      <c r="P983" s="396">
        <v>34.200000000000003</v>
      </c>
      <c r="Q983" s="397">
        <v>0.67638888888888904</v>
      </c>
      <c r="R983" s="396"/>
      <c r="S983" s="410"/>
      <c r="T983" s="409"/>
      <c r="U983" s="398" t="str">
        <f t="shared" si="44"/>
        <v/>
      </c>
      <c r="V983" s="400"/>
      <c r="W983" s="410">
        <f t="shared" si="43"/>
        <v>38.4</v>
      </c>
      <c r="X983" s="472">
        <f t="shared" si="45"/>
        <v>60</v>
      </c>
      <c r="AT983" s="232"/>
      <c r="AV983" s="198"/>
      <c r="AW983" s="274"/>
    </row>
    <row r="984" spans="2:49" x14ac:dyDescent="0.25">
      <c r="B984" s="274">
        <v>21.5</v>
      </c>
      <c r="C984" s="274">
        <v>59</v>
      </c>
      <c r="D984" s="274">
        <v>21.5</v>
      </c>
      <c r="E984" s="274">
        <v>6.5</v>
      </c>
      <c r="F984" s="274">
        <v>9.4</v>
      </c>
      <c r="G984" s="274">
        <v>273</v>
      </c>
      <c r="H984" s="274">
        <v>1022.4</v>
      </c>
      <c r="I984" s="274">
        <v>81282</v>
      </c>
      <c r="J984" s="274">
        <v>0</v>
      </c>
      <c r="K984" s="274">
        <v>0</v>
      </c>
      <c r="L984" s="274">
        <v>0</v>
      </c>
      <c r="M984" s="274">
        <v>65.3</v>
      </c>
      <c r="N984" s="396">
        <v>599.79999999999995</v>
      </c>
      <c r="O984" s="396">
        <v>38.4</v>
      </c>
      <c r="P984" s="396">
        <v>34.200000000000003</v>
      </c>
      <c r="Q984" s="397">
        <v>0.67708333333333304</v>
      </c>
      <c r="R984" s="396"/>
      <c r="S984" s="410"/>
      <c r="T984" s="409"/>
      <c r="U984" s="398" t="str">
        <f t="shared" si="44"/>
        <v/>
      </c>
      <c r="V984" s="400"/>
      <c r="W984" s="410">
        <f t="shared" si="43"/>
        <v>38.4</v>
      </c>
      <c r="X984" s="472">
        <f t="shared" si="45"/>
        <v>60</v>
      </c>
      <c r="AT984" s="232"/>
      <c r="AV984" s="198"/>
      <c r="AW984" s="274"/>
    </row>
    <row r="985" spans="2:49" x14ac:dyDescent="0.25">
      <c r="B985" s="274">
        <v>21.8</v>
      </c>
      <c r="C985" s="274">
        <v>59</v>
      </c>
      <c r="D985" s="274">
        <v>21.8</v>
      </c>
      <c r="E985" s="274">
        <v>2.2000000000000002</v>
      </c>
      <c r="F985" s="274">
        <v>3.6</v>
      </c>
      <c r="G985" s="274">
        <v>291</v>
      </c>
      <c r="H985" s="274">
        <v>1022.7</v>
      </c>
      <c r="I985" s="274">
        <v>71997</v>
      </c>
      <c r="J985" s="274">
        <v>0</v>
      </c>
      <c r="K985" s="274">
        <v>0</v>
      </c>
      <c r="L985" s="274">
        <v>0</v>
      </c>
      <c r="M985" s="274">
        <v>65.3</v>
      </c>
      <c r="N985" s="396">
        <v>599.79999999999995</v>
      </c>
      <c r="O985" s="396">
        <v>38.5</v>
      </c>
      <c r="P985" s="396">
        <v>34.200000000000003</v>
      </c>
      <c r="Q985" s="397">
        <v>0.67777777777777803</v>
      </c>
      <c r="R985" s="396"/>
      <c r="S985" s="410"/>
      <c r="T985" s="409"/>
      <c r="U985" s="398" t="str">
        <f t="shared" si="44"/>
        <v/>
      </c>
      <c r="V985" s="400"/>
      <c r="W985" s="410">
        <f t="shared" si="43"/>
        <v>38.5</v>
      </c>
      <c r="X985" s="472">
        <f t="shared" si="45"/>
        <v>60</v>
      </c>
      <c r="AT985" s="232"/>
      <c r="AV985" s="198"/>
      <c r="AW985" s="274"/>
    </row>
    <row r="986" spans="2:49" x14ac:dyDescent="0.25">
      <c r="B986" s="274">
        <v>21.9</v>
      </c>
      <c r="C986" s="274">
        <v>58</v>
      </c>
      <c r="D986" s="274">
        <v>21.9</v>
      </c>
      <c r="E986" s="274">
        <v>3.6</v>
      </c>
      <c r="F986" s="274">
        <v>5.4</v>
      </c>
      <c r="G986" s="274">
        <v>168</v>
      </c>
      <c r="H986" s="274">
        <v>1022.6</v>
      </c>
      <c r="I986" s="274">
        <v>82057</v>
      </c>
      <c r="J986" s="274">
        <v>0</v>
      </c>
      <c r="K986" s="274">
        <v>0</v>
      </c>
      <c r="L986" s="274">
        <v>0</v>
      </c>
      <c r="M986" s="274">
        <v>65.3</v>
      </c>
      <c r="N986" s="396">
        <v>599.79999999999995</v>
      </c>
      <c r="O986" s="396">
        <v>38.5</v>
      </c>
      <c r="P986" s="396">
        <v>34.299999999999997</v>
      </c>
      <c r="Q986" s="397">
        <v>0.67847222222222203</v>
      </c>
      <c r="R986" s="396"/>
      <c r="S986" s="410"/>
      <c r="T986" s="409"/>
      <c r="U986" s="398" t="str">
        <f t="shared" si="44"/>
        <v/>
      </c>
      <c r="V986" s="400"/>
      <c r="W986" s="410">
        <f t="shared" si="43"/>
        <v>38.5</v>
      </c>
      <c r="X986" s="472">
        <f t="shared" si="45"/>
        <v>60</v>
      </c>
      <c r="AT986" s="232"/>
      <c r="AV986" s="198"/>
      <c r="AW986" s="274"/>
    </row>
    <row r="987" spans="2:49" x14ac:dyDescent="0.25">
      <c r="B987" s="274">
        <v>22.1</v>
      </c>
      <c r="C987" s="274">
        <v>57</v>
      </c>
      <c r="D987" s="274">
        <v>22.1</v>
      </c>
      <c r="E987" s="274">
        <v>5.8</v>
      </c>
      <c r="F987" s="274">
        <v>7.2</v>
      </c>
      <c r="G987" s="274">
        <v>229</v>
      </c>
      <c r="H987" s="274">
        <v>1022.5</v>
      </c>
      <c r="I987" s="274">
        <v>81669</v>
      </c>
      <c r="J987" s="274">
        <v>0</v>
      </c>
      <c r="K987" s="274">
        <v>0</v>
      </c>
      <c r="L987" s="274">
        <v>0</v>
      </c>
      <c r="M987" s="274">
        <v>65.3</v>
      </c>
      <c r="N987" s="396">
        <v>599.79999999999995</v>
      </c>
      <c r="O987" s="396">
        <v>38.700000000000003</v>
      </c>
      <c r="P987" s="396">
        <v>34.4</v>
      </c>
      <c r="Q987" s="397">
        <v>0.67916666666666703</v>
      </c>
      <c r="R987" s="396"/>
      <c r="S987" s="410"/>
      <c r="T987" s="409"/>
      <c r="U987" s="398" t="str">
        <f t="shared" si="44"/>
        <v/>
      </c>
      <c r="V987" s="400"/>
      <c r="W987" s="410">
        <f t="shared" si="43"/>
        <v>38.700000000000003</v>
      </c>
      <c r="X987" s="472">
        <f t="shared" si="45"/>
        <v>60</v>
      </c>
      <c r="AT987" s="232"/>
      <c r="AV987" s="198"/>
      <c r="AW987" s="274"/>
    </row>
    <row r="988" spans="2:49" x14ac:dyDescent="0.25">
      <c r="B988" s="274">
        <v>22.3</v>
      </c>
      <c r="C988" s="274">
        <v>59</v>
      </c>
      <c r="D988" s="274">
        <v>22.3</v>
      </c>
      <c r="E988" s="274">
        <v>8.3000000000000007</v>
      </c>
      <c r="F988" s="274">
        <v>11.2</v>
      </c>
      <c r="G988" s="274">
        <v>257</v>
      </c>
      <c r="H988" s="274">
        <v>1022.6</v>
      </c>
      <c r="I988" s="274">
        <v>91403</v>
      </c>
      <c r="J988" s="274">
        <v>0</v>
      </c>
      <c r="K988" s="274">
        <v>0</v>
      </c>
      <c r="L988" s="274">
        <v>0</v>
      </c>
      <c r="M988" s="274">
        <v>65.3</v>
      </c>
      <c r="N988" s="396">
        <v>599.79999999999995</v>
      </c>
      <c r="O988" s="396">
        <v>38.799999999999997</v>
      </c>
      <c r="P988" s="396">
        <v>34.4</v>
      </c>
      <c r="Q988" s="397">
        <v>0.67986111111111103</v>
      </c>
      <c r="R988" s="396"/>
      <c r="S988" s="410"/>
      <c r="T988" s="409"/>
      <c r="U988" s="398" t="str">
        <f t="shared" si="44"/>
        <v/>
      </c>
      <c r="V988" s="400"/>
      <c r="W988" s="410">
        <f t="shared" si="43"/>
        <v>38.799999999999997</v>
      </c>
      <c r="X988" s="472">
        <f t="shared" si="45"/>
        <v>60</v>
      </c>
      <c r="AT988" s="232"/>
      <c r="AV988" s="198"/>
      <c r="AW988" s="274"/>
    </row>
    <row r="989" spans="2:49" x14ac:dyDescent="0.25">
      <c r="B989" s="274">
        <v>22.3</v>
      </c>
      <c r="C989" s="274">
        <v>59</v>
      </c>
      <c r="D989" s="274">
        <v>22.3</v>
      </c>
      <c r="E989" s="274">
        <v>2.5</v>
      </c>
      <c r="F989" s="274">
        <v>3.6</v>
      </c>
      <c r="G989" s="274">
        <v>170</v>
      </c>
      <c r="H989" s="274">
        <v>1022.6</v>
      </c>
      <c r="I989" s="274">
        <v>53971</v>
      </c>
      <c r="J989" s="274">
        <v>0</v>
      </c>
      <c r="K989" s="274">
        <v>0</v>
      </c>
      <c r="L989" s="274">
        <v>0</v>
      </c>
      <c r="M989" s="274">
        <v>65.3</v>
      </c>
      <c r="N989" s="396">
        <v>599.79999999999995</v>
      </c>
      <c r="O989" s="396">
        <v>38.9</v>
      </c>
      <c r="P989" s="396">
        <v>34.5</v>
      </c>
      <c r="Q989" s="397">
        <v>0.68055555555555602</v>
      </c>
      <c r="R989" s="396"/>
      <c r="S989" s="410"/>
      <c r="T989" s="409"/>
      <c r="U989" s="398" t="str">
        <f t="shared" si="44"/>
        <v/>
      </c>
      <c r="V989" s="400"/>
      <c r="W989" s="410">
        <f t="shared" si="43"/>
        <v>38.9</v>
      </c>
      <c r="X989" s="472">
        <f t="shared" si="45"/>
        <v>60</v>
      </c>
      <c r="AT989" s="232"/>
      <c r="AV989" s="198"/>
      <c r="AW989" s="274"/>
    </row>
    <row r="990" spans="2:49" x14ac:dyDescent="0.25">
      <c r="B990" s="274">
        <v>22.3</v>
      </c>
      <c r="C990" s="274">
        <v>58</v>
      </c>
      <c r="D990" s="274">
        <v>22.3</v>
      </c>
      <c r="E990" s="274">
        <v>3.2</v>
      </c>
      <c r="F990" s="274">
        <v>3.6</v>
      </c>
      <c r="G990" s="274">
        <v>183</v>
      </c>
      <c r="H990" s="274">
        <v>1022.6</v>
      </c>
      <c r="I990" s="274">
        <v>59194</v>
      </c>
      <c r="J990" s="274">
        <v>0</v>
      </c>
      <c r="K990" s="274">
        <v>0</v>
      </c>
      <c r="L990" s="274">
        <v>0</v>
      </c>
      <c r="M990" s="274">
        <v>65.3</v>
      </c>
      <c r="N990" s="396">
        <v>599.79999999999995</v>
      </c>
      <c r="O990" s="396">
        <v>39</v>
      </c>
      <c r="P990" s="396">
        <v>34.6</v>
      </c>
      <c r="Q990" s="397">
        <v>0.68125000000000002</v>
      </c>
      <c r="R990" s="396"/>
      <c r="S990" s="410"/>
      <c r="T990" s="409"/>
      <c r="U990" s="398" t="str">
        <f t="shared" si="44"/>
        <v/>
      </c>
      <c r="V990" s="400"/>
      <c r="W990" s="410">
        <f t="shared" si="43"/>
        <v>39</v>
      </c>
      <c r="X990" s="472">
        <f t="shared" si="45"/>
        <v>60</v>
      </c>
      <c r="AT990" s="232"/>
      <c r="AV990" s="198"/>
      <c r="AW990" s="274"/>
    </row>
    <row r="991" spans="2:49" x14ac:dyDescent="0.25">
      <c r="B991" s="274">
        <v>22.5</v>
      </c>
      <c r="C991" s="274">
        <v>58</v>
      </c>
      <c r="D991" s="274">
        <v>22.5</v>
      </c>
      <c r="E991" s="274">
        <v>0</v>
      </c>
      <c r="F991" s="274">
        <v>0</v>
      </c>
      <c r="G991" s="274">
        <v>89</v>
      </c>
      <c r="H991" s="274">
        <v>1022.6</v>
      </c>
      <c r="I991" s="274">
        <v>68525</v>
      </c>
      <c r="J991" s="274">
        <v>0</v>
      </c>
      <c r="K991" s="274">
        <v>0</v>
      </c>
      <c r="L991" s="274">
        <v>0</v>
      </c>
      <c r="M991" s="274">
        <v>65.3</v>
      </c>
      <c r="N991" s="396">
        <v>599.79999999999995</v>
      </c>
      <c r="O991" s="396">
        <v>39.200000000000003</v>
      </c>
      <c r="P991" s="396">
        <v>34.6</v>
      </c>
      <c r="Q991" s="397">
        <v>0.68194444444444402</v>
      </c>
      <c r="R991" s="396"/>
      <c r="S991" s="410"/>
      <c r="T991" s="409"/>
      <c r="U991" s="398" t="str">
        <f t="shared" si="44"/>
        <v/>
      </c>
      <c r="V991" s="400"/>
      <c r="W991" s="410">
        <f t="shared" si="43"/>
        <v>39.200000000000003</v>
      </c>
      <c r="X991" s="472">
        <f t="shared" si="45"/>
        <v>60</v>
      </c>
      <c r="AT991" s="232"/>
      <c r="AV991" s="198"/>
      <c r="AW991" s="274"/>
    </row>
    <row r="992" spans="2:49" x14ac:dyDescent="0.25">
      <c r="B992" s="274">
        <v>22.5</v>
      </c>
      <c r="C992" s="274">
        <v>58</v>
      </c>
      <c r="D992" s="274">
        <v>22.5</v>
      </c>
      <c r="E992" s="274">
        <v>4</v>
      </c>
      <c r="F992" s="274">
        <v>5.4</v>
      </c>
      <c r="G992" s="274">
        <v>172</v>
      </c>
      <c r="H992" s="274">
        <v>1022.5</v>
      </c>
      <c r="I992" s="274">
        <v>62372</v>
      </c>
      <c r="J992" s="274">
        <v>0</v>
      </c>
      <c r="K992" s="274">
        <v>0</v>
      </c>
      <c r="L992" s="274">
        <v>0</v>
      </c>
      <c r="M992" s="274">
        <v>65.3</v>
      </c>
      <c r="N992" s="396">
        <v>599.79999999999995</v>
      </c>
      <c r="O992" s="396">
        <v>39.200000000000003</v>
      </c>
      <c r="P992" s="396">
        <v>34.5</v>
      </c>
      <c r="Q992" s="397">
        <v>0.68263888888888902</v>
      </c>
      <c r="R992" s="396"/>
      <c r="S992" s="410"/>
      <c r="T992" s="409"/>
      <c r="U992" s="398" t="str">
        <f t="shared" si="44"/>
        <v/>
      </c>
      <c r="V992" s="400"/>
      <c r="W992" s="410">
        <f t="shared" si="43"/>
        <v>39.200000000000003</v>
      </c>
      <c r="X992" s="472">
        <f t="shared" si="45"/>
        <v>60</v>
      </c>
      <c r="AT992" s="232"/>
      <c r="AV992" s="198"/>
      <c r="AW992" s="274"/>
    </row>
    <row r="993" spans="2:49" x14ac:dyDescent="0.25">
      <c r="B993" s="274">
        <v>22.2</v>
      </c>
      <c r="C993" s="274">
        <v>58</v>
      </c>
      <c r="D993" s="274">
        <v>22.2</v>
      </c>
      <c r="E993" s="274">
        <v>2.5</v>
      </c>
      <c r="F993" s="274">
        <v>3.6</v>
      </c>
      <c r="G993" s="274">
        <v>100</v>
      </c>
      <c r="H993" s="274">
        <v>1022.6</v>
      </c>
      <c r="I993" s="274">
        <v>57102</v>
      </c>
      <c r="J993" s="274">
        <v>0</v>
      </c>
      <c r="K993" s="274">
        <v>0</v>
      </c>
      <c r="L993" s="274">
        <v>0</v>
      </c>
      <c r="M993" s="274">
        <v>65.3</v>
      </c>
      <c r="N993" s="396">
        <v>599.79999999999995</v>
      </c>
      <c r="O993" s="396">
        <v>39.1</v>
      </c>
      <c r="P993" s="396">
        <v>34.5</v>
      </c>
      <c r="Q993" s="397">
        <v>0.68333333333333302</v>
      </c>
      <c r="R993" s="396"/>
      <c r="S993" s="410"/>
      <c r="T993" s="409"/>
      <c r="U993" s="398" t="str">
        <f t="shared" si="44"/>
        <v/>
      </c>
      <c r="V993" s="400"/>
      <c r="W993" s="410">
        <f t="shared" si="43"/>
        <v>39.1</v>
      </c>
      <c r="X993" s="472">
        <f t="shared" si="45"/>
        <v>60</v>
      </c>
      <c r="AT993" s="232"/>
      <c r="AV993" s="198"/>
      <c r="AW993" s="274"/>
    </row>
    <row r="994" spans="2:49" x14ac:dyDescent="0.25">
      <c r="B994" s="274">
        <v>21.9</v>
      </c>
      <c r="C994" s="274">
        <v>59</v>
      </c>
      <c r="D994" s="274">
        <v>21.9</v>
      </c>
      <c r="E994" s="274">
        <v>4.7</v>
      </c>
      <c r="F994" s="274">
        <v>5.4</v>
      </c>
      <c r="G994" s="274">
        <v>196</v>
      </c>
      <c r="H994" s="274">
        <v>1022.6</v>
      </c>
      <c r="I994" s="274">
        <v>54963</v>
      </c>
      <c r="J994" s="274">
        <v>0</v>
      </c>
      <c r="K994" s="274">
        <v>0</v>
      </c>
      <c r="L994" s="274">
        <v>0</v>
      </c>
      <c r="M994" s="274">
        <v>65.3</v>
      </c>
      <c r="N994" s="396">
        <v>599.79999999999995</v>
      </c>
      <c r="O994" s="396">
        <v>39</v>
      </c>
      <c r="P994" s="396">
        <v>34.299999999999997</v>
      </c>
      <c r="Q994" s="397">
        <v>0.68402777777777801</v>
      </c>
      <c r="R994" s="396"/>
      <c r="S994" s="410"/>
      <c r="T994" s="409"/>
      <c r="U994" s="398" t="str">
        <f t="shared" si="44"/>
        <v/>
      </c>
      <c r="V994" s="400"/>
      <c r="W994" s="410">
        <f t="shared" si="43"/>
        <v>39</v>
      </c>
      <c r="X994" s="472">
        <f t="shared" si="45"/>
        <v>60</v>
      </c>
      <c r="AT994" s="232"/>
      <c r="AV994" s="198"/>
      <c r="AW994" s="274"/>
    </row>
    <row r="995" spans="2:49" x14ac:dyDescent="0.25">
      <c r="B995" s="274">
        <v>21.9</v>
      </c>
      <c r="C995" s="274">
        <v>59</v>
      </c>
      <c r="D995" s="274">
        <v>21.9</v>
      </c>
      <c r="E995" s="274">
        <v>1.8</v>
      </c>
      <c r="F995" s="274">
        <v>1.8</v>
      </c>
      <c r="G995" s="274">
        <v>90</v>
      </c>
      <c r="H995" s="274">
        <v>1022.5</v>
      </c>
      <c r="I995" s="274">
        <v>44950</v>
      </c>
      <c r="J995" s="274">
        <v>0</v>
      </c>
      <c r="K995" s="274">
        <v>0</v>
      </c>
      <c r="L995" s="274">
        <v>0</v>
      </c>
      <c r="M995" s="274">
        <v>65.3</v>
      </c>
      <c r="N995" s="396">
        <v>599.79999999999995</v>
      </c>
      <c r="O995" s="396">
        <v>38.700000000000003</v>
      </c>
      <c r="P995" s="396">
        <v>34.200000000000003</v>
      </c>
      <c r="Q995" s="397">
        <v>0.68472222222222201</v>
      </c>
      <c r="R995" s="396"/>
      <c r="S995" s="410"/>
      <c r="T995" s="409"/>
      <c r="U995" s="398" t="str">
        <f t="shared" si="44"/>
        <v/>
      </c>
      <c r="V995" s="400"/>
      <c r="W995" s="410">
        <f t="shared" si="43"/>
        <v>38.700000000000003</v>
      </c>
      <c r="X995" s="472">
        <f t="shared" si="45"/>
        <v>60</v>
      </c>
      <c r="AT995" s="232"/>
      <c r="AV995" s="198"/>
      <c r="AW995" s="274"/>
    </row>
    <row r="996" spans="2:49" x14ac:dyDescent="0.25">
      <c r="B996" s="274">
        <v>21.8</v>
      </c>
      <c r="C996" s="274">
        <v>60</v>
      </c>
      <c r="D996" s="274">
        <v>21.8</v>
      </c>
      <c r="E996" s="274">
        <v>0.7</v>
      </c>
      <c r="F996" s="274">
        <v>1.8</v>
      </c>
      <c r="G996" s="274">
        <v>179</v>
      </c>
      <c r="H996" s="274">
        <v>1022.5</v>
      </c>
      <c r="I996" s="274">
        <v>47755</v>
      </c>
      <c r="J996" s="274">
        <v>0</v>
      </c>
      <c r="K996" s="274">
        <v>0</v>
      </c>
      <c r="L996" s="274">
        <v>0</v>
      </c>
      <c r="M996" s="274">
        <v>65.3</v>
      </c>
      <c r="N996" s="396">
        <v>599.79999999999995</v>
      </c>
      <c r="O996" s="396">
        <v>38.299999999999997</v>
      </c>
      <c r="P996" s="396">
        <v>34</v>
      </c>
      <c r="Q996" s="397">
        <v>0.68541666666666701</v>
      </c>
      <c r="R996" s="396"/>
      <c r="S996" s="410"/>
      <c r="T996" s="409"/>
      <c r="U996" s="398" t="str">
        <f t="shared" si="44"/>
        <v/>
      </c>
      <c r="V996" s="400"/>
      <c r="W996" s="410">
        <f t="shared" si="43"/>
        <v>38.299999999999997</v>
      </c>
      <c r="X996" s="472">
        <f t="shared" si="45"/>
        <v>60</v>
      </c>
      <c r="AT996" s="232"/>
      <c r="AV996" s="198"/>
      <c r="AW996" s="274"/>
    </row>
    <row r="997" spans="2:49" x14ac:dyDescent="0.25">
      <c r="B997" s="274">
        <v>21.8</v>
      </c>
      <c r="C997" s="274">
        <v>59</v>
      </c>
      <c r="D997" s="274">
        <v>21.8</v>
      </c>
      <c r="E997" s="274">
        <v>5.4</v>
      </c>
      <c r="F997" s="274">
        <v>7.2</v>
      </c>
      <c r="G997" s="274">
        <v>288</v>
      </c>
      <c r="H997" s="274">
        <v>1022.6</v>
      </c>
      <c r="I997" s="274">
        <v>64077</v>
      </c>
      <c r="J997" s="274">
        <v>0</v>
      </c>
      <c r="K997" s="274">
        <v>0</v>
      </c>
      <c r="L997" s="274">
        <v>0</v>
      </c>
      <c r="M997" s="274">
        <v>65.3</v>
      </c>
      <c r="N997" s="396">
        <v>599.79999999999995</v>
      </c>
      <c r="O997" s="396">
        <v>37.9</v>
      </c>
      <c r="P997" s="396">
        <v>33.799999999999997</v>
      </c>
      <c r="Q997" s="397">
        <v>0.68611111111111101</v>
      </c>
      <c r="R997" s="396"/>
      <c r="S997" s="410"/>
      <c r="T997" s="409"/>
      <c r="U997" s="398" t="str">
        <f t="shared" si="44"/>
        <v/>
      </c>
      <c r="V997" s="400"/>
      <c r="W997" s="410">
        <f t="shared" si="43"/>
        <v>37.9</v>
      </c>
      <c r="X997" s="472">
        <f t="shared" si="45"/>
        <v>60</v>
      </c>
      <c r="AT997" s="232"/>
      <c r="AV997" s="198"/>
      <c r="AW997" s="274"/>
    </row>
    <row r="998" spans="2:49" x14ac:dyDescent="0.25">
      <c r="B998" s="274">
        <v>21.5</v>
      </c>
      <c r="C998" s="274">
        <v>61</v>
      </c>
      <c r="D998" s="274">
        <v>21.5</v>
      </c>
      <c r="E998" s="274">
        <v>9.4</v>
      </c>
      <c r="F998" s="274">
        <v>11.2</v>
      </c>
      <c r="G998" s="274">
        <v>288</v>
      </c>
      <c r="H998" s="274">
        <v>1022.5</v>
      </c>
      <c r="I998" s="274">
        <v>58311</v>
      </c>
      <c r="J998" s="274">
        <v>0</v>
      </c>
      <c r="K998" s="274">
        <v>0</v>
      </c>
      <c r="L998" s="274">
        <v>0</v>
      </c>
      <c r="M998" s="274">
        <v>65.3</v>
      </c>
      <c r="N998" s="396">
        <v>599.79999999999995</v>
      </c>
      <c r="O998" s="396">
        <v>37.5</v>
      </c>
      <c r="P998" s="396">
        <v>33.6</v>
      </c>
      <c r="Q998" s="397">
        <v>0.686805555555556</v>
      </c>
      <c r="R998" s="396"/>
      <c r="S998" s="410"/>
      <c r="T998" s="409"/>
      <c r="U998" s="398" t="str">
        <f t="shared" si="44"/>
        <v/>
      </c>
      <c r="V998" s="400"/>
      <c r="W998" s="410">
        <f t="shared" si="43"/>
        <v>37.5</v>
      </c>
      <c r="X998" s="472">
        <f t="shared" si="45"/>
        <v>60</v>
      </c>
      <c r="AT998" s="232"/>
      <c r="AV998" s="198"/>
      <c r="AW998" s="274"/>
    </row>
    <row r="999" spans="2:49" x14ac:dyDescent="0.25">
      <c r="B999" s="274">
        <v>21.1</v>
      </c>
      <c r="C999" s="274">
        <v>61</v>
      </c>
      <c r="D999" s="274">
        <v>21.1</v>
      </c>
      <c r="E999" s="274">
        <v>4.7</v>
      </c>
      <c r="F999" s="274">
        <v>7.2</v>
      </c>
      <c r="G999" s="274">
        <v>274</v>
      </c>
      <c r="H999" s="274">
        <v>1022.5</v>
      </c>
      <c r="I999" s="274">
        <v>51165</v>
      </c>
      <c r="J999" s="274">
        <v>0</v>
      </c>
      <c r="K999" s="274">
        <v>0</v>
      </c>
      <c r="L999" s="274">
        <v>0</v>
      </c>
      <c r="M999" s="274">
        <v>65.3</v>
      </c>
      <c r="N999" s="396">
        <v>599.79999999999995</v>
      </c>
      <c r="O999" s="396">
        <v>37</v>
      </c>
      <c r="P999" s="396">
        <v>33.299999999999997</v>
      </c>
      <c r="Q999" s="397">
        <v>0.6875</v>
      </c>
      <c r="R999" s="396"/>
      <c r="S999" s="410"/>
      <c r="T999" s="409"/>
      <c r="U999" s="398" t="str">
        <f t="shared" si="44"/>
        <v/>
      </c>
      <c r="V999" s="400"/>
      <c r="W999" s="410">
        <f t="shared" si="43"/>
        <v>37</v>
      </c>
      <c r="X999" s="472">
        <f t="shared" si="45"/>
        <v>60</v>
      </c>
      <c r="AT999" s="232"/>
      <c r="AV999" s="198"/>
      <c r="AW999" s="274"/>
    </row>
    <row r="1000" spans="2:49" x14ac:dyDescent="0.25">
      <c r="B1000" s="274">
        <v>21.1</v>
      </c>
      <c r="C1000" s="274">
        <v>59</v>
      </c>
      <c r="D1000" s="274">
        <v>21.1</v>
      </c>
      <c r="E1000" s="274">
        <v>6.1</v>
      </c>
      <c r="F1000" s="274">
        <v>9.4</v>
      </c>
      <c r="G1000" s="274">
        <v>210</v>
      </c>
      <c r="H1000" s="274">
        <v>1022.5</v>
      </c>
      <c r="I1000" s="274">
        <v>46267</v>
      </c>
      <c r="J1000" s="274">
        <v>0</v>
      </c>
      <c r="K1000" s="274">
        <v>0</v>
      </c>
      <c r="L1000" s="274">
        <v>0</v>
      </c>
      <c r="M1000" s="274">
        <v>65.3</v>
      </c>
      <c r="N1000" s="396">
        <v>599.79999999999995</v>
      </c>
      <c r="O1000" s="396">
        <v>36.6</v>
      </c>
      <c r="P1000" s="396">
        <v>32.9</v>
      </c>
      <c r="Q1000" s="397">
        <v>0.688194444444444</v>
      </c>
      <c r="R1000" s="396"/>
      <c r="S1000" s="410"/>
      <c r="T1000" s="409"/>
      <c r="U1000" s="398" t="str">
        <f t="shared" si="44"/>
        <v/>
      </c>
      <c r="V1000" s="400"/>
      <c r="W1000" s="410">
        <f t="shared" si="43"/>
        <v>36.6</v>
      </c>
      <c r="X1000" s="472">
        <f t="shared" si="45"/>
        <v>60</v>
      </c>
      <c r="AT1000" s="232"/>
      <c r="AV1000" s="198"/>
      <c r="AW1000" s="274"/>
    </row>
    <row r="1001" spans="2:49" x14ac:dyDescent="0.25">
      <c r="B1001" s="274">
        <v>21.2</v>
      </c>
      <c r="C1001" s="274">
        <v>60</v>
      </c>
      <c r="D1001" s="274">
        <v>21.2</v>
      </c>
      <c r="E1001" s="274">
        <v>2.9</v>
      </c>
      <c r="F1001" s="274">
        <v>3.6</v>
      </c>
      <c r="G1001" s="274">
        <v>238</v>
      </c>
      <c r="H1001" s="274">
        <v>1022.4</v>
      </c>
      <c r="I1001" s="274">
        <v>55180</v>
      </c>
      <c r="J1001" s="274">
        <v>0</v>
      </c>
      <c r="K1001" s="274">
        <v>0</v>
      </c>
      <c r="L1001" s="274">
        <v>0</v>
      </c>
      <c r="M1001" s="274">
        <v>65.3</v>
      </c>
      <c r="N1001" s="396">
        <v>599.79999999999995</v>
      </c>
      <c r="O1001" s="396">
        <v>36.1</v>
      </c>
      <c r="P1001" s="396">
        <v>32.700000000000003</v>
      </c>
      <c r="Q1001" s="397">
        <v>0.68888888888888899</v>
      </c>
      <c r="R1001" s="396"/>
      <c r="S1001" s="410"/>
      <c r="T1001" s="409"/>
      <c r="U1001" s="398" t="str">
        <f t="shared" si="44"/>
        <v/>
      </c>
      <c r="V1001" s="400"/>
      <c r="W1001" s="410">
        <f t="shared" si="43"/>
        <v>36.1</v>
      </c>
      <c r="X1001" s="472">
        <f t="shared" si="45"/>
        <v>60</v>
      </c>
      <c r="AT1001" s="232"/>
      <c r="AV1001" s="198"/>
      <c r="AW1001" s="274"/>
    </row>
    <row r="1002" spans="2:49" x14ac:dyDescent="0.25">
      <c r="B1002" s="274">
        <v>21.2</v>
      </c>
      <c r="C1002" s="274">
        <v>62</v>
      </c>
      <c r="D1002" s="274">
        <v>21.2</v>
      </c>
      <c r="E1002" s="274">
        <v>5.4</v>
      </c>
      <c r="F1002" s="274">
        <v>7.2</v>
      </c>
      <c r="G1002" s="274">
        <v>245</v>
      </c>
      <c r="H1002" s="274">
        <v>1022.4</v>
      </c>
      <c r="I1002" s="274">
        <v>49290</v>
      </c>
      <c r="J1002" s="274">
        <v>0</v>
      </c>
      <c r="K1002" s="274">
        <v>0</v>
      </c>
      <c r="L1002" s="274">
        <v>0</v>
      </c>
      <c r="M1002" s="274">
        <v>65.3</v>
      </c>
      <c r="N1002" s="396">
        <v>599.79999999999995</v>
      </c>
      <c r="O1002" s="396">
        <v>35.799999999999997</v>
      </c>
      <c r="P1002" s="396">
        <v>32.4</v>
      </c>
      <c r="Q1002" s="397">
        <v>0.68958333333333299</v>
      </c>
      <c r="R1002" s="396"/>
      <c r="S1002" s="410"/>
      <c r="T1002" s="409"/>
      <c r="U1002" s="398" t="str">
        <f t="shared" si="44"/>
        <v/>
      </c>
      <c r="V1002" s="400"/>
      <c r="W1002" s="410">
        <f t="shared" si="43"/>
        <v>35.799999999999997</v>
      </c>
      <c r="X1002" s="472">
        <f t="shared" si="45"/>
        <v>60</v>
      </c>
      <c r="AT1002" s="232"/>
      <c r="AV1002" s="198"/>
      <c r="AW1002" s="274"/>
    </row>
    <row r="1003" spans="2:49" x14ac:dyDescent="0.25">
      <c r="B1003" s="274">
        <v>21.2</v>
      </c>
      <c r="C1003" s="274">
        <v>61</v>
      </c>
      <c r="D1003" s="274">
        <v>21.2</v>
      </c>
      <c r="E1003" s="274">
        <v>4.7</v>
      </c>
      <c r="F1003" s="274">
        <v>5.4</v>
      </c>
      <c r="G1003" s="274">
        <v>307</v>
      </c>
      <c r="H1003" s="274">
        <v>1022.5</v>
      </c>
      <c r="I1003" s="274">
        <v>46500</v>
      </c>
      <c r="J1003" s="274">
        <v>0</v>
      </c>
      <c r="K1003" s="274">
        <v>0</v>
      </c>
      <c r="L1003" s="274">
        <v>0</v>
      </c>
      <c r="M1003" s="274">
        <v>65.3</v>
      </c>
      <c r="N1003" s="396">
        <v>599.79999999999995</v>
      </c>
      <c r="O1003" s="396">
        <v>35.799999999999997</v>
      </c>
      <c r="P1003" s="396">
        <v>32.1</v>
      </c>
      <c r="Q1003" s="397">
        <v>0.69027777777777799</v>
      </c>
      <c r="R1003" s="396"/>
      <c r="S1003" s="410"/>
      <c r="T1003" s="409"/>
      <c r="U1003" s="398" t="str">
        <f t="shared" si="44"/>
        <v/>
      </c>
      <c r="V1003" s="400"/>
      <c r="W1003" s="410">
        <f t="shared" si="43"/>
        <v>35.799999999999997</v>
      </c>
      <c r="X1003" s="472">
        <f t="shared" si="45"/>
        <v>60</v>
      </c>
      <c r="AT1003" s="232"/>
      <c r="AV1003" s="198"/>
      <c r="AW1003" s="274"/>
    </row>
    <row r="1004" spans="2:49" x14ac:dyDescent="0.25">
      <c r="B1004" s="274">
        <v>21.2</v>
      </c>
      <c r="C1004" s="274">
        <v>60</v>
      </c>
      <c r="D1004" s="274">
        <v>21.2</v>
      </c>
      <c r="E1004" s="274">
        <v>2.9</v>
      </c>
      <c r="F1004" s="274">
        <v>3.6</v>
      </c>
      <c r="G1004" s="274">
        <v>276</v>
      </c>
      <c r="H1004" s="274">
        <v>1022.5</v>
      </c>
      <c r="I1004" s="274">
        <v>45880</v>
      </c>
      <c r="J1004" s="274">
        <v>0</v>
      </c>
      <c r="K1004" s="274">
        <v>0</v>
      </c>
      <c r="L1004" s="274">
        <v>0</v>
      </c>
      <c r="M1004" s="274">
        <v>65.3</v>
      </c>
      <c r="N1004" s="396">
        <v>599.79999999999995</v>
      </c>
      <c r="O1004" s="396">
        <v>35.4</v>
      </c>
      <c r="P1004" s="396">
        <v>31.9</v>
      </c>
      <c r="Q1004" s="397">
        <v>0.69097222222222199</v>
      </c>
      <c r="R1004" s="396"/>
      <c r="S1004" s="410"/>
      <c r="T1004" s="409"/>
      <c r="U1004" s="398" t="str">
        <f t="shared" si="44"/>
        <v/>
      </c>
      <c r="V1004" s="400"/>
      <c r="W1004" s="410">
        <f t="shared" si="43"/>
        <v>35.4</v>
      </c>
      <c r="X1004" s="472">
        <f t="shared" si="45"/>
        <v>60</v>
      </c>
      <c r="AT1004" s="232"/>
      <c r="AV1004" s="198"/>
      <c r="AW1004" s="274"/>
    </row>
    <row r="1005" spans="2:49" x14ac:dyDescent="0.25">
      <c r="B1005" s="274">
        <v>21.6</v>
      </c>
      <c r="C1005" s="274">
        <v>60</v>
      </c>
      <c r="D1005" s="274">
        <v>21.6</v>
      </c>
      <c r="E1005" s="274">
        <v>4.7</v>
      </c>
      <c r="F1005" s="274">
        <v>7.2</v>
      </c>
      <c r="G1005" s="274">
        <v>199</v>
      </c>
      <c r="H1005" s="274">
        <v>1022.5</v>
      </c>
      <c r="I1005" s="274">
        <v>59194</v>
      </c>
      <c r="J1005" s="274">
        <v>0</v>
      </c>
      <c r="K1005" s="274">
        <v>0</v>
      </c>
      <c r="L1005" s="274">
        <v>0</v>
      </c>
      <c r="M1005" s="274">
        <v>65.3</v>
      </c>
      <c r="N1005" s="396">
        <v>599.79999999999995</v>
      </c>
      <c r="O1005" s="396">
        <v>35</v>
      </c>
      <c r="P1005" s="396">
        <v>31.6</v>
      </c>
      <c r="Q1005" s="397">
        <v>0.69166666666666698</v>
      </c>
      <c r="R1005" s="396"/>
      <c r="S1005" s="410"/>
      <c r="T1005" s="409"/>
      <c r="U1005" s="398" t="str">
        <f t="shared" si="44"/>
        <v/>
      </c>
      <c r="V1005" s="400"/>
      <c r="W1005" s="410">
        <f t="shared" si="43"/>
        <v>35</v>
      </c>
      <c r="X1005" s="472">
        <f t="shared" si="45"/>
        <v>60</v>
      </c>
      <c r="AT1005" s="232"/>
      <c r="AV1005" s="198"/>
      <c r="AW1005" s="274"/>
    </row>
    <row r="1006" spans="2:49" x14ac:dyDescent="0.25">
      <c r="B1006" s="274">
        <v>21.7</v>
      </c>
      <c r="C1006" s="274">
        <v>59</v>
      </c>
      <c r="D1006" s="274">
        <v>21.7</v>
      </c>
      <c r="E1006" s="274">
        <v>5.4</v>
      </c>
      <c r="F1006" s="274">
        <v>7.2</v>
      </c>
      <c r="G1006" s="274">
        <v>268</v>
      </c>
      <c r="H1006" s="274">
        <v>1022.4</v>
      </c>
      <c r="I1006" s="274">
        <v>57985</v>
      </c>
      <c r="J1006" s="274">
        <v>0</v>
      </c>
      <c r="K1006" s="274">
        <v>0</v>
      </c>
      <c r="L1006" s="274">
        <v>0</v>
      </c>
      <c r="M1006" s="274">
        <v>65.3</v>
      </c>
      <c r="N1006" s="396">
        <v>599.79999999999995</v>
      </c>
      <c r="O1006" s="396">
        <v>34.799999999999997</v>
      </c>
      <c r="P1006" s="396">
        <v>31.4</v>
      </c>
      <c r="Q1006" s="397">
        <v>0.69236111111111098</v>
      </c>
      <c r="R1006" s="396"/>
      <c r="S1006" s="410"/>
      <c r="T1006" s="409"/>
      <c r="U1006" s="398" t="str">
        <f t="shared" si="44"/>
        <v/>
      </c>
      <c r="V1006" s="400"/>
      <c r="W1006" s="410">
        <f t="shared" si="43"/>
        <v>34.799999999999997</v>
      </c>
      <c r="X1006" s="472">
        <f t="shared" si="45"/>
        <v>60</v>
      </c>
      <c r="AT1006" s="232"/>
      <c r="AV1006" s="198"/>
      <c r="AW1006" s="274"/>
    </row>
    <row r="1007" spans="2:49" x14ac:dyDescent="0.25">
      <c r="B1007" s="274">
        <v>21.7</v>
      </c>
      <c r="C1007" s="274">
        <v>59</v>
      </c>
      <c r="D1007" s="274">
        <v>21.7</v>
      </c>
      <c r="E1007" s="274">
        <v>5.8</v>
      </c>
      <c r="F1007" s="274">
        <v>7.2</v>
      </c>
      <c r="G1007" s="274">
        <v>282</v>
      </c>
      <c r="H1007" s="274">
        <v>1022.5</v>
      </c>
      <c r="I1007" s="274">
        <v>76942</v>
      </c>
      <c r="J1007" s="274">
        <v>0</v>
      </c>
      <c r="K1007" s="274">
        <v>0</v>
      </c>
      <c r="L1007" s="274">
        <v>0</v>
      </c>
      <c r="M1007" s="274">
        <v>65.3</v>
      </c>
      <c r="N1007" s="396">
        <v>599.79999999999995</v>
      </c>
      <c r="O1007" s="396">
        <v>34.700000000000003</v>
      </c>
      <c r="P1007" s="396">
        <v>31.3</v>
      </c>
      <c r="Q1007" s="397">
        <v>0.69305555555555598</v>
      </c>
      <c r="R1007" s="396"/>
      <c r="S1007" s="410"/>
      <c r="T1007" s="409"/>
      <c r="U1007" s="398" t="str">
        <f t="shared" si="44"/>
        <v/>
      </c>
      <c r="V1007" s="400"/>
      <c r="W1007" s="410">
        <f t="shared" si="43"/>
        <v>34.700000000000003</v>
      </c>
      <c r="X1007" s="472">
        <f t="shared" si="45"/>
        <v>60</v>
      </c>
      <c r="AT1007" s="232"/>
      <c r="AV1007" s="198"/>
      <c r="AW1007" s="274"/>
    </row>
    <row r="1008" spans="2:49" x14ac:dyDescent="0.25">
      <c r="B1008" s="274">
        <v>21.7</v>
      </c>
      <c r="C1008" s="274">
        <v>59</v>
      </c>
      <c r="D1008" s="274">
        <v>21.7</v>
      </c>
      <c r="E1008" s="274">
        <v>5</v>
      </c>
      <c r="F1008" s="274">
        <v>7.2</v>
      </c>
      <c r="G1008" s="274">
        <v>206</v>
      </c>
      <c r="H1008" s="274">
        <v>1022.6</v>
      </c>
      <c r="I1008" s="274">
        <v>75733</v>
      </c>
      <c r="J1008" s="274">
        <v>0</v>
      </c>
      <c r="K1008" s="274">
        <v>0</v>
      </c>
      <c r="L1008" s="274">
        <v>0</v>
      </c>
      <c r="M1008" s="274">
        <v>65.3</v>
      </c>
      <c r="N1008" s="396">
        <v>599.79999999999995</v>
      </c>
      <c r="O1008" s="396">
        <v>34.6</v>
      </c>
      <c r="P1008" s="396">
        <v>31.2</v>
      </c>
      <c r="Q1008" s="397">
        <v>0.69374999999999998</v>
      </c>
      <c r="R1008" s="396"/>
      <c r="S1008" s="410"/>
      <c r="T1008" s="409"/>
      <c r="U1008" s="398" t="str">
        <f t="shared" si="44"/>
        <v/>
      </c>
      <c r="V1008" s="400"/>
      <c r="W1008" s="410">
        <f t="shared" si="43"/>
        <v>34.6</v>
      </c>
      <c r="X1008" s="472">
        <f t="shared" si="45"/>
        <v>60</v>
      </c>
      <c r="AT1008" s="232"/>
      <c r="AV1008" s="198"/>
      <c r="AW1008" s="274"/>
    </row>
    <row r="1009" spans="2:49" x14ac:dyDescent="0.25">
      <c r="B1009" s="274">
        <v>21.7</v>
      </c>
      <c r="C1009" s="274">
        <v>60</v>
      </c>
      <c r="D1009" s="274">
        <v>21.7</v>
      </c>
      <c r="E1009" s="274">
        <v>6.1</v>
      </c>
      <c r="F1009" s="274">
        <v>9.4</v>
      </c>
      <c r="G1009" s="274">
        <v>280</v>
      </c>
      <c r="H1009" s="274">
        <v>1022.5</v>
      </c>
      <c r="I1009" s="274">
        <v>71393</v>
      </c>
      <c r="J1009" s="274">
        <v>0</v>
      </c>
      <c r="K1009" s="274">
        <v>0</v>
      </c>
      <c r="L1009" s="274">
        <v>0</v>
      </c>
      <c r="M1009" s="274">
        <v>65.3</v>
      </c>
      <c r="N1009" s="396">
        <v>599.79999999999995</v>
      </c>
      <c r="O1009" s="396">
        <v>34.799999999999997</v>
      </c>
      <c r="P1009" s="396">
        <v>31.4</v>
      </c>
      <c r="Q1009" s="397">
        <v>0.69444444444444398</v>
      </c>
      <c r="R1009" s="396"/>
      <c r="S1009" s="410"/>
      <c r="T1009" s="409"/>
      <c r="U1009" s="398" t="str">
        <f t="shared" si="44"/>
        <v/>
      </c>
      <c r="V1009" s="400"/>
      <c r="W1009" s="410">
        <f t="shared" si="43"/>
        <v>34.799999999999997</v>
      </c>
      <c r="X1009" s="472">
        <f t="shared" si="45"/>
        <v>60</v>
      </c>
      <c r="AT1009" s="232"/>
      <c r="AV1009" s="198"/>
      <c r="AW1009" s="274"/>
    </row>
    <row r="1010" spans="2:49" x14ac:dyDescent="0.25">
      <c r="B1010" s="274">
        <v>21.6</v>
      </c>
      <c r="C1010" s="274">
        <v>60</v>
      </c>
      <c r="D1010" s="274">
        <v>21.6</v>
      </c>
      <c r="E1010" s="274">
        <v>4.3</v>
      </c>
      <c r="F1010" s="274">
        <v>5.4</v>
      </c>
      <c r="G1010" s="274">
        <v>268</v>
      </c>
      <c r="H1010" s="274">
        <v>1022.6</v>
      </c>
      <c r="I1010" s="274">
        <v>84909</v>
      </c>
      <c r="J1010" s="274">
        <v>0</v>
      </c>
      <c r="K1010" s="274">
        <v>0</v>
      </c>
      <c r="L1010" s="274">
        <v>0</v>
      </c>
      <c r="M1010" s="274">
        <v>65.3</v>
      </c>
      <c r="N1010" s="396">
        <v>599.79999999999995</v>
      </c>
      <c r="O1010" s="396">
        <v>35</v>
      </c>
      <c r="P1010" s="396">
        <v>31.5</v>
      </c>
      <c r="Q1010" s="397">
        <v>0.69513888888888897</v>
      </c>
      <c r="R1010" s="396"/>
      <c r="S1010" s="410"/>
      <c r="T1010" s="409"/>
      <c r="U1010" s="398" t="str">
        <f t="shared" si="44"/>
        <v/>
      </c>
      <c r="V1010" s="400"/>
      <c r="W1010" s="410">
        <f t="shared" ref="W1010:W1073" si="46">MAX(O1010:P1010)</f>
        <v>35</v>
      </c>
      <c r="X1010" s="472">
        <f t="shared" si="45"/>
        <v>60</v>
      </c>
      <c r="AT1010" s="232"/>
      <c r="AV1010" s="198"/>
      <c r="AW1010" s="274"/>
    </row>
    <row r="1011" spans="2:49" x14ac:dyDescent="0.25">
      <c r="B1011" s="274">
        <v>21.5</v>
      </c>
      <c r="C1011" s="274">
        <v>59</v>
      </c>
      <c r="D1011" s="274">
        <v>21.5</v>
      </c>
      <c r="E1011" s="274">
        <v>4</v>
      </c>
      <c r="F1011" s="274">
        <v>5.4</v>
      </c>
      <c r="G1011" s="274">
        <v>225</v>
      </c>
      <c r="H1011" s="274">
        <v>1022.6</v>
      </c>
      <c r="I1011" s="274">
        <v>95247</v>
      </c>
      <c r="J1011" s="274">
        <v>0</v>
      </c>
      <c r="K1011" s="274">
        <v>0</v>
      </c>
      <c r="L1011" s="274">
        <v>0</v>
      </c>
      <c r="M1011" s="274">
        <v>65.3</v>
      </c>
      <c r="N1011" s="396">
        <v>599.79999999999995</v>
      </c>
      <c r="O1011" s="396">
        <v>35.200000000000003</v>
      </c>
      <c r="P1011" s="396">
        <v>31.6</v>
      </c>
      <c r="Q1011" s="397">
        <v>0.69583333333333297</v>
      </c>
      <c r="R1011" s="396"/>
      <c r="S1011" s="410"/>
      <c r="T1011" s="409"/>
      <c r="U1011" s="398" t="str">
        <f t="shared" si="44"/>
        <v/>
      </c>
      <c r="V1011" s="400"/>
      <c r="W1011" s="410">
        <f t="shared" si="46"/>
        <v>35.200000000000003</v>
      </c>
      <c r="X1011" s="472">
        <f t="shared" si="45"/>
        <v>60</v>
      </c>
      <c r="AT1011" s="232"/>
      <c r="AV1011" s="198"/>
      <c r="AW1011" s="274"/>
    </row>
    <row r="1012" spans="2:49" x14ac:dyDescent="0.25">
      <c r="B1012" s="274">
        <v>21.6</v>
      </c>
      <c r="C1012" s="274">
        <v>59</v>
      </c>
      <c r="D1012" s="274">
        <v>21.6</v>
      </c>
      <c r="E1012" s="274">
        <v>2.9</v>
      </c>
      <c r="F1012" s="274">
        <v>3.6</v>
      </c>
      <c r="G1012" s="274">
        <v>190</v>
      </c>
      <c r="H1012" s="274">
        <v>1022.7</v>
      </c>
      <c r="I1012" s="274">
        <v>51661</v>
      </c>
      <c r="J1012" s="274">
        <v>0</v>
      </c>
      <c r="K1012" s="274">
        <v>0</v>
      </c>
      <c r="L1012" s="274">
        <v>0</v>
      </c>
      <c r="M1012" s="274">
        <v>65.3</v>
      </c>
      <c r="N1012" s="396">
        <v>599.79999999999995</v>
      </c>
      <c r="O1012" s="396">
        <v>35.4</v>
      </c>
      <c r="P1012" s="396">
        <v>31.7</v>
      </c>
      <c r="Q1012" s="397">
        <v>0.69652777777777797</v>
      </c>
      <c r="R1012" s="396"/>
      <c r="S1012" s="410"/>
      <c r="T1012" s="409"/>
      <c r="U1012" s="398" t="str">
        <f t="shared" si="44"/>
        <v/>
      </c>
      <c r="V1012" s="400"/>
      <c r="W1012" s="410">
        <f t="shared" si="46"/>
        <v>35.4</v>
      </c>
      <c r="X1012" s="472">
        <f t="shared" si="45"/>
        <v>60</v>
      </c>
      <c r="AT1012" s="232"/>
      <c r="AV1012" s="198"/>
      <c r="AW1012" s="274"/>
    </row>
    <row r="1013" spans="2:49" x14ac:dyDescent="0.25">
      <c r="B1013" s="274">
        <v>21.7</v>
      </c>
      <c r="C1013" s="274">
        <v>60</v>
      </c>
      <c r="D1013" s="274">
        <v>21.7</v>
      </c>
      <c r="E1013" s="274">
        <v>9.4</v>
      </c>
      <c r="F1013" s="274">
        <v>11.2</v>
      </c>
      <c r="G1013" s="274">
        <v>279</v>
      </c>
      <c r="H1013" s="274">
        <v>1022.5</v>
      </c>
      <c r="I1013" s="274">
        <v>44299</v>
      </c>
      <c r="J1013" s="274">
        <v>0</v>
      </c>
      <c r="K1013" s="274">
        <v>0</v>
      </c>
      <c r="L1013" s="274">
        <v>0</v>
      </c>
      <c r="M1013" s="274">
        <v>65.3</v>
      </c>
      <c r="N1013" s="396">
        <v>599.79999999999995</v>
      </c>
      <c r="O1013" s="396">
        <v>35.700000000000003</v>
      </c>
      <c r="P1013" s="396">
        <v>31.7</v>
      </c>
      <c r="Q1013" s="397">
        <v>0.69722222222222197</v>
      </c>
      <c r="R1013" s="396"/>
      <c r="S1013" s="410"/>
      <c r="T1013" s="409"/>
      <c r="U1013" s="398" t="str">
        <f t="shared" si="44"/>
        <v/>
      </c>
      <c r="V1013" s="400"/>
      <c r="W1013" s="410">
        <f t="shared" si="46"/>
        <v>35.700000000000003</v>
      </c>
      <c r="X1013" s="472">
        <f t="shared" si="45"/>
        <v>60</v>
      </c>
      <c r="AT1013" s="232"/>
      <c r="AV1013" s="198"/>
      <c r="AW1013" s="274"/>
    </row>
    <row r="1014" spans="2:49" x14ac:dyDescent="0.25">
      <c r="B1014" s="274">
        <v>21.7</v>
      </c>
      <c r="C1014" s="274">
        <v>61</v>
      </c>
      <c r="D1014" s="274">
        <v>21.7</v>
      </c>
      <c r="E1014" s="274">
        <v>8.6</v>
      </c>
      <c r="F1014" s="274">
        <v>16.600000000000001</v>
      </c>
      <c r="G1014" s="274">
        <v>276</v>
      </c>
      <c r="H1014" s="274">
        <v>1022.7</v>
      </c>
      <c r="I1014" s="274">
        <v>70401</v>
      </c>
      <c r="J1014" s="274">
        <v>0</v>
      </c>
      <c r="K1014" s="274">
        <v>0</v>
      </c>
      <c r="L1014" s="274">
        <v>0</v>
      </c>
      <c r="M1014" s="274">
        <v>65.3</v>
      </c>
      <c r="N1014" s="396">
        <v>599.79999999999995</v>
      </c>
      <c r="O1014" s="396">
        <v>36</v>
      </c>
      <c r="P1014" s="396">
        <v>31.9</v>
      </c>
      <c r="Q1014" s="397">
        <v>0.69791666666666696</v>
      </c>
      <c r="R1014" s="396"/>
      <c r="S1014" s="410"/>
      <c r="T1014" s="409"/>
      <c r="U1014" s="398" t="str">
        <f t="shared" si="44"/>
        <v/>
      </c>
      <c r="V1014" s="400"/>
      <c r="W1014" s="410">
        <f t="shared" si="46"/>
        <v>36</v>
      </c>
      <c r="X1014" s="472">
        <f t="shared" si="45"/>
        <v>60</v>
      </c>
      <c r="AT1014" s="232"/>
      <c r="AV1014" s="198"/>
      <c r="AW1014" s="274"/>
    </row>
    <row r="1015" spans="2:49" x14ac:dyDescent="0.25">
      <c r="B1015" s="274">
        <v>21.3</v>
      </c>
      <c r="C1015" s="274">
        <v>61</v>
      </c>
      <c r="D1015" s="274">
        <v>21.3</v>
      </c>
      <c r="E1015" s="274">
        <v>5.4</v>
      </c>
      <c r="F1015" s="274">
        <v>9.4</v>
      </c>
      <c r="G1015" s="274">
        <v>306</v>
      </c>
      <c r="H1015" s="274">
        <v>1022.4</v>
      </c>
      <c r="I1015" s="274">
        <v>46376</v>
      </c>
      <c r="J1015" s="274">
        <v>0</v>
      </c>
      <c r="K1015" s="274">
        <v>0</v>
      </c>
      <c r="L1015" s="274">
        <v>0</v>
      </c>
      <c r="M1015" s="274">
        <v>65.3</v>
      </c>
      <c r="N1015" s="396">
        <v>599.79999999999995</v>
      </c>
      <c r="O1015" s="396">
        <v>36</v>
      </c>
      <c r="P1015" s="396">
        <v>31.9</v>
      </c>
      <c r="Q1015" s="397">
        <v>0.69861111111111096</v>
      </c>
      <c r="R1015" s="396"/>
      <c r="S1015" s="410"/>
      <c r="T1015" s="409"/>
      <c r="U1015" s="398" t="str">
        <f t="shared" si="44"/>
        <v/>
      </c>
      <c r="V1015" s="400"/>
      <c r="W1015" s="410">
        <f t="shared" si="46"/>
        <v>36</v>
      </c>
      <c r="X1015" s="472">
        <f t="shared" si="45"/>
        <v>60</v>
      </c>
      <c r="AT1015" s="232"/>
      <c r="AV1015" s="198"/>
      <c r="AW1015" s="274"/>
    </row>
    <row r="1016" spans="2:49" x14ac:dyDescent="0.25">
      <c r="B1016" s="274">
        <v>21.1</v>
      </c>
      <c r="C1016" s="274">
        <v>62</v>
      </c>
      <c r="D1016" s="274">
        <v>21.1</v>
      </c>
      <c r="E1016" s="274">
        <v>2.5</v>
      </c>
      <c r="F1016" s="274">
        <v>3.6</v>
      </c>
      <c r="G1016" s="274">
        <v>293</v>
      </c>
      <c r="H1016" s="274">
        <v>1022.5</v>
      </c>
      <c r="I1016" s="274">
        <v>50499</v>
      </c>
      <c r="J1016" s="274">
        <v>0</v>
      </c>
      <c r="K1016" s="274">
        <v>0</v>
      </c>
      <c r="L1016" s="274">
        <v>0</v>
      </c>
      <c r="M1016" s="274">
        <v>65.3</v>
      </c>
      <c r="N1016" s="396">
        <v>599.79999999999995</v>
      </c>
      <c r="O1016" s="396">
        <v>35.9</v>
      </c>
      <c r="P1016" s="396">
        <v>31.7</v>
      </c>
      <c r="Q1016" s="397">
        <v>0.69930555555555596</v>
      </c>
      <c r="R1016" s="396"/>
      <c r="S1016" s="410"/>
      <c r="T1016" s="409"/>
      <c r="U1016" s="398" t="str">
        <f t="shared" si="44"/>
        <v/>
      </c>
      <c r="V1016" s="400"/>
      <c r="W1016" s="410">
        <f t="shared" si="46"/>
        <v>35.9</v>
      </c>
      <c r="X1016" s="472">
        <f t="shared" si="45"/>
        <v>60</v>
      </c>
      <c r="AT1016" s="232"/>
      <c r="AV1016" s="198"/>
      <c r="AW1016" s="274"/>
    </row>
    <row r="1017" spans="2:49" x14ac:dyDescent="0.25">
      <c r="B1017" s="274">
        <v>21.2</v>
      </c>
      <c r="C1017" s="274">
        <v>61</v>
      </c>
      <c r="D1017" s="274">
        <v>21.2</v>
      </c>
      <c r="E1017" s="274">
        <v>5.4</v>
      </c>
      <c r="F1017" s="274">
        <v>5.4</v>
      </c>
      <c r="G1017" s="274">
        <v>276</v>
      </c>
      <c r="H1017" s="274">
        <v>1022.6</v>
      </c>
      <c r="I1017" s="274">
        <v>57923</v>
      </c>
      <c r="J1017" s="274">
        <v>0</v>
      </c>
      <c r="K1017" s="274">
        <v>0</v>
      </c>
      <c r="L1017" s="274">
        <v>0</v>
      </c>
      <c r="M1017" s="274">
        <v>65.3</v>
      </c>
      <c r="N1017" s="396">
        <v>599.79999999999995</v>
      </c>
      <c r="O1017" s="396">
        <v>35.6</v>
      </c>
      <c r="P1017" s="396">
        <v>31.5</v>
      </c>
      <c r="Q1017" s="397">
        <v>0.7</v>
      </c>
      <c r="R1017" s="396"/>
      <c r="S1017" s="410"/>
      <c r="T1017" s="409"/>
      <c r="U1017" s="398" t="str">
        <f t="shared" si="44"/>
        <v/>
      </c>
      <c r="V1017" s="400"/>
      <c r="W1017" s="410">
        <f t="shared" si="46"/>
        <v>35.6</v>
      </c>
      <c r="X1017" s="472">
        <f t="shared" si="45"/>
        <v>60</v>
      </c>
      <c r="AT1017" s="232"/>
      <c r="AV1017" s="198"/>
      <c r="AW1017" s="274"/>
    </row>
    <row r="1018" spans="2:49" x14ac:dyDescent="0.25">
      <c r="B1018" s="274">
        <v>21.4</v>
      </c>
      <c r="C1018" s="274">
        <v>61</v>
      </c>
      <c r="D1018" s="274">
        <v>21.4</v>
      </c>
      <c r="E1018" s="274">
        <v>1.4</v>
      </c>
      <c r="F1018" s="274">
        <v>1.8</v>
      </c>
      <c r="G1018" s="274">
        <v>309</v>
      </c>
      <c r="H1018" s="274">
        <v>1022.6</v>
      </c>
      <c r="I1018" s="274">
        <v>75066</v>
      </c>
      <c r="J1018" s="274">
        <v>0</v>
      </c>
      <c r="K1018" s="274">
        <v>0</v>
      </c>
      <c r="L1018" s="274">
        <v>0</v>
      </c>
      <c r="M1018" s="274">
        <v>65.3</v>
      </c>
      <c r="N1018" s="396">
        <v>599.79999999999995</v>
      </c>
      <c r="O1018" s="396">
        <v>35.299999999999997</v>
      </c>
      <c r="P1018" s="396">
        <v>31.3</v>
      </c>
      <c r="Q1018" s="397">
        <v>0.70069444444444495</v>
      </c>
      <c r="R1018" s="396"/>
      <c r="S1018" s="410"/>
      <c r="T1018" s="409"/>
      <c r="U1018" s="398" t="str">
        <f t="shared" si="44"/>
        <v/>
      </c>
      <c r="V1018" s="400"/>
      <c r="W1018" s="410">
        <f t="shared" si="46"/>
        <v>35.299999999999997</v>
      </c>
      <c r="X1018" s="472">
        <f t="shared" si="45"/>
        <v>60</v>
      </c>
      <c r="AT1018" s="232"/>
      <c r="AV1018" s="198"/>
      <c r="AW1018" s="274"/>
    </row>
    <row r="1019" spans="2:49" x14ac:dyDescent="0.25">
      <c r="B1019" s="274">
        <v>21.4</v>
      </c>
      <c r="C1019" s="274">
        <v>59</v>
      </c>
      <c r="D1019" s="274">
        <v>21.4</v>
      </c>
      <c r="E1019" s="274">
        <v>4.7</v>
      </c>
      <c r="F1019" s="274">
        <v>5.4</v>
      </c>
      <c r="G1019" s="274">
        <v>288</v>
      </c>
      <c r="H1019" s="274">
        <v>1022.4</v>
      </c>
      <c r="I1019" s="274">
        <v>71005</v>
      </c>
      <c r="J1019" s="274">
        <v>0</v>
      </c>
      <c r="K1019" s="274">
        <v>0</v>
      </c>
      <c r="L1019" s="274">
        <v>0</v>
      </c>
      <c r="M1019" s="274">
        <v>65.3</v>
      </c>
      <c r="N1019" s="396">
        <v>599.79999999999995</v>
      </c>
      <c r="O1019" s="396">
        <v>35.1</v>
      </c>
      <c r="P1019" s="396">
        <v>31.2</v>
      </c>
      <c r="Q1019" s="397">
        <v>0.70138888888888895</v>
      </c>
      <c r="R1019" s="396"/>
      <c r="S1019" s="410"/>
      <c r="T1019" s="409"/>
      <c r="U1019" s="398" t="str">
        <f t="shared" si="44"/>
        <v/>
      </c>
      <c r="V1019" s="400"/>
      <c r="W1019" s="410">
        <f t="shared" si="46"/>
        <v>35.1</v>
      </c>
      <c r="X1019" s="472">
        <f t="shared" si="45"/>
        <v>60</v>
      </c>
      <c r="AT1019" s="232"/>
      <c r="AV1019" s="198"/>
      <c r="AW1019" s="274"/>
    </row>
    <row r="1020" spans="2:49" x14ac:dyDescent="0.25">
      <c r="B1020" s="274">
        <v>21.9</v>
      </c>
      <c r="C1020" s="274">
        <v>59</v>
      </c>
      <c r="D1020" s="274">
        <v>21.9</v>
      </c>
      <c r="E1020" s="274">
        <v>2.2000000000000002</v>
      </c>
      <c r="F1020" s="274">
        <v>3.6</v>
      </c>
      <c r="G1020" s="274">
        <v>276</v>
      </c>
      <c r="H1020" s="274">
        <v>1022.3</v>
      </c>
      <c r="I1020" s="274">
        <v>86831</v>
      </c>
      <c r="J1020" s="274">
        <v>0</v>
      </c>
      <c r="K1020" s="274">
        <v>0</v>
      </c>
      <c r="L1020" s="274">
        <v>0</v>
      </c>
      <c r="M1020" s="274">
        <v>65.3</v>
      </c>
      <c r="N1020" s="396">
        <v>599.79999999999995</v>
      </c>
      <c r="O1020" s="396">
        <v>35</v>
      </c>
      <c r="P1020" s="396">
        <v>31.2</v>
      </c>
      <c r="Q1020" s="397">
        <v>0.70208333333333295</v>
      </c>
      <c r="R1020" s="396"/>
      <c r="S1020" s="410"/>
      <c r="T1020" s="409"/>
      <c r="U1020" s="398" t="str">
        <f t="shared" si="44"/>
        <v/>
      </c>
      <c r="V1020" s="400"/>
      <c r="W1020" s="410">
        <f t="shared" si="46"/>
        <v>35</v>
      </c>
      <c r="X1020" s="472">
        <f t="shared" si="45"/>
        <v>60</v>
      </c>
      <c r="AT1020" s="232"/>
      <c r="AV1020" s="198"/>
      <c r="AW1020" s="274"/>
    </row>
    <row r="1021" spans="2:49" x14ac:dyDescent="0.25">
      <c r="B1021" s="274">
        <v>21.9</v>
      </c>
      <c r="C1021" s="274">
        <v>59</v>
      </c>
      <c r="D1021" s="274">
        <v>21.9</v>
      </c>
      <c r="E1021" s="274">
        <v>6.1</v>
      </c>
      <c r="F1021" s="274">
        <v>11.2</v>
      </c>
      <c r="G1021" s="274">
        <v>288</v>
      </c>
      <c r="H1021" s="274">
        <v>1022.5</v>
      </c>
      <c r="I1021" s="274">
        <v>85467</v>
      </c>
      <c r="J1021" s="274">
        <v>0</v>
      </c>
      <c r="K1021" s="274">
        <v>0</v>
      </c>
      <c r="L1021" s="274">
        <v>0</v>
      </c>
      <c r="M1021" s="274">
        <v>65.3</v>
      </c>
      <c r="N1021" s="396">
        <v>599.79999999999995</v>
      </c>
      <c r="O1021" s="396">
        <v>35.200000000000003</v>
      </c>
      <c r="P1021" s="396">
        <v>31.3</v>
      </c>
      <c r="Q1021" s="397">
        <v>0.70277777777777795</v>
      </c>
      <c r="R1021" s="396"/>
      <c r="S1021" s="410"/>
      <c r="T1021" s="409"/>
      <c r="U1021" s="398" t="str">
        <f t="shared" si="44"/>
        <v/>
      </c>
      <c r="V1021" s="400"/>
      <c r="W1021" s="410">
        <f t="shared" si="46"/>
        <v>35.200000000000003</v>
      </c>
      <c r="X1021" s="472">
        <f t="shared" si="45"/>
        <v>60</v>
      </c>
      <c r="AT1021" s="232"/>
      <c r="AV1021" s="198"/>
      <c r="AW1021" s="274"/>
    </row>
    <row r="1022" spans="2:49" x14ac:dyDescent="0.25">
      <c r="B1022" s="274">
        <v>21.9</v>
      </c>
      <c r="C1022" s="274">
        <v>61</v>
      </c>
      <c r="D1022" s="274">
        <v>21.9</v>
      </c>
      <c r="E1022" s="274">
        <v>6.5</v>
      </c>
      <c r="F1022" s="274">
        <v>7.2</v>
      </c>
      <c r="G1022" s="274">
        <v>262</v>
      </c>
      <c r="H1022" s="274">
        <v>1022.4</v>
      </c>
      <c r="I1022" s="274">
        <v>80460</v>
      </c>
      <c r="J1022" s="274">
        <v>0</v>
      </c>
      <c r="K1022" s="274">
        <v>0</v>
      </c>
      <c r="L1022" s="274">
        <v>0</v>
      </c>
      <c r="M1022" s="274">
        <v>65.3</v>
      </c>
      <c r="N1022" s="396">
        <v>599.79999999999995</v>
      </c>
      <c r="O1022" s="396">
        <v>35.6</v>
      </c>
      <c r="P1022" s="396">
        <v>31.5</v>
      </c>
      <c r="Q1022" s="397">
        <v>0.70347222222222205</v>
      </c>
      <c r="R1022" s="396"/>
      <c r="S1022" s="410"/>
      <c r="T1022" s="409"/>
      <c r="U1022" s="398" t="str">
        <f t="shared" si="44"/>
        <v/>
      </c>
      <c r="V1022" s="400"/>
      <c r="W1022" s="410">
        <f t="shared" si="46"/>
        <v>35.6</v>
      </c>
      <c r="X1022" s="472">
        <f t="shared" si="45"/>
        <v>60</v>
      </c>
      <c r="AT1022" s="232"/>
      <c r="AV1022" s="198"/>
      <c r="AW1022" s="274"/>
    </row>
    <row r="1023" spans="2:49" x14ac:dyDescent="0.25">
      <c r="B1023" s="274">
        <v>21.9</v>
      </c>
      <c r="C1023" s="274">
        <v>61</v>
      </c>
      <c r="D1023" s="274">
        <v>21.9</v>
      </c>
      <c r="E1023" s="274">
        <v>9</v>
      </c>
      <c r="F1023" s="274">
        <v>11.2</v>
      </c>
      <c r="G1023" s="274">
        <v>284</v>
      </c>
      <c r="H1023" s="274">
        <v>1022.3</v>
      </c>
      <c r="I1023" s="274">
        <v>78104</v>
      </c>
      <c r="J1023" s="274">
        <v>0</v>
      </c>
      <c r="K1023" s="274">
        <v>0</v>
      </c>
      <c r="L1023" s="274">
        <v>0</v>
      </c>
      <c r="M1023" s="274">
        <v>65.3</v>
      </c>
      <c r="N1023" s="396">
        <v>599.79999999999995</v>
      </c>
      <c r="O1023" s="396">
        <v>36</v>
      </c>
      <c r="P1023" s="396">
        <v>31.7</v>
      </c>
      <c r="Q1023" s="397">
        <v>0.70416666666666705</v>
      </c>
      <c r="R1023" s="396"/>
      <c r="S1023" s="410"/>
      <c r="T1023" s="409"/>
      <c r="U1023" s="398" t="str">
        <f t="shared" si="44"/>
        <v/>
      </c>
      <c r="V1023" s="400"/>
      <c r="W1023" s="410">
        <f t="shared" si="46"/>
        <v>36</v>
      </c>
      <c r="X1023" s="472">
        <f t="shared" si="45"/>
        <v>60</v>
      </c>
      <c r="AT1023" s="232"/>
      <c r="AV1023" s="198"/>
      <c r="AW1023" s="274"/>
    </row>
    <row r="1024" spans="2:49" x14ac:dyDescent="0.25">
      <c r="B1024" s="274">
        <v>21.6</v>
      </c>
      <c r="C1024" s="274">
        <v>61</v>
      </c>
      <c r="D1024" s="274">
        <v>21.6</v>
      </c>
      <c r="E1024" s="274">
        <v>7.9</v>
      </c>
      <c r="F1024" s="274">
        <v>11.2</v>
      </c>
      <c r="G1024" s="274">
        <v>267</v>
      </c>
      <c r="H1024" s="274">
        <v>1022.2</v>
      </c>
      <c r="I1024" s="274">
        <v>78042</v>
      </c>
      <c r="J1024" s="274">
        <v>0</v>
      </c>
      <c r="K1024" s="274">
        <v>0</v>
      </c>
      <c r="L1024" s="274">
        <v>0</v>
      </c>
      <c r="M1024" s="274">
        <v>65.3</v>
      </c>
      <c r="N1024" s="396">
        <v>599.79999999999995</v>
      </c>
      <c r="O1024" s="396">
        <v>36.299999999999997</v>
      </c>
      <c r="P1024" s="396">
        <v>31.9</v>
      </c>
      <c r="Q1024" s="397">
        <v>0.70486111111111105</v>
      </c>
      <c r="R1024" s="396"/>
      <c r="S1024" s="410"/>
      <c r="T1024" s="409"/>
      <c r="U1024" s="398" t="str">
        <f t="shared" si="44"/>
        <v/>
      </c>
      <c r="V1024" s="400"/>
      <c r="W1024" s="410">
        <f t="shared" si="46"/>
        <v>36.299999999999997</v>
      </c>
      <c r="X1024" s="472">
        <f t="shared" si="45"/>
        <v>60</v>
      </c>
      <c r="AT1024" s="232"/>
      <c r="AV1024" s="198"/>
      <c r="AW1024" s="274"/>
    </row>
    <row r="1025" spans="2:49" x14ac:dyDescent="0.25">
      <c r="B1025" s="274">
        <v>21.6</v>
      </c>
      <c r="C1025" s="274">
        <v>61</v>
      </c>
      <c r="D1025" s="274">
        <v>21.6</v>
      </c>
      <c r="E1025" s="274">
        <v>7.9</v>
      </c>
      <c r="F1025" s="274">
        <v>11.2</v>
      </c>
      <c r="G1025" s="274">
        <v>343</v>
      </c>
      <c r="H1025" s="274">
        <v>1022.4</v>
      </c>
      <c r="I1025" s="274">
        <v>88272</v>
      </c>
      <c r="J1025" s="274">
        <v>0</v>
      </c>
      <c r="K1025" s="274">
        <v>0</v>
      </c>
      <c r="L1025" s="274">
        <v>0</v>
      </c>
      <c r="M1025" s="274">
        <v>65.3</v>
      </c>
      <c r="N1025" s="396">
        <v>599.79999999999995</v>
      </c>
      <c r="O1025" s="396">
        <v>36.5</v>
      </c>
      <c r="P1025" s="396">
        <v>32.1</v>
      </c>
      <c r="Q1025" s="397">
        <v>0.70555555555555605</v>
      </c>
      <c r="R1025" s="396"/>
      <c r="S1025" s="410"/>
      <c r="T1025" s="409"/>
      <c r="U1025" s="398" t="str">
        <f t="shared" si="44"/>
        <v/>
      </c>
      <c r="V1025" s="400"/>
      <c r="W1025" s="410">
        <f t="shared" si="46"/>
        <v>36.5</v>
      </c>
      <c r="X1025" s="472">
        <f t="shared" si="45"/>
        <v>60</v>
      </c>
      <c r="AT1025" s="232"/>
      <c r="AV1025" s="198"/>
      <c r="AW1025" s="274"/>
    </row>
    <row r="1026" spans="2:49" x14ac:dyDescent="0.25">
      <c r="B1026" s="274">
        <v>21.6</v>
      </c>
      <c r="C1026" s="274">
        <v>60</v>
      </c>
      <c r="D1026" s="274">
        <v>21.6</v>
      </c>
      <c r="E1026" s="274">
        <v>1.8</v>
      </c>
      <c r="F1026" s="274">
        <v>3.6</v>
      </c>
      <c r="G1026" s="274">
        <v>230</v>
      </c>
      <c r="H1026" s="274">
        <v>1022.4</v>
      </c>
      <c r="I1026" s="274">
        <v>89698</v>
      </c>
      <c r="J1026" s="274">
        <v>0</v>
      </c>
      <c r="K1026" s="274">
        <v>0</v>
      </c>
      <c r="L1026" s="274">
        <v>0</v>
      </c>
      <c r="M1026" s="274">
        <v>65.3</v>
      </c>
      <c r="N1026" s="396">
        <v>599.79999999999995</v>
      </c>
      <c r="O1026" s="396">
        <v>36.700000000000003</v>
      </c>
      <c r="P1026" s="396">
        <v>32.299999999999997</v>
      </c>
      <c r="Q1026" s="397">
        <v>0.70625000000000004</v>
      </c>
      <c r="R1026" s="396"/>
      <c r="S1026" s="410"/>
      <c r="T1026" s="409"/>
      <c r="U1026" s="398" t="str">
        <f t="shared" si="44"/>
        <v/>
      </c>
      <c r="V1026" s="400"/>
      <c r="W1026" s="410">
        <f t="shared" si="46"/>
        <v>36.700000000000003</v>
      </c>
      <c r="X1026" s="472">
        <f t="shared" si="45"/>
        <v>60</v>
      </c>
      <c r="AT1026" s="232"/>
      <c r="AV1026" s="198"/>
      <c r="AW1026" s="274"/>
    </row>
    <row r="1027" spans="2:49" x14ac:dyDescent="0.25">
      <c r="B1027" s="274">
        <v>21.7</v>
      </c>
      <c r="C1027" s="274">
        <v>60</v>
      </c>
      <c r="D1027" s="274">
        <v>21.7</v>
      </c>
      <c r="E1027" s="274">
        <v>8.3000000000000007</v>
      </c>
      <c r="F1027" s="274">
        <v>11.2</v>
      </c>
      <c r="G1027" s="274">
        <v>244</v>
      </c>
      <c r="H1027" s="274">
        <v>1022.3</v>
      </c>
      <c r="I1027" s="274">
        <v>57644</v>
      </c>
      <c r="J1027" s="274">
        <v>0</v>
      </c>
      <c r="K1027" s="274">
        <v>0</v>
      </c>
      <c r="L1027" s="274">
        <v>0</v>
      </c>
      <c r="M1027" s="274">
        <v>65.3</v>
      </c>
      <c r="N1027" s="396">
        <v>599.79999999999995</v>
      </c>
      <c r="O1027" s="396">
        <v>36.9</v>
      </c>
      <c r="P1027" s="396">
        <v>32.299999999999997</v>
      </c>
      <c r="Q1027" s="397">
        <v>0.70694444444444404</v>
      </c>
      <c r="R1027" s="396"/>
      <c r="S1027" s="410"/>
      <c r="T1027" s="409"/>
      <c r="U1027" s="398" t="str">
        <f t="shared" si="44"/>
        <v/>
      </c>
      <c r="V1027" s="400"/>
      <c r="W1027" s="410">
        <f t="shared" si="46"/>
        <v>36.9</v>
      </c>
      <c r="X1027" s="472">
        <f t="shared" si="45"/>
        <v>60</v>
      </c>
      <c r="AT1027" s="232"/>
      <c r="AV1027" s="198"/>
      <c r="AW1027" s="274"/>
    </row>
    <row r="1028" spans="2:49" x14ac:dyDescent="0.25">
      <c r="B1028" s="274">
        <v>21.6</v>
      </c>
      <c r="C1028" s="274">
        <v>61</v>
      </c>
      <c r="D1028" s="274">
        <v>21.6</v>
      </c>
      <c r="E1028" s="274">
        <v>2.9</v>
      </c>
      <c r="F1028" s="274">
        <v>3.6</v>
      </c>
      <c r="G1028" s="274">
        <v>296</v>
      </c>
      <c r="H1028" s="274">
        <v>1022.4</v>
      </c>
      <c r="I1028" s="274">
        <v>60946</v>
      </c>
      <c r="J1028" s="274">
        <v>0</v>
      </c>
      <c r="K1028" s="274">
        <v>0</v>
      </c>
      <c r="L1028" s="274">
        <v>0</v>
      </c>
      <c r="M1028" s="274">
        <v>65.3</v>
      </c>
      <c r="N1028" s="396">
        <v>599.79999999999995</v>
      </c>
      <c r="O1028" s="396">
        <v>37</v>
      </c>
      <c r="P1028" s="396">
        <v>32.200000000000003</v>
      </c>
      <c r="Q1028" s="397">
        <v>0.70763888888888904</v>
      </c>
      <c r="R1028" s="396"/>
      <c r="S1028" s="410"/>
      <c r="T1028" s="409"/>
      <c r="U1028" s="398" t="str">
        <f t="shared" si="44"/>
        <v/>
      </c>
      <c r="V1028" s="400"/>
      <c r="W1028" s="410">
        <f t="shared" si="46"/>
        <v>37</v>
      </c>
      <c r="X1028" s="472">
        <f t="shared" si="45"/>
        <v>60</v>
      </c>
      <c r="AT1028" s="232"/>
      <c r="AV1028" s="198"/>
      <c r="AW1028" s="274"/>
    </row>
    <row r="1029" spans="2:49" x14ac:dyDescent="0.25">
      <c r="B1029" s="274">
        <v>21.4</v>
      </c>
      <c r="C1029" s="274">
        <v>61</v>
      </c>
      <c r="D1029" s="274">
        <v>21.4</v>
      </c>
      <c r="E1029" s="274">
        <v>5.8</v>
      </c>
      <c r="F1029" s="274">
        <v>9.4</v>
      </c>
      <c r="G1029" s="274">
        <v>293</v>
      </c>
      <c r="H1029" s="274">
        <v>1022.7</v>
      </c>
      <c r="I1029" s="274">
        <v>46763</v>
      </c>
      <c r="J1029" s="274">
        <v>0</v>
      </c>
      <c r="K1029" s="274">
        <v>0</v>
      </c>
      <c r="L1029" s="274">
        <v>0</v>
      </c>
      <c r="M1029" s="274">
        <v>65.3</v>
      </c>
      <c r="N1029" s="396">
        <v>599.79999999999995</v>
      </c>
      <c r="O1029" s="396">
        <v>36.9</v>
      </c>
      <c r="P1029" s="396">
        <v>32</v>
      </c>
      <c r="Q1029" s="397">
        <v>0.70833333333333304</v>
      </c>
      <c r="R1029" s="396"/>
      <c r="S1029" s="410"/>
      <c r="T1029" s="409"/>
      <c r="U1029" s="398" t="str">
        <f t="shared" si="44"/>
        <v/>
      </c>
      <c r="V1029" s="400"/>
      <c r="W1029" s="410">
        <f t="shared" si="46"/>
        <v>36.9</v>
      </c>
      <c r="X1029" s="472">
        <f t="shared" si="45"/>
        <v>60</v>
      </c>
      <c r="AT1029" s="232"/>
      <c r="AV1029" s="198"/>
      <c r="AW1029" s="274"/>
    </row>
    <row r="1030" spans="2:49" x14ac:dyDescent="0.25">
      <c r="B1030" s="274">
        <v>21.4</v>
      </c>
      <c r="C1030" s="274">
        <v>62</v>
      </c>
      <c r="D1030" s="274">
        <v>21.4</v>
      </c>
      <c r="E1030" s="274">
        <v>5.4</v>
      </c>
      <c r="F1030" s="274">
        <v>7.2</v>
      </c>
      <c r="G1030" s="274">
        <v>249</v>
      </c>
      <c r="H1030" s="274">
        <v>1022.5</v>
      </c>
      <c r="I1030" s="274">
        <v>38905</v>
      </c>
      <c r="J1030" s="274">
        <v>0</v>
      </c>
      <c r="K1030" s="274">
        <v>0</v>
      </c>
      <c r="L1030" s="274">
        <v>0</v>
      </c>
      <c r="M1030" s="274">
        <v>65.3</v>
      </c>
      <c r="N1030" s="396">
        <v>599.79999999999995</v>
      </c>
      <c r="O1030" s="396">
        <v>36.799999999999997</v>
      </c>
      <c r="P1030" s="396">
        <v>31.7</v>
      </c>
      <c r="Q1030" s="397">
        <v>0.70902777777777803</v>
      </c>
      <c r="R1030" s="396"/>
      <c r="S1030" s="410"/>
      <c r="T1030" s="409"/>
      <c r="U1030" s="398" t="str">
        <f t="shared" si="44"/>
        <v/>
      </c>
      <c r="V1030" s="400"/>
      <c r="W1030" s="410">
        <f t="shared" si="46"/>
        <v>36.799999999999997</v>
      </c>
      <c r="X1030" s="472">
        <f t="shared" si="45"/>
        <v>60</v>
      </c>
      <c r="AT1030" s="232"/>
      <c r="AV1030" s="198"/>
      <c r="AW1030" s="274"/>
    </row>
    <row r="1031" spans="2:49" x14ac:dyDescent="0.25">
      <c r="B1031" s="274">
        <v>21.3</v>
      </c>
      <c r="C1031" s="274">
        <v>62</v>
      </c>
      <c r="D1031" s="274">
        <v>21.3</v>
      </c>
      <c r="E1031" s="274">
        <v>4</v>
      </c>
      <c r="F1031" s="274">
        <v>7.2</v>
      </c>
      <c r="G1031" s="274">
        <v>262</v>
      </c>
      <c r="H1031" s="274">
        <v>1022.3</v>
      </c>
      <c r="I1031" s="274">
        <v>36812</v>
      </c>
      <c r="J1031" s="274">
        <v>0</v>
      </c>
      <c r="K1031" s="274">
        <v>0</v>
      </c>
      <c r="L1031" s="274">
        <v>0</v>
      </c>
      <c r="M1031" s="274">
        <v>65.3</v>
      </c>
      <c r="N1031" s="396">
        <v>599.79999999999995</v>
      </c>
      <c r="O1031" s="396">
        <v>36.4</v>
      </c>
      <c r="P1031" s="396">
        <v>31.3</v>
      </c>
      <c r="Q1031" s="397">
        <v>0.70972222222222203</v>
      </c>
      <c r="R1031" s="396"/>
      <c r="S1031" s="410"/>
      <c r="T1031" s="409"/>
      <c r="U1031" s="398" t="str">
        <f t="shared" si="44"/>
        <v/>
      </c>
      <c r="V1031" s="400"/>
      <c r="W1031" s="410">
        <f t="shared" si="46"/>
        <v>36.4</v>
      </c>
      <c r="X1031" s="472">
        <f t="shared" si="45"/>
        <v>60</v>
      </c>
      <c r="AT1031" s="232"/>
      <c r="AV1031" s="198"/>
      <c r="AW1031" s="274"/>
    </row>
    <row r="1032" spans="2:49" x14ac:dyDescent="0.25">
      <c r="B1032" s="274">
        <v>21.1</v>
      </c>
      <c r="C1032" s="274">
        <v>61</v>
      </c>
      <c r="D1032" s="274">
        <v>21.1</v>
      </c>
      <c r="E1032" s="274">
        <v>10.1</v>
      </c>
      <c r="F1032" s="274">
        <v>13</v>
      </c>
      <c r="G1032" s="274">
        <v>279</v>
      </c>
      <c r="H1032" s="274">
        <v>1022.4</v>
      </c>
      <c r="I1032" s="274">
        <v>51708</v>
      </c>
      <c r="J1032" s="274">
        <v>0</v>
      </c>
      <c r="K1032" s="274">
        <v>0</v>
      </c>
      <c r="L1032" s="274">
        <v>0</v>
      </c>
      <c r="M1032" s="274">
        <v>65.3</v>
      </c>
      <c r="N1032" s="396">
        <v>599.79999999999995</v>
      </c>
      <c r="O1032" s="396">
        <v>36</v>
      </c>
      <c r="P1032" s="396">
        <v>30.9</v>
      </c>
      <c r="Q1032" s="397">
        <v>0.71041666666666703</v>
      </c>
      <c r="R1032" s="396"/>
      <c r="S1032" s="410"/>
      <c r="T1032" s="409"/>
      <c r="U1032" s="398" t="str">
        <f t="shared" si="44"/>
        <v/>
      </c>
      <c r="V1032" s="400"/>
      <c r="W1032" s="410">
        <f t="shared" si="46"/>
        <v>36</v>
      </c>
      <c r="X1032" s="472">
        <f t="shared" si="45"/>
        <v>60</v>
      </c>
      <c r="AT1032" s="232"/>
      <c r="AV1032" s="198"/>
      <c r="AW1032" s="274"/>
    </row>
    <row r="1033" spans="2:49" x14ac:dyDescent="0.25">
      <c r="B1033" s="274">
        <v>21.1</v>
      </c>
      <c r="C1033" s="274">
        <v>62</v>
      </c>
      <c r="D1033" s="274">
        <v>21.1</v>
      </c>
      <c r="E1033" s="274">
        <v>7.9</v>
      </c>
      <c r="F1033" s="274">
        <v>11.2</v>
      </c>
      <c r="G1033" s="274">
        <v>276</v>
      </c>
      <c r="H1033" s="274">
        <v>1022.4</v>
      </c>
      <c r="I1033" s="274">
        <v>80956</v>
      </c>
      <c r="J1033" s="274">
        <v>0</v>
      </c>
      <c r="K1033" s="274">
        <v>0</v>
      </c>
      <c r="L1033" s="274">
        <v>0</v>
      </c>
      <c r="M1033" s="274">
        <v>65.3</v>
      </c>
      <c r="N1033" s="396">
        <v>599.79999999999995</v>
      </c>
      <c r="O1033" s="396">
        <v>35.5</v>
      </c>
      <c r="P1033" s="396">
        <v>30.5</v>
      </c>
      <c r="Q1033" s="397">
        <v>0.71111111111111103</v>
      </c>
      <c r="R1033" s="396"/>
      <c r="S1033" s="410"/>
      <c r="T1033" s="409"/>
      <c r="U1033" s="398" t="str">
        <f t="shared" si="44"/>
        <v/>
      </c>
      <c r="V1033" s="400"/>
      <c r="W1033" s="410">
        <f t="shared" si="46"/>
        <v>35.5</v>
      </c>
      <c r="X1033" s="472">
        <f t="shared" si="45"/>
        <v>60</v>
      </c>
      <c r="AT1033" s="232"/>
      <c r="AV1033" s="198"/>
      <c r="AW1033" s="274"/>
    </row>
    <row r="1034" spans="2:49" x14ac:dyDescent="0.25">
      <c r="B1034" s="274">
        <v>21</v>
      </c>
      <c r="C1034" s="274">
        <v>62</v>
      </c>
      <c r="D1034" s="274">
        <v>21</v>
      </c>
      <c r="E1034" s="274">
        <v>9.4</v>
      </c>
      <c r="F1034" s="274">
        <v>16.600000000000001</v>
      </c>
      <c r="G1034" s="274">
        <v>276</v>
      </c>
      <c r="H1034" s="274">
        <v>1022.4</v>
      </c>
      <c r="I1034" s="274">
        <v>80352</v>
      </c>
      <c r="J1034" s="274">
        <v>0</v>
      </c>
      <c r="K1034" s="274">
        <v>0</v>
      </c>
      <c r="L1034" s="274">
        <v>0</v>
      </c>
      <c r="M1034" s="274">
        <v>65.3</v>
      </c>
      <c r="N1034" s="396">
        <v>599.79999999999995</v>
      </c>
      <c r="O1034" s="396">
        <v>35.1</v>
      </c>
      <c r="P1034" s="396">
        <v>30.2</v>
      </c>
      <c r="Q1034" s="397">
        <v>0.71180555555555602</v>
      </c>
      <c r="R1034" s="396"/>
      <c r="S1034" s="410"/>
      <c r="T1034" s="409"/>
      <c r="U1034" s="398" t="str">
        <f t="shared" si="44"/>
        <v/>
      </c>
      <c r="V1034" s="400"/>
      <c r="W1034" s="410">
        <f t="shared" si="46"/>
        <v>35.1</v>
      </c>
      <c r="X1034" s="472">
        <f t="shared" si="45"/>
        <v>60</v>
      </c>
      <c r="AT1034" s="232"/>
      <c r="AV1034" s="198"/>
      <c r="AW1034" s="274"/>
    </row>
    <row r="1035" spans="2:49" x14ac:dyDescent="0.25">
      <c r="B1035" s="274">
        <v>21</v>
      </c>
      <c r="C1035" s="274">
        <v>62</v>
      </c>
      <c r="D1035" s="274">
        <v>21</v>
      </c>
      <c r="E1035" s="274">
        <v>10.4</v>
      </c>
      <c r="F1035" s="274">
        <v>14.8</v>
      </c>
      <c r="G1035" s="274">
        <v>262</v>
      </c>
      <c r="H1035" s="274">
        <v>1022.2</v>
      </c>
      <c r="I1035" s="274">
        <v>79189</v>
      </c>
      <c r="J1035" s="274">
        <v>0</v>
      </c>
      <c r="K1035" s="274">
        <v>0</v>
      </c>
      <c r="L1035" s="274">
        <v>0</v>
      </c>
      <c r="M1035" s="274">
        <v>65.3</v>
      </c>
      <c r="N1035" s="396">
        <v>599.79999999999995</v>
      </c>
      <c r="O1035" s="396">
        <v>34.9</v>
      </c>
      <c r="P1035" s="396">
        <v>30.1</v>
      </c>
      <c r="Q1035" s="397">
        <v>0.71250000000000002</v>
      </c>
      <c r="R1035" s="396"/>
      <c r="S1035" s="410"/>
      <c r="T1035" s="409"/>
      <c r="U1035" s="398" t="str">
        <f t="shared" ref="U1035:U1098" si="47">IF(J1035&gt;0,60,"")</f>
        <v/>
      </c>
      <c r="V1035" s="400"/>
      <c r="W1035" s="410">
        <f t="shared" si="46"/>
        <v>34.9</v>
      </c>
      <c r="X1035" s="472">
        <f t="shared" si="45"/>
        <v>60</v>
      </c>
      <c r="AT1035" s="232"/>
      <c r="AV1035" s="198"/>
      <c r="AW1035" s="274"/>
    </row>
    <row r="1036" spans="2:49" x14ac:dyDescent="0.25">
      <c r="B1036" s="274">
        <v>20.9</v>
      </c>
      <c r="C1036" s="274">
        <v>63</v>
      </c>
      <c r="D1036" s="274">
        <v>20.9</v>
      </c>
      <c r="E1036" s="274">
        <v>7.2</v>
      </c>
      <c r="F1036" s="274">
        <v>11.2</v>
      </c>
      <c r="G1036" s="274">
        <v>255</v>
      </c>
      <c r="H1036" s="274">
        <v>1022.4</v>
      </c>
      <c r="I1036" s="274">
        <v>77934</v>
      </c>
      <c r="J1036" s="274">
        <v>0</v>
      </c>
      <c r="K1036" s="274">
        <v>0</v>
      </c>
      <c r="L1036" s="274">
        <v>0</v>
      </c>
      <c r="M1036" s="274">
        <v>65.3</v>
      </c>
      <c r="N1036" s="396">
        <v>599.79999999999995</v>
      </c>
      <c r="O1036" s="396">
        <v>34.9</v>
      </c>
      <c r="P1036" s="396">
        <v>30.2</v>
      </c>
      <c r="Q1036" s="397">
        <v>0.71319444444444402</v>
      </c>
      <c r="R1036" s="396"/>
      <c r="S1036" s="410"/>
      <c r="T1036" s="409"/>
      <c r="U1036" s="398" t="str">
        <f t="shared" si="47"/>
        <v/>
      </c>
      <c r="V1036" s="400"/>
      <c r="W1036" s="410">
        <f t="shared" si="46"/>
        <v>34.9</v>
      </c>
      <c r="X1036" s="472">
        <f t="shared" si="45"/>
        <v>60</v>
      </c>
      <c r="AT1036" s="232"/>
      <c r="AV1036" s="198"/>
      <c r="AW1036" s="274"/>
    </row>
    <row r="1037" spans="2:49" x14ac:dyDescent="0.25">
      <c r="B1037" s="274">
        <v>20.9</v>
      </c>
      <c r="C1037" s="274">
        <v>63</v>
      </c>
      <c r="D1037" s="274">
        <v>20.9</v>
      </c>
      <c r="E1037" s="274">
        <v>7.9</v>
      </c>
      <c r="F1037" s="274">
        <v>9.4</v>
      </c>
      <c r="G1037" s="274">
        <v>289</v>
      </c>
      <c r="H1037" s="274">
        <v>1022.4</v>
      </c>
      <c r="I1037" s="274">
        <v>73981</v>
      </c>
      <c r="J1037" s="274">
        <v>0</v>
      </c>
      <c r="K1037" s="274">
        <v>0</v>
      </c>
      <c r="L1037" s="274">
        <v>0</v>
      </c>
      <c r="M1037" s="274">
        <v>65.3</v>
      </c>
      <c r="N1037" s="396">
        <v>599.79999999999995</v>
      </c>
      <c r="O1037" s="396">
        <v>35</v>
      </c>
      <c r="P1037" s="396">
        <v>30.3</v>
      </c>
      <c r="Q1037" s="397">
        <v>0.71388888888888902</v>
      </c>
      <c r="R1037" s="396"/>
      <c r="S1037" s="410"/>
      <c r="T1037" s="409"/>
      <c r="U1037" s="398" t="str">
        <f t="shared" si="47"/>
        <v/>
      </c>
      <c r="V1037" s="400"/>
      <c r="W1037" s="410">
        <f t="shared" si="46"/>
        <v>35</v>
      </c>
      <c r="X1037" s="472">
        <f t="shared" si="45"/>
        <v>60</v>
      </c>
      <c r="AT1037" s="232"/>
      <c r="AV1037" s="198"/>
      <c r="AW1037" s="274"/>
    </row>
    <row r="1038" spans="2:49" x14ac:dyDescent="0.25">
      <c r="B1038" s="274">
        <v>21.1</v>
      </c>
      <c r="C1038" s="274">
        <v>61</v>
      </c>
      <c r="D1038" s="274">
        <v>21.1</v>
      </c>
      <c r="E1038" s="274">
        <v>9.4</v>
      </c>
      <c r="F1038" s="274">
        <v>11.2</v>
      </c>
      <c r="G1038" s="274">
        <v>280</v>
      </c>
      <c r="H1038" s="274">
        <v>1022.2</v>
      </c>
      <c r="I1038" s="274">
        <v>76833</v>
      </c>
      <c r="J1038" s="274">
        <v>0</v>
      </c>
      <c r="K1038" s="274">
        <v>0</v>
      </c>
      <c r="L1038" s="274">
        <v>0</v>
      </c>
      <c r="M1038" s="274">
        <v>65.3</v>
      </c>
      <c r="N1038" s="396">
        <v>599.79999999999995</v>
      </c>
      <c r="O1038" s="396">
        <v>35.200000000000003</v>
      </c>
      <c r="P1038" s="396">
        <v>30.5</v>
      </c>
      <c r="Q1038" s="397">
        <v>0.71458333333333302</v>
      </c>
      <c r="R1038" s="396"/>
      <c r="S1038" s="410"/>
      <c r="T1038" s="409"/>
      <c r="U1038" s="398" t="str">
        <f t="shared" si="47"/>
        <v/>
      </c>
      <c r="V1038" s="400"/>
      <c r="W1038" s="410">
        <f t="shared" si="46"/>
        <v>35.200000000000003</v>
      </c>
      <c r="X1038" s="472">
        <f t="shared" si="45"/>
        <v>60</v>
      </c>
      <c r="AT1038" s="232"/>
      <c r="AV1038" s="198"/>
      <c r="AW1038" s="274"/>
    </row>
    <row r="1039" spans="2:49" x14ac:dyDescent="0.25">
      <c r="B1039" s="274">
        <v>21.3</v>
      </c>
      <c r="C1039" s="274">
        <v>61</v>
      </c>
      <c r="D1039" s="274">
        <v>21.3</v>
      </c>
      <c r="E1039" s="274">
        <v>5.8</v>
      </c>
      <c r="F1039" s="274">
        <v>11.2</v>
      </c>
      <c r="G1039" s="274">
        <v>291</v>
      </c>
      <c r="H1039" s="274">
        <v>1022.3</v>
      </c>
      <c r="I1039" s="274">
        <v>77329</v>
      </c>
      <c r="J1039" s="274">
        <v>0</v>
      </c>
      <c r="K1039" s="274">
        <v>0</v>
      </c>
      <c r="L1039" s="274">
        <v>0</v>
      </c>
      <c r="M1039" s="274">
        <v>65.3</v>
      </c>
      <c r="N1039" s="396">
        <v>599.79999999999995</v>
      </c>
      <c r="O1039" s="396">
        <v>35.4</v>
      </c>
      <c r="P1039" s="396">
        <v>30.6</v>
      </c>
      <c r="Q1039" s="397">
        <v>0.71527777777777801</v>
      </c>
      <c r="R1039" s="396"/>
      <c r="S1039" s="410"/>
      <c r="T1039" s="409"/>
      <c r="U1039" s="398" t="str">
        <f t="shared" si="47"/>
        <v/>
      </c>
      <c r="V1039" s="400"/>
      <c r="W1039" s="410">
        <f t="shared" si="46"/>
        <v>35.4</v>
      </c>
      <c r="X1039" s="472">
        <f t="shared" si="45"/>
        <v>60</v>
      </c>
      <c r="AT1039" s="232"/>
      <c r="AV1039" s="198"/>
      <c r="AW1039" s="274"/>
    </row>
    <row r="1040" spans="2:49" x14ac:dyDescent="0.25">
      <c r="B1040" s="274">
        <v>21.3</v>
      </c>
      <c r="C1040" s="274">
        <v>60</v>
      </c>
      <c r="D1040" s="274">
        <v>21.3</v>
      </c>
      <c r="E1040" s="274">
        <v>12.2</v>
      </c>
      <c r="F1040" s="274">
        <v>14.8</v>
      </c>
      <c r="G1040" s="274">
        <v>286</v>
      </c>
      <c r="H1040" s="274">
        <v>1022.6</v>
      </c>
      <c r="I1040" s="274">
        <v>77112</v>
      </c>
      <c r="J1040" s="274">
        <v>0</v>
      </c>
      <c r="K1040" s="274">
        <v>0</v>
      </c>
      <c r="L1040" s="274">
        <v>0</v>
      </c>
      <c r="M1040" s="274">
        <v>65.3</v>
      </c>
      <c r="N1040" s="396">
        <v>599.79999999999995</v>
      </c>
      <c r="O1040" s="396">
        <v>35.6</v>
      </c>
      <c r="P1040" s="396">
        <v>30.7</v>
      </c>
      <c r="Q1040" s="397">
        <v>0.71597222222222201</v>
      </c>
      <c r="R1040" s="396"/>
      <c r="S1040" s="410"/>
      <c r="T1040" s="409"/>
      <c r="U1040" s="398" t="str">
        <f t="shared" si="47"/>
        <v/>
      </c>
      <c r="V1040" s="400"/>
      <c r="W1040" s="410">
        <f t="shared" si="46"/>
        <v>35.6</v>
      </c>
      <c r="X1040" s="472">
        <f t="shared" si="45"/>
        <v>60</v>
      </c>
      <c r="AT1040" s="232"/>
      <c r="AV1040" s="198"/>
      <c r="AW1040" s="274"/>
    </row>
    <row r="1041" spans="2:49" x14ac:dyDescent="0.25">
      <c r="B1041" s="274">
        <v>21.3</v>
      </c>
      <c r="C1041" s="274">
        <v>61</v>
      </c>
      <c r="D1041" s="274">
        <v>21.3</v>
      </c>
      <c r="E1041" s="274">
        <v>5</v>
      </c>
      <c r="F1041" s="274">
        <v>7.2</v>
      </c>
      <c r="G1041" s="274">
        <v>266</v>
      </c>
      <c r="H1041" s="274">
        <v>1022.3</v>
      </c>
      <c r="I1041" s="274">
        <v>76663</v>
      </c>
      <c r="J1041" s="274">
        <v>0</v>
      </c>
      <c r="K1041" s="274">
        <v>0</v>
      </c>
      <c r="L1041" s="274">
        <v>0</v>
      </c>
      <c r="M1041" s="274">
        <v>65.3</v>
      </c>
      <c r="N1041" s="396">
        <v>599.79999999999995</v>
      </c>
      <c r="O1041" s="396">
        <v>35.700000000000003</v>
      </c>
      <c r="P1041" s="396">
        <v>30.8</v>
      </c>
      <c r="Q1041" s="397">
        <v>0.71666666666666701</v>
      </c>
      <c r="R1041" s="396"/>
      <c r="S1041" s="410"/>
      <c r="T1041" s="409"/>
      <c r="U1041" s="398" t="str">
        <f t="shared" si="47"/>
        <v/>
      </c>
      <c r="V1041" s="400"/>
      <c r="W1041" s="410">
        <f t="shared" si="46"/>
        <v>35.700000000000003</v>
      </c>
      <c r="X1041" s="472">
        <f t="shared" ref="X1041:X1104" si="48">IF(W1041&gt;B1041+3,60,"")</f>
        <v>60</v>
      </c>
      <c r="AT1041" s="232"/>
      <c r="AV1041" s="198"/>
      <c r="AW1041" s="274"/>
    </row>
    <row r="1042" spans="2:49" x14ac:dyDescent="0.25">
      <c r="B1042" s="274">
        <v>21.3</v>
      </c>
      <c r="C1042" s="274">
        <v>60</v>
      </c>
      <c r="D1042" s="274">
        <v>21.3</v>
      </c>
      <c r="E1042" s="274">
        <v>9.6999999999999993</v>
      </c>
      <c r="F1042" s="274">
        <v>13</v>
      </c>
      <c r="G1042" s="274">
        <v>245</v>
      </c>
      <c r="H1042" s="274">
        <v>1022.4</v>
      </c>
      <c r="I1042" s="274">
        <v>76337</v>
      </c>
      <c r="J1042" s="274">
        <v>0</v>
      </c>
      <c r="K1042" s="274">
        <v>0</v>
      </c>
      <c r="L1042" s="274">
        <v>0</v>
      </c>
      <c r="M1042" s="274">
        <v>65.3</v>
      </c>
      <c r="N1042" s="396">
        <v>599.79999999999995</v>
      </c>
      <c r="O1042" s="396">
        <v>35.700000000000003</v>
      </c>
      <c r="P1042" s="396">
        <v>30.9</v>
      </c>
      <c r="Q1042" s="397">
        <v>0.71736111111111101</v>
      </c>
      <c r="R1042" s="396"/>
      <c r="S1042" s="410"/>
      <c r="T1042" s="409"/>
      <c r="U1042" s="398" t="str">
        <f t="shared" si="47"/>
        <v/>
      </c>
      <c r="V1042" s="400"/>
      <c r="W1042" s="410">
        <f t="shared" si="46"/>
        <v>35.700000000000003</v>
      </c>
      <c r="X1042" s="472">
        <f t="shared" si="48"/>
        <v>60</v>
      </c>
      <c r="AT1042" s="232"/>
      <c r="AV1042" s="198"/>
      <c r="AW1042" s="274"/>
    </row>
    <row r="1043" spans="2:49" x14ac:dyDescent="0.25">
      <c r="B1043" s="274">
        <v>21.4</v>
      </c>
      <c r="C1043" s="274">
        <v>61</v>
      </c>
      <c r="D1043" s="274">
        <v>21.4</v>
      </c>
      <c r="E1043" s="274">
        <v>4.3</v>
      </c>
      <c r="F1043" s="274">
        <v>7.2</v>
      </c>
      <c r="G1043" s="274">
        <v>223</v>
      </c>
      <c r="H1043" s="274">
        <v>1022.2</v>
      </c>
      <c r="I1043" s="274">
        <v>75903</v>
      </c>
      <c r="J1043" s="274">
        <v>0</v>
      </c>
      <c r="K1043" s="274">
        <v>0</v>
      </c>
      <c r="L1043" s="274">
        <v>0</v>
      </c>
      <c r="M1043" s="274">
        <v>65.3</v>
      </c>
      <c r="N1043" s="396">
        <v>599.79999999999995</v>
      </c>
      <c r="O1043" s="396">
        <v>35.9</v>
      </c>
      <c r="P1043" s="396">
        <v>31</v>
      </c>
      <c r="Q1043" s="397">
        <v>0.718055555555556</v>
      </c>
      <c r="R1043" s="396"/>
      <c r="S1043" s="410"/>
      <c r="T1043" s="409"/>
      <c r="U1043" s="398" t="str">
        <f t="shared" si="47"/>
        <v/>
      </c>
      <c r="V1043" s="400"/>
      <c r="W1043" s="410">
        <f t="shared" si="46"/>
        <v>35.9</v>
      </c>
      <c r="X1043" s="472">
        <f t="shared" si="48"/>
        <v>60</v>
      </c>
      <c r="AT1043" s="232"/>
      <c r="AV1043" s="198"/>
      <c r="AW1043" s="274"/>
    </row>
    <row r="1044" spans="2:49" x14ac:dyDescent="0.25">
      <c r="B1044" s="274">
        <v>21.5</v>
      </c>
      <c r="C1044" s="274">
        <v>62</v>
      </c>
      <c r="D1044" s="274">
        <v>21.5</v>
      </c>
      <c r="E1044" s="274">
        <v>7.2</v>
      </c>
      <c r="F1044" s="274">
        <v>9.4</v>
      </c>
      <c r="G1044" s="274">
        <v>255</v>
      </c>
      <c r="H1044" s="274">
        <v>1022.4</v>
      </c>
      <c r="I1044" s="274">
        <v>75066</v>
      </c>
      <c r="J1044" s="274">
        <v>0</v>
      </c>
      <c r="K1044" s="274">
        <v>0</v>
      </c>
      <c r="L1044" s="274">
        <v>0</v>
      </c>
      <c r="M1044" s="274">
        <v>65.3</v>
      </c>
      <c r="N1044" s="396">
        <v>599.79999999999995</v>
      </c>
      <c r="O1044" s="396">
        <v>36</v>
      </c>
      <c r="P1044" s="396">
        <v>31</v>
      </c>
      <c r="Q1044" s="397">
        <v>0.71875</v>
      </c>
      <c r="R1044" s="396"/>
      <c r="S1044" s="410"/>
      <c r="T1044" s="409"/>
      <c r="U1044" s="398" t="str">
        <f t="shared" si="47"/>
        <v/>
      </c>
      <c r="V1044" s="400"/>
      <c r="W1044" s="410">
        <f t="shared" si="46"/>
        <v>36</v>
      </c>
      <c r="X1044" s="472">
        <f t="shared" si="48"/>
        <v>60</v>
      </c>
      <c r="AT1044" s="232"/>
      <c r="AV1044" s="198"/>
      <c r="AW1044" s="274"/>
    </row>
    <row r="1045" spans="2:49" x14ac:dyDescent="0.25">
      <c r="B1045" s="274">
        <v>21.5</v>
      </c>
      <c r="C1045" s="274">
        <v>60</v>
      </c>
      <c r="D1045" s="274">
        <v>21.5</v>
      </c>
      <c r="E1045" s="274">
        <v>11.2</v>
      </c>
      <c r="F1045" s="274">
        <v>13</v>
      </c>
      <c r="G1045" s="274">
        <v>267</v>
      </c>
      <c r="H1045" s="274">
        <v>1022</v>
      </c>
      <c r="I1045" s="274">
        <v>73377</v>
      </c>
      <c r="J1045" s="274">
        <v>0</v>
      </c>
      <c r="K1045" s="274">
        <v>0</v>
      </c>
      <c r="L1045" s="274">
        <v>0</v>
      </c>
      <c r="M1045" s="274">
        <v>65.3</v>
      </c>
      <c r="N1045" s="396">
        <v>599.79999999999995</v>
      </c>
      <c r="O1045" s="396">
        <v>36.200000000000003</v>
      </c>
      <c r="P1045" s="396">
        <v>31</v>
      </c>
      <c r="Q1045" s="397">
        <v>0.719444444444444</v>
      </c>
      <c r="R1045" s="396"/>
      <c r="S1045" s="410"/>
      <c r="T1045" s="409"/>
      <c r="U1045" s="398" t="str">
        <f t="shared" si="47"/>
        <v/>
      </c>
      <c r="V1045" s="400"/>
      <c r="W1045" s="410">
        <f t="shared" si="46"/>
        <v>36.200000000000003</v>
      </c>
      <c r="X1045" s="472">
        <f t="shared" si="48"/>
        <v>60</v>
      </c>
      <c r="AT1045" s="232"/>
      <c r="AV1045" s="198"/>
      <c r="AW1045" s="274"/>
    </row>
    <row r="1046" spans="2:49" x14ac:dyDescent="0.25">
      <c r="B1046" s="274">
        <v>21.6</v>
      </c>
      <c r="C1046" s="274">
        <v>61</v>
      </c>
      <c r="D1046" s="274">
        <v>21.6</v>
      </c>
      <c r="E1046" s="274">
        <v>4.7</v>
      </c>
      <c r="F1046" s="274">
        <v>7.2</v>
      </c>
      <c r="G1046" s="274">
        <v>306</v>
      </c>
      <c r="H1046" s="274">
        <v>1022.3</v>
      </c>
      <c r="I1046" s="274">
        <v>71176</v>
      </c>
      <c r="J1046" s="274">
        <v>0</v>
      </c>
      <c r="K1046" s="274">
        <v>0</v>
      </c>
      <c r="L1046" s="274">
        <v>0</v>
      </c>
      <c r="M1046" s="274">
        <v>65.3</v>
      </c>
      <c r="N1046" s="396">
        <v>599.79999999999995</v>
      </c>
      <c r="O1046" s="396">
        <v>36.4</v>
      </c>
      <c r="P1046" s="396">
        <v>31.1</v>
      </c>
      <c r="Q1046" s="397">
        <v>0.72013888888888899</v>
      </c>
      <c r="R1046" s="396"/>
      <c r="S1046" s="410"/>
      <c r="T1046" s="409"/>
      <c r="U1046" s="398" t="str">
        <f t="shared" si="47"/>
        <v/>
      </c>
      <c r="V1046" s="400"/>
      <c r="W1046" s="410">
        <f t="shared" si="46"/>
        <v>36.4</v>
      </c>
      <c r="X1046" s="472">
        <f t="shared" si="48"/>
        <v>60</v>
      </c>
      <c r="AT1046" s="232"/>
      <c r="AV1046" s="198"/>
      <c r="AW1046" s="274"/>
    </row>
    <row r="1047" spans="2:49" x14ac:dyDescent="0.25">
      <c r="B1047" s="274">
        <v>21.7</v>
      </c>
      <c r="C1047" s="274">
        <v>61</v>
      </c>
      <c r="D1047" s="274">
        <v>21.7</v>
      </c>
      <c r="E1047" s="274">
        <v>2.9</v>
      </c>
      <c r="F1047" s="274">
        <v>3.6</v>
      </c>
      <c r="G1047" s="274">
        <v>329</v>
      </c>
      <c r="H1047" s="274">
        <v>1022.3</v>
      </c>
      <c r="I1047" s="274">
        <v>69579</v>
      </c>
      <c r="J1047" s="274">
        <v>0</v>
      </c>
      <c r="K1047" s="274">
        <v>0</v>
      </c>
      <c r="L1047" s="274">
        <v>0</v>
      </c>
      <c r="M1047" s="274">
        <v>65.3</v>
      </c>
      <c r="N1047" s="396">
        <v>599.79999999999995</v>
      </c>
      <c r="O1047" s="396">
        <v>36.6</v>
      </c>
      <c r="P1047" s="396">
        <v>31.1</v>
      </c>
      <c r="Q1047" s="397">
        <v>0.72083333333333299</v>
      </c>
      <c r="R1047" s="396"/>
      <c r="S1047" s="410"/>
      <c r="T1047" s="409"/>
      <c r="U1047" s="398" t="str">
        <f t="shared" si="47"/>
        <v/>
      </c>
      <c r="V1047" s="400"/>
      <c r="W1047" s="410">
        <f t="shared" si="46"/>
        <v>36.6</v>
      </c>
      <c r="X1047" s="472">
        <f t="shared" si="48"/>
        <v>60</v>
      </c>
      <c r="AT1047" s="232"/>
      <c r="AV1047" s="198"/>
      <c r="AW1047" s="274"/>
    </row>
    <row r="1048" spans="2:49" x14ac:dyDescent="0.25">
      <c r="B1048" s="274">
        <v>21.8</v>
      </c>
      <c r="C1048" s="274">
        <v>60</v>
      </c>
      <c r="D1048" s="274">
        <v>21.8</v>
      </c>
      <c r="E1048" s="274">
        <v>9</v>
      </c>
      <c r="F1048" s="274">
        <v>13</v>
      </c>
      <c r="G1048" s="274">
        <v>272</v>
      </c>
      <c r="H1048" s="274">
        <v>1022.2</v>
      </c>
      <c r="I1048" s="274">
        <v>67657</v>
      </c>
      <c r="J1048" s="274">
        <v>0</v>
      </c>
      <c r="K1048" s="274">
        <v>0</v>
      </c>
      <c r="L1048" s="274">
        <v>0</v>
      </c>
      <c r="M1048" s="274">
        <v>65.3</v>
      </c>
      <c r="N1048" s="396">
        <v>599.79999999999995</v>
      </c>
      <c r="O1048" s="396">
        <v>36.799999999999997</v>
      </c>
      <c r="P1048" s="396">
        <v>31.2</v>
      </c>
      <c r="Q1048" s="397">
        <v>0.72152777777777799</v>
      </c>
      <c r="R1048" s="396"/>
      <c r="S1048" s="410"/>
      <c r="T1048" s="409"/>
      <c r="U1048" s="398" t="str">
        <f t="shared" si="47"/>
        <v/>
      </c>
      <c r="V1048" s="400"/>
      <c r="W1048" s="410">
        <f t="shared" si="46"/>
        <v>36.799999999999997</v>
      </c>
      <c r="X1048" s="472">
        <f t="shared" si="48"/>
        <v>60</v>
      </c>
      <c r="AT1048" s="232"/>
      <c r="AV1048" s="198"/>
      <c r="AW1048" s="274"/>
    </row>
    <row r="1049" spans="2:49" x14ac:dyDescent="0.25">
      <c r="B1049" s="274">
        <v>21.9</v>
      </c>
      <c r="C1049" s="274">
        <v>59</v>
      </c>
      <c r="D1049" s="274">
        <v>21.9</v>
      </c>
      <c r="E1049" s="274">
        <v>5.4</v>
      </c>
      <c r="F1049" s="274">
        <v>7.2</v>
      </c>
      <c r="G1049" s="274">
        <v>263</v>
      </c>
      <c r="H1049" s="274">
        <v>1022.4</v>
      </c>
      <c r="I1049" s="274">
        <v>66495</v>
      </c>
      <c r="J1049" s="274">
        <v>0</v>
      </c>
      <c r="K1049" s="274">
        <v>0</v>
      </c>
      <c r="L1049" s="274">
        <v>0</v>
      </c>
      <c r="M1049" s="274">
        <v>65.3</v>
      </c>
      <c r="N1049" s="396">
        <v>599.79999999999995</v>
      </c>
      <c r="O1049" s="396">
        <v>36.9</v>
      </c>
      <c r="P1049" s="396">
        <v>31.2</v>
      </c>
      <c r="Q1049" s="397">
        <v>0.72222222222222199</v>
      </c>
      <c r="R1049" s="396"/>
      <c r="S1049" s="410"/>
      <c r="T1049" s="409"/>
      <c r="U1049" s="398" t="str">
        <f t="shared" si="47"/>
        <v/>
      </c>
      <c r="V1049" s="400"/>
      <c r="W1049" s="410">
        <f t="shared" si="46"/>
        <v>36.9</v>
      </c>
      <c r="X1049" s="472">
        <f t="shared" si="48"/>
        <v>60</v>
      </c>
      <c r="AT1049" s="232"/>
      <c r="AV1049" s="198"/>
      <c r="AW1049" s="274"/>
    </row>
    <row r="1050" spans="2:49" x14ac:dyDescent="0.25">
      <c r="B1050" s="274">
        <v>21.9</v>
      </c>
      <c r="C1050" s="274">
        <v>59</v>
      </c>
      <c r="D1050" s="274">
        <v>21.9</v>
      </c>
      <c r="E1050" s="274">
        <v>2.9</v>
      </c>
      <c r="F1050" s="274">
        <v>5.4</v>
      </c>
      <c r="G1050" s="274">
        <v>262</v>
      </c>
      <c r="H1050" s="274">
        <v>1022.2</v>
      </c>
      <c r="I1050" s="274">
        <v>65999</v>
      </c>
      <c r="J1050" s="274">
        <v>0</v>
      </c>
      <c r="K1050" s="274">
        <v>0</v>
      </c>
      <c r="L1050" s="274">
        <v>0</v>
      </c>
      <c r="M1050" s="274">
        <v>65.3</v>
      </c>
      <c r="N1050" s="396">
        <v>599.79999999999995</v>
      </c>
      <c r="O1050" s="396">
        <v>37</v>
      </c>
      <c r="P1050" s="396">
        <v>31.1</v>
      </c>
      <c r="Q1050" s="397">
        <v>0.72291666666666698</v>
      </c>
      <c r="R1050" s="396"/>
      <c r="S1050" s="410"/>
      <c r="T1050" s="409"/>
      <c r="U1050" s="398" t="str">
        <f t="shared" si="47"/>
        <v/>
      </c>
      <c r="V1050" s="400"/>
      <c r="W1050" s="410">
        <f t="shared" si="46"/>
        <v>37</v>
      </c>
      <c r="X1050" s="472">
        <f t="shared" si="48"/>
        <v>60</v>
      </c>
      <c r="AT1050" s="232"/>
      <c r="AV1050" s="198"/>
      <c r="AW1050" s="274"/>
    </row>
    <row r="1051" spans="2:49" x14ac:dyDescent="0.25">
      <c r="B1051" s="274">
        <v>21.9</v>
      </c>
      <c r="C1051" s="274">
        <v>58</v>
      </c>
      <c r="D1051" s="274">
        <v>21.9</v>
      </c>
      <c r="E1051" s="274">
        <v>9.4</v>
      </c>
      <c r="F1051" s="274">
        <v>11.2</v>
      </c>
      <c r="G1051" s="274">
        <v>277</v>
      </c>
      <c r="H1051" s="274">
        <v>1022.2</v>
      </c>
      <c r="I1051" s="274">
        <v>65565</v>
      </c>
      <c r="J1051" s="274">
        <v>0</v>
      </c>
      <c r="K1051" s="274">
        <v>0</v>
      </c>
      <c r="L1051" s="274">
        <v>0</v>
      </c>
      <c r="M1051" s="274">
        <v>65.3</v>
      </c>
      <c r="N1051" s="396">
        <v>599.79999999999995</v>
      </c>
      <c r="O1051" s="396">
        <v>37</v>
      </c>
      <c r="P1051" s="396">
        <v>30.9</v>
      </c>
      <c r="Q1051" s="397">
        <v>0.72361111111111098</v>
      </c>
      <c r="R1051" s="396"/>
      <c r="S1051" s="410"/>
      <c r="T1051" s="409"/>
      <c r="U1051" s="398" t="str">
        <f t="shared" si="47"/>
        <v/>
      </c>
      <c r="V1051" s="400"/>
      <c r="W1051" s="410">
        <f t="shared" si="46"/>
        <v>37</v>
      </c>
      <c r="X1051" s="472">
        <f t="shared" si="48"/>
        <v>60</v>
      </c>
      <c r="AT1051" s="232"/>
      <c r="AV1051" s="198"/>
      <c r="AW1051" s="274"/>
    </row>
    <row r="1052" spans="2:49" x14ac:dyDescent="0.25">
      <c r="B1052" s="274">
        <v>21.9</v>
      </c>
      <c r="C1052" s="274">
        <v>60</v>
      </c>
      <c r="D1052" s="274">
        <v>21.9</v>
      </c>
      <c r="E1052" s="274">
        <v>11.5</v>
      </c>
      <c r="F1052" s="274">
        <v>13</v>
      </c>
      <c r="G1052" s="274">
        <v>299</v>
      </c>
      <c r="H1052" s="274">
        <v>1022.3</v>
      </c>
      <c r="I1052" s="274">
        <v>65394</v>
      </c>
      <c r="J1052" s="274">
        <v>0</v>
      </c>
      <c r="K1052" s="274">
        <v>0</v>
      </c>
      <c r="L1052" s="274">
        <v>0</v>
      </c>
      <c r="M1052" s="274">
        <v>65.3</v>
      </c>
      <c r="N1052" s="396">
        <v>599.79999999999995</v>
      </c>
      <c r="O1052" s="396">
        <v>37.1</v>
      </c>
      <c r="P1052" s="396">
        <v>30.7</v>
      </c>
      <c r="Q1052" s="397">
        <v>0.72430555555555598</v>
      </c>
      <c r="R1052" s="396"/>
      <c r="S1052" s="410"/>
      <c r="T1052" s="409"/>
      <c r="U1052" s="398" t="str">
        <f t="shared" si="47"/>
        <v/>
      </c>
      <c r="V1052" s="400"/>
      <c r="W1052" s="410">
        <f t="shared" si="46"/>
        <v>37.1</v>
      </c>
      <c r="X1052" s="472">
        <f t="shared" si="48"/>
        <v>60</v>
      </c>
      <c r="AT1052" s="232"/>
      <c r="AV1052" s="198"/>
      <c r="AW1052" s="274"/>
    </row>
    <row r="1053" spans="2:49" x14ac:dyDescent="0.25">
      <c r="B1053" s="274">
        <v>21.9</v>
      </c>
      <c r="C1053" s="274">
        <v>62</v>
      </c>
      <c r="D1053" s="274">
        <v>21.9</v>
      </c>
      <c r="E1053" s="274">
        <v>6.1</v>
      </c>
      <c r="F1053" s="274">
        <v>7.2</v>
      </c>
      <c r="G1053" s="274">
        <v>259</v>
      </c>
      <c r="H1053" s="274">
        <v>1022.2</v>
      </c>
      <c r="I1053" s="274">
        <v>64790</v>
      </c>
      <c r="J1053" s="274">
        <v>0</v>
      </c>
      <c r="K1053" s="274">
        <v>0</v>
      </c>
      <c r="L1053" s="274">
        <v>0</v>
      </c>
      <c r="M1053" s="274">
        <v>65.3</v>
      </c>
      <c r="N1053" s="396">
        <v>599.79999999999995</v>
      </c>
      <c r="O1053" s="396">
        <v>37.1</v>
      </c>
      <c r="P1053" s="396">
        <v>30.6</v>
      </c>
      <c r="Q1053" s="397">
        <v>0.72499999999999998</v>
      </c>
      <c r="R1053" s="396"/>
      <c r="S1053" s="410"/>
      <c r="T1053" s="409"/>
      <c r="U1053" s="398" t="str">
        <f t="shared" si="47"/>
        <v/>
      </c>
      <c r="V1053" s="400"/>
      <c r="W1053" s="410">
        <f t="shared" si="46"/>
        <v>37.1</v>
      </c>
      <c r="X1053" s="472">
        <f t="shared" si="48"/>
        <v>60</v>
      </c>
      <c r="AT1053" s="232"/>
      <c r="AV1053" s="198"/>
      <c r="AW1053" s="274"/>
    </row>
    <row r="1054" spans="2:49" x14ac:dyDescent="0.25">
      <c r="B1054" s="274">
        <v>21.7</v>
      </c>
      <c r="C1054" s="274">
        <v>61</v>
      </c>
      <c r="D1054" s="274">
        <v>21.7</v>
      </c>
      <c r="E1054" s="274">
        <v>4</v>
      </c>
      <c r="F1054" s="274">
        <v>7.2</v>
      </c>
      <c r="G1054" s="274">
        <v>259</v>
      </c>
      <c r="H1054" s="274">
        <v>1022.2</v>
      </c>
      <c r="I1054" s="274">
        <v>64418</v>
      </c>
      <c r="J1054" s="274">
        <v>0</v>
      </c>
      <c r="K1054" s="274">
        <v>0</v>
      </c>
      <c r="L1054" s="274">
        <v>0</v>
      </c>
      <c r="M1054" s="274">
        <v>65.3</v>
      </c>
      <c r="N1054" s="396">
        <v>599.79999999999995</v>
      </c>
      <c r="O1054" s="396">
        <v>37</v>
      </c>
      <c r="P1054" s="396">
        <v>30.5</v>
      </c>
      <c r="Q1054" s="397">
        <v>0.72569444444444398</v>
      </c>
      <c r="R1054" s="396"/>
      <c r="S1054" s="410"/>
      <c r="T1054" s="409"/>
      <c r="U1054" s="398" t="str">
        <f t="shared" si="47"/>
        <v/>
      </c>
      <c r="V1054" s="400"/>
      <c r="W1054" s="410">
        <f t="shared" si="46"/>
        <v>37</v>
      </c>
      <c r="X1054" s="472">
        <f t="shared" si="48"/>
        <v>60</v>
      </c>
      <c r="AT1054" s="232"/>
      <c r="AV1054" s="198"/>
      <c r="AW1054" s="274"/>
    </row>
    <row r="1055" spans="2:49" x14ac:dyDescent="0.25">
      <c r="B1055" s="274">
        <v>21.6</v>
      </c>
      <c r="C1055" s="274">
        <v>62</v>
      </c>
      <c r="D1055" s="274">
        <v>21.6</v>
      </c>
      <c r="E1055" s="274">
        <v>4.3</v>
      </c>
      <c r="F1055" s="274">
        <v>5.4</v>
      </c>
      <c r="G1055" s="274">
        <v>276</v>
      </c>
      <c r="H1055" s="274">
        <v>1022.3</v>
      </c>
      <c r="I1055" s="274">
        <v>63689</v>
      </c>
      <c r="J1055" s="274">
        <v>0</v>
      </c>
      <c r="K1055" s="274">
        <v>0</v>
      </c>
      <c r="L1055" s="274">
        <v>0</v>
      </c>
      <c r="M1055" s="274">
        <v>65.3</v>
      </c>
      <c r="N1055" s="396">
        <v>599.79999999999995</v>
      </c>
      <c r="O1055" s="396">
        <v>36.9</v>
      </c>
      <c r="P1055" s="396">
        <v>30.4</v>
      </c>
      <c r="Q1055" s="397">
        <v>0.72638888888888897</v>
      </c>
      <c r="R1055" s="396"/>
      <c r="S1055" s="410"/>
      <c r="T1055" s="409"/>
      <c r="U1055" s="398" t="str">
        <f t="shared" si="47"/>
        <v/>
      </c>
      <c r="V1055" s="400"/>
      <c r="W1055" s="410">
        <f t="shared" si="46"/>
        <v>36.9</v>
      </c>
      <c r="X1055" s="472">
        <f t="shared" si="48"/>
        <v>60</v>
      </c>
      <c r="AT1055" s="232"/>
      <c r="AV1055" s="198"/>
      <c r="AW1055" s="274"/>
    </row>
    <row r="1056" spans="2:49" x14ac:dyDescent="0.25">
      <c r="B1056" s="274">
        <v>21.6</v>
      </c>
      <c r="C1056" s="274">
        <v>61</v>
      </c>
      <c r="D1056" s="274">
        <v>21.6</v>
      </c>
      <c r="E1056" s="274">
        <v>2.9</v>
      </c>
      <c r="F1056" s="274">
        <v>3.6</v>
      </c>
      <c r="G1056" s="274">
        <v>337</v>
      </c>
      <c r="H1056" s="274">
        <v>1022.1</v>
      </c>
      <c r="I1056" s="274">
        <v>62930</v>
      </c>
      <c r="J1056" s="274">
        <v>0</v>
      </c>
      <c r="K1056" s="274">
        <v>0</v>
      </c>
      <c r="L1056" s="274">
        <v>0</v>
      </c>
      <c r="M1056" s="274">
        <v>65.3</v>
      </c>
      <c r="N1056" s="396">
        <v>599.79999999999995</v>
      </c>
      <c r="O1056" s="396">
        <v>36.9</v>
      </c>
      <c r="P1056" s="396">
        <v>30.3</v>
      </c>
      <c r="Q1056" s="397">
        <v>0.72708333333333297</v>
      </c>
      <c r="R1056" s="396"/>
      <c r="S1056" s="410"/>
      <c r="T1056" s="409"/>
      <c r="U1056" s="398" t="str">
        <f t="shared" si="47"/>
        <v/>
      </c>
      <c r="V1056" s="400"/>
      <c r="W1056" s="410">
        <f t="shared" si="46"/>
        <v>36.9</v>
      </c>
      <c r="X1056" s="472">
        <f t="shared" si="48"/>
        <v>60</v>
      </c>
      <c r="AT1056" s="232"/>
      <c r="AV1056" s="198"/>
      <c r="AW1056" s="274"/>
    </row>
    <row r="1057" spans="2:49" x14ac:dyDescent="0.25">
      <c r="B1057" s="274">
        <v>21.9</v>
      </c>
      <c r="C1057" s="274">
        <v>60</v>
      </c>
      <c r="D1057" s="274">
        <v>21.9</v>
      </c>
      <c r="E1057" s="274">
        <v>5.8</v>
      </c>
      <c r="F1057" s="274">
        <v>7.2</v>
      </c>
      <c r="G1057" s="274">
        <v>264</v>
      </c>
      <c r="H1057" s="274">
        <v>1022.2</v>
      </c>
      <c r="I1057" s="274">
        <v>61659</v>
      </c>
      <c r="J1057" s="274">
        <v>0</v>
      </c>
      <c r="K1057" s="274">
        <v>0</v>
      </c>
      <c r="L1057" s="274">
        <v>0</v>
      </c>
      <c r="M1057" s="274">
        <v>65.3</v>
      </c>
      <c r="N1057" s="396">
        <v>599.79999999999995</v>
      </c>
      <c r="O1057" s="396">
        <v>36.9</v>
      </c>
      <c r="P1057" s="396">
        <v>30.3</v>
      </c>
      <c r="Q1057" s="397">
        <v>0.72777777777777797</v>
      </c>
      <c r="R1057" s="396"/>
      <c r="S1057" s="410"/>
      <c r="T1057" s="409"/>
      <c r="U1057" s="398" t="str">
        <f t="shared" si="47"/>
        <v/>
      </c>
      <c r="V1057" s="400"/>
      <c r="W1057" s="410">
        <f t="shared" si="46"/>
        <v>36.9</v>
      </c>
      <c r="X1057" s="472">
        <f t="shared" si="48"/>
        <v>60</v>
      </c>
      <c r="AT1057" s="232"/>
      <c r="AV1057" s="198"/>
      <c r="AW1057" s="274"/>
    </row>
    <row r="1058" spans="2:49" x14ac:dyDescent="0.25">
      <c r="B1058" s="274">
        <v>21.9</v>
      </c>
      <c r="C1058" s="274">
        <v>61</v>
      </c>
      <c r="D1058" s="274">
        <v>21.9</v>
      </c>
      <c r="E1058" s="274">
        <v>4.7</v>
      </c>
      <c r="F1058" s="274">
        <v>5.4</v>
      </c>
      <c r="G1058" s="274">
        <v>269</v>
      </c>
      <c r="H1058" s="274">
        <v>1022.1</v>
      </c>
      <c r="I1058" s="274">
        <v>60124</v>
      </c>
      <c r="J1058" s="274">
        <v>0</v>
      </c>
      <c r="K1058" s="274">
        <v>0</v>
      </c>
      <c r="L1058" s="274">
        <v>0</v>
      </c>
      <c r="M1058" s="274">
        <v>65.3</v>
      </c>
      <c r="N1058" s="396">
        <v>599.79999999999995</v>
      </c>
      <c r="O1058" s="396">
        <v>37</v>
      </c>
      <c r="P1058" s="396">
        <v>30.2</v>
      </c>
      <c r="Q1058" s="397">
        <v>0.72847222222222197</v>
      </c>
      <c r="R1058" s="396"/>
      <c r="S1058" s="410"/>
      <c r="T1058" s="409"/>
      <c r="U1058" s="398" t="str">
        <f t="shared" si="47"/>
        <v/>
      </c>
      <c r="V1058" s="400"/>
      <c r="W1058" s="410">
        <f t="shared" si="46"/>
        <v>37</v>
      </c>
      <c r="X1058" s="472">
        <f t="shared" si="48"/>
        <v>60</v>
      </c>
      <c r="AT1058" s="232"/>
      <c r="AV1058" s="198"/>
      <c r="AW1058" s="274"/>
    </row>
    <row r="1059" spans="2:49" x14ac:dyDescent="0.25">
      <c r="B1059" s="274">
        <v>21.8</v>
      </c>
      <c r="C1059" s="274">
        <v>60</v>
      </c>
      <c r="D1059" s="274">
        <v>21.8</v>
      </c>
      <c r="E1059" s="274">
        <v>6.8</v>
      </c>
      <c r="F1059" s="274">
        <v>9.4</v>
      </c>
      <c r="G1059" s="274">
        <v>297</v>
      </c>
      <c r="H1059" s="274">
        <v>1022</v>
      </c>
      <c r="I1059" s="274">
        <v>58745</v>
      </c>
      <c r="J1059" s="274">
        <v>0</v>
      </c>
      <c r="K1059" s="274">
        <v>0</v>
      </c>
      <c r="L1059" s="274">
        <v>0</v>
      </c>
      <c r="M1059" s="274">
        <v>65.3</v>
      </c>
      <c r="N1059" s="396">
        <v>599.79999999999995</v>
      </c>
      <c r="O1059" s="396">
        <v>37</v>
      </c>
      <c r="P1059" s="396">
        <v>30.2</v>
      </c>
      <c r="Q1059" s="397">
        <v>0.72916666666666696</v>
      </c>
      <c r="R1059" s="396"/>
      <c r="S1059" s="410"/>
      <c r="T1059" s="409"/>
      <c r="U1059" s="398" t="str">
        <f t="shared" si="47"/>
        <v/>
      </c>
      <c r="V1059" s="400"/>
      <c r="W1059" s="410">
        <f t="shared" si="46"/>
        <v>37</v>
      </c>
      <c r="X1059" s="472">
        <f t="shared" si="48"/>
        <v>60</v>
      </c>
      <c r="AT1059" s="232"/>
      <c r="AV1059" s="198"/>
      <c r="AW1059" s="274"/>
    </row>
    <row r="1060" spans="2:49" x14ac:dyDescent="0.25">
      <c r="B1060" s="274">
        <v>21.8</v>
      </c>
      <c r="C1060" s="274">
        <v>61</v>
      </c>
      <c r="D1060" s="274">
        <v>21.8</v>
      </c>
      <c r="E1060" s="274">
        <v>8.3000000000000007</v>
      </c>
      <c r="F1060" s="274">
        <v>13</v>
      </c>
      <c r="G1060" s="274">
        <v>280</v>
      </c>
      <c r="H1060" s="274">
        <v>1022.1</v>
      </c>
      <c r="I1060" s="274">
        <v>57381</v>
      </c>
      <c r="J1060" s="274">
        <v>0</v>
      </c>
      <c r="K1060" s="274">
        <v>0</v>
      </c>
      <c r="L1060" s="274">
        <v>0</v>
      </c>
      <c r="M1060" s="274">
        <v>65.3</v>
      </c>
      <c r="N1060" s="396">
        <v>599.79999999999995</v>
      </c>
      <c r="O1060" s="396">
        <v>37</v>
      </c>
      <c r="P1060" s="396">
        <v>30.2</v>
      </c>
      <c r="Q1060" s="397">
        <v>0.72986111111111096</v>
      </c>
      <c r="R1060" s="396"/>
      <c r="S1060" s="410"/>
      <c r="T1060" s="409"/>
      <c r="U1060" s="398" t="str">
        <f t="shared" si="47"/>
        <v/>
      </c>
      <c r="V1060" s="400"/>
      <c r="W1060" s="410">
        <f t="shared" si="46"/>
        <v>37</v>
      </c>
      <c r="X1060" s="472">
        <f t="shared" si="48"/>
        <v>60</v>
      </c>
      <c r="AT1060" s="232"/>
      <c r="AV1060" s="198"/>
      <c r="AW1060" s="274"/>
    </row>
    <row r="1061" spans="2:49" x14ac:dyDescent="0.25">
      <c r="B1061" s="274">
        <v>21.8</v>
      </c>
      <c r="C1061" s="274">
        <v>60</v>
      </c>
      <c r="D1061" s="274">
        <v>21.8</v>
      </c>
      <c r="E1061" s="274">
        <v>6.1</v>
      </c>
      <c r="F1061" s="274">
        <v>7.2</v>
      </c>
      <c r="G1061" s="274">
        <v>322</v>
      </c>
      <c r="H1061" s="274">
        <v>1022.1</v>
      </c>
      <c r="I1061" s="274">
        <v>56389</v>
      </c>
      <c r="J1061" s="274">
        <v>0</v>
      </c>
      <c r="K1061" s="274">
        <v>0</v>
      </c>
      <c r="L1061" s="274">
        <v>0</v>
      </c>
      <c r="M1061" s="274">
        <v>65.3</v>
      </c>
      <c r="N1061" s="396">
        <v>599.79999999999995</v>
      </c>
      <c r="O1061" s="396">
        <v>36.799999999999997</v>
      </c>
      <c r="P1061" s="396">
        <v>30.2</v>
      </c>
      <c r="Q1061" s="397">
        <v>0.73055555555555596</v>
      </c>
      <c r="R1061" s="396"/>
      <c r="S1061" s="410"/>
      <c r="T1061" s="409"/>
      <c r="U1061" s="398" t="str">
        <f t="shared" si="47"/>
        <v/>
      </c>
      <c r="V1061" s="400"/>
      <c r="W1061" s="410">
        <f t="shared" si="46"/>
        <v>36.799999999999997</v>
      </c>
      <c r="X1061" s="472">
        <f t="shared" si="48"/>
        <v>60</v>
      </c>
      <c r="AT1061" s="232"/>
      <c r="AV1061" s="198"/>
      <c r="AW1061" s="274"/>
    </row>
    <row r="1062" spans="2:49" x14ac:dyDescent="0.25">
      <c r="B1062" s="274">
        <v>21.5</v>
      </c>
      <c r="C1062" s="274">
        <v>59</v>
      </c>
      <c r="D1062" s="274">
        <v>21.5</v>
      </c>
      <c r="E1062" s="274">
        <v>4.7</v>
      </c>
      <c r="F1062" s="274">
        <v>9.4</v>
      </c>
      <c r="G1062" s="274">
        <v>271</v>
      </c>
      <c r="H1062" s="274">
        <v>1022.2</v>
      </c>
      <c r="I1062" s="274">
        <v>56218</v>
      </c>
      <c r="J1062" s="274">
        <v>0</v>
      </c>
      <c r="K1062" s="274">
        <v>0</v>
      </c>
      <c r="L1062" s="274">
        <v>0</v>
      </c>
      <c r="M1062" s="274">
        <v>65.3</v>
      </c>
      <c r="N1062" s="396">
        <v>599.79999999999995</v>
      </c>
      <c r="O1062" s="396">
        <v>36.6</v>
      </c>
      <c r="P1062" s="396">
        <v>30.1</v>
      </c>
      <c r="Q1062" s="397">
        <v>0.73124999999999996</v>
      </c>
      <c r="R1062" s="396"/>
      <c r="S1062" s="410"/>
      <c r="T1062" s="409"/>
      <c r="U1062" s="398" t="str">
        <f t="shared" si="47"/>
        <v/>
      </c>
      <c r="V1062" s="400"/>
      <c r="W1062" s="410">
        <f t="shared" si="46"/>
        <v>36.6</v>
      </c>
      <c r="X1062" s="472">
        <f t="shared" si="48"/>
        <v>60</v>
      </c>
      <c r="AT1062" s="232"/>
      <c r="AV1062" s="198"/>
      <c r="AW1062" s="274"/>
    </row>
    <row r="1063" spans="2:49" x14ac:dyDescent="0.25">
      <c r="B1063" s="274">
        <v>21.4</v>
      </c>
      <c r="C1063" s="274">
        <v>61</v>
      </c>
      <c r="D1063" s="274">
        <v>21.4</v>
      </c>
      <c r="E1063" s="274">
        <v>7.2</v>
      </c>
      <c r="F1063" s="274">
        <v>9.4</v>
      </c>
      <c r="G1063" s="274">
        <v>306</v>
      </c>
      <c r="H1063" s="274">
        <v>1022</v>
      </c>
      <c r="I1063" s="274">
        <v>55784</v>
      </c>
      <c r="J1063" s="274">
        <v>0</v>
      </c>
      <c r="K1063" s="274">
        <v>0</v>
      </c>
      <c r="L1063" s="274">
        <v>0</v>
      </c>
      <c r="M1063" s="274">
        <v>65.3</v>
      </c>
      <c r="N1063" s="396">
        <v>599.79999999999995</v>
      </c>
      <c r="O1063" s="396">
        <v>36.4</v>
      </c>
      <c r="P1063" s="396">
        <v>29.9</v>
      </c>
      <c r="Q1063" s="397">
        <v>0.73194444444444495</v>
      </c>
      <c r="R1063" s="396"/>
      <c r="S1063" s="410"/>
      <c r="T1063" s="409"/>
      <c r="U1063" s="398" t="str">
        <f t="shared" si="47"/>
        <v/>
      </c>
      <c r="V1063" s="400"/>
      <c r="W1063" s="410">
        <f t="shared" si="46"/>
        <v>36.4</v>
      </c>
      <c r="X1063" s="472">
        <f t="shared" si="48"/>
        <v>60</v>
      </c>
      <c r="AT1063" s="232"/>
      <c r="AV1063" s="198"/>
      <c r="AW1063" s="274"/>
    </row>
    <row r="1064" spans="2:49" x14ac:dyDescent="0.25">
      <c r="B1064" s="274">
        <v>21.4</v>
      </c>
      <c r="C1064" s="274">
        <v>61</v>
      </c>
      <c r="D1064" s="274">
        <v>21.4</v>
      </c>
      <c r="E1064" s="274">
        <v>9</v>
      </c>
      <c r="F1064" s="274">
        <v>14.8</v>
      </c>
      <c r="G1064" s="274">
        <v>267</v>
      </c>
      <c r="H1064" s="274">
        <v>1022.1</v>
      </c>
      <c r="I1064" s="274">
        <v>56001</v>
      </c>
      <c r="J1064" s="274">
        <v>0</v>
      </c>
      <c r="K1064" s="274">
        <v>0</v>
      </c>
      <c r="L1064" s="274">
        <v>0</v>
      </c>
      <c r="M1064" s="274">
        <v>65.3</v>
      </c>
      <c r="N1064" s="396">
        <v>599.79999999999995</v>
      </c>
      <c r="O1064" s="396">
        <v>36.4</v>
      </c>
      <c r="P1064" s="396">
        <v>29.7</v>
      </c>
      <c r="Q1064" s="397">
        <v>0.73263888888888895</v>
      </c>
      <c r="R1064" s="396"/>
      <c r="S1064" s="410"/>
      <c r="T1064" s="409"/>
      <c r="U1064" s="398" t="str">
        <f t="shared" si="47"/>
        <v/>
      </c>
      <c r="V1064" s="400"/>
      <c r="W1064" s="410">
        <f t="shared" si="46"/>
        <v>36.4</v>
      </c>
      <c r="X1064" s="472">
        <f t="shared" si="48"/>
        <v>60</v>
      </c>
      <c r="AT1064" s="232"/>
      <c r="AV1064" s="198"/>
      <c r="AW1064" s="274"/>
    </row>
    <row r="1065" spans="2:49" x14ac:dyDescent="0.25">
      <c r="B1065" s="274">
        <v>21.4</v>
      </c>
      <c r="C1065" s="274">
        <v>61</v>
      </c>
      <c r="D1065" s="274">
        <v>21.4</v>
      </c>
      <c r="E1065" s="274">
        <v>1.1000000000000001</v>
      </c>
      <c r="F1065" s="274">
        <v>1.8</v>
      </c>
      <c r="G1065" s="274">
        <v>325</v>
      </c>
      <c r="H1065" s="274">
        <v>1022.1</v>
      </c>
      <c r="I1065" s="274">
        <v>55226</v>
      </c>
      <c r="J1065" s="274">
        <v>0</v>
      </c>
      <c r="K1065" s="274">
        <v>0</v>
      </c>
      <c r="L1065" s="274">
        <v>0</v>
      </c>
      <c r="M1065" s="274">
        <v>65.3</v>
      </c>
      <c r="N1065" s="396">
        <v>599.79999999999995</v>
      </c>
      <c r="O1065" s="396">
        <v>36.200000000000003</v>
      </c>
      <c r="P1065" s="396">
        <v>29.5</v>
      </c>
      <c r="Q1065" s="397">
        <v>0.73333333333333295</v>
      </c>
      <c r="R1065" s="396"/>
      <c r="S1065" s="410"/>
      <c r="T1065" s="409"/>
      <c r="U1065" s="398" t="str">
        <f t="shared" si="47"/>
        <v/>
      </c>
      <c r="V1065" s="400"/>
      <c r="W1065" s="410">
        <f t="shared" si="46"/>
        <v>36.200000000000003</v>
      </c>
      <c r="X1065" s="472">
        <f t="shared" si="48"/>
        <v>60</v>
      </c>
      <c r="AT1065" s="232"/>
      <c r="AV1065" s="198"/>
      <c r="AW1065" s="274"/>
    </row>
    <row r="1066" spans="2:49" x14ac:dyDescent="0.25">
      <c r="B1066" s="274">
        <v>21.5</v>
      </c>
      <c r="C1066" s="274">
        <v>60</v>
      </c>
      <c r="D1066" s="274">
        <v>21.5</v>
      </c>
      <c r="E1066" s="274">
        <v>5.4</v>
      </c>
      <c r="F1066" s="274">
        <v>9.4</v>
      </c>
      <c r="G1066" s="274">
        <v>293</v>
      </c>
      <c r="H1066" s="274">
        <v>1022.1</v>
      </c>
      <c r="I1066" s="274">
        <v>54126</v>
      </c>
      <c r="J1066" s="274">
        <v>0</v>
      </c>
      <c r="K1066" s="274">
        <v>0</v>
      </c>
      <c r="L1066" s="274">
        <v>0</v>
      </c>
      <c r="M1066" s="274">
        <v>65.3</v>
      </c>
      <c r="N1066" s="396">
        <v>599.79999999999995</v>
      </c>
      <c r="O1066" s="396">
        <v>36</v>
      </c>
      <c r="P1066" s="396">
        <v>29.2</v>
      </c>
      <c r="Q1066" s="397">
        <v>0.73402777777777795</v>
      </c>
      <c r="R1066" s="396"/>
      <c r="S1066" s="410"/>
      <c r="T1066" s="409"/>
      <c r="U1066" s="398" t="str">
        <f t="shared" si="47"/>
        <v/>
      </c>
      <c r="V1066" s="400"/>
      <c r="W1066" s="410">
        <f t="shared" si="46"/>
        <v>36</v>
      </c>
      <c r="X1066" s="472">
        <f t="shared" si="48"/>
        <v>60</v>
      </c>
      <c r="AT1066" s="232"/>
      <c r="AV1066" s="198"/>
      <c r="AW1066" s="274"/>
    </row>
    <row r="1067" spans="2:49" x14ac:dyDescent="0.25">
      <c r="B1067" s="274">
        <v>21.8</v>
      </c>
      <c r="C1067" s="274">
        <v>61</v>
      </c>
      <c r="D1067" s="274">
        <v>21.8</v>
      </c>
      <c r="E1067" s="274">
        <v>2.9</v>
      </c>
      <c r="F1067" s="274">
        <v>7.2</v>
      </c>
      <c r="G1067" s="274">
        <v>324</v>
      </c>
      <c r="H1067" s="274">
        <v>1022</v>
      </c>
      <c r="I1067" s="274">
        <v>53025</v>
      </c>
      <c r="J1067" s="274">
        <v>0</v>
      </c>
      <c r="K1067" s="274">
        <v>0</v>
      </c>
      <c r="L1067" s="274">
        <v>0</v>
      </c>
      <c r="M1067" s="274">
        <v>65.3</v>
      </c>
      <c r="N1067" s="396">
        <v>599.79999999999995</v>
      </c>
      <c r="O1067" s="396">
        <v>36</v>
      </c>
      <c r="P1067" s="396">
        <v>29</v>
      </c>
      <c r="Q1067" s="397">
        <v>0.73472222222222205</v>
      </c>
      <c r="R1067" s="396"/>
      <c r="S1067" s="410"/>
      <c r="T1067" s="409"/>
      <c r="U1067" s="398" t="str">
        <f t="shared" si="47"/>
        <v/>
      </c>
      <c r="V1067" s="400"/>
      <c r="W1067" s="410">
        <f t="shared" si="46"/>
        <v>36</v>
      </c>
      <c r="X1067" s="472">
        <f t="shared" si="48"/>
        <v>60</v>
      </c>
      <c r="AT1067" s="232"/>
      <c r="AV1067" s="198"/>
      <c r="AW1067" s="274"/>
    </row>
    <row r="1068" spans="2:49" x14ac:dyDescent="0.25">
      <c r="B1068" s="274">
        <v>21.8</v>
      </c>
      <c r="C1068" s="274">
        <v>62</v>
      </c>
      <c r="D1068" s="274">
        <v>21.8</v>
      </c>
      <c r="E1068" s="274">
        <v>7.6</v>
      </c>
      <c r="F1068" s="274">
        <v>9.4</v>
      </c>
      <c r="G1068" s="274">
        <v>279</v>
      </c>
      <c r="H1068" s="274">
        <v>1022</v>
      </c>
      <c r="I1068" s="274">
        <v>51816</v>
      </c>
      <c r="J1068" s="274">
        <v>0</v>
      </c>
      <c r="K1068" s="274">
        <v>0</v>
      </c>
      <c r="L1068" s="274">
        <v>0</v>
      </c>
      <c r="M1068" s="274">
        <v>65.3</v>
      </c>
      <c r="N1068" s="396">
        <v>599.79999999999995</v>
      </c>
      <c r="O1068" s="396">
        <v>36</v>
      </c>
      <c r="P1068" s="396">
        <v>28.8</v>
      </c>
      <c r="Q1068" s="397">
        <v>0.73541666666666705</v>
      </c>
      <c r="R1068" s="396"/>
      <c r="S1068" s="410"/>
      <c r="T1068" s="409"/>
      <c r="U1068" s="398" t="str">
        <f t="shared" si="47"/>
        <v/>
      </c>
      <c r="V1068" s="400"/>
      <c r="W1068" s="410">
        <f t="shared" si="46"/>
        <v>36</v>
      </c>
      <c r="X1068" s="472">
        <f t="shared" si="48"/>
        <v>60</v>
      </c>
      <c r="AT1068" s="232"/>
      <c r="AV1068" s="198"/>
      <c r="AW1068" s="274"/>
    </row>
    <row r="1069" spans="2:49" x14ac:dyDescent="0.25">
      <c r="B1069" s="274">
        <v>21.5</v>
      </c>
      <c r="C1069" s="274">
        <v>63</v>
      </c>
      <c r="D1069" s="274">
        <v>21.5</v>
      </c>
      <c r="E1069" s="274">
        <v>7.9</v>
      </c>
      <c r="F1069" s="274">
        <v>13</v>
      </c>
      <c r="G1069" s="274">
        <v>289</v>
      </c>
      <c r="H1069" s="274">
        <v>1022</v>
      </c>
      <c r="I1069" s="274">
        <v>50282</v>
      </c>
      <c r="J1069" s="274">
        <v>0</v>
      </c>
      <c r="K1069" s="274">
        <v>0</v>
      </c>
      <c r="L1069" s="274">
        <v>0</v>
      </c>
      <c r="M1069" s="274">
        <v>65.3</v>
      </c>
      <c r="N1069" s="396">
        <v>599.79999999999995</v>
      </c>
      <c r="O1069" s="396">
        <v>36</v>
      </c>
      <c r="P1069" s="396">
        <v>28.5</v>
      </c>
      <c r="Q1069" s="397">
        <v>0.73611111111111105</v>
      </c>
      <c r="R1069" s="396"/>
      <c r="S1069" s="410"/>
      <c r="T1069" s="409"/>
      <c r="U1069" s="398" t="str">
        <f t="shared" si="47"/>
        <v/>
      </c>
      <c r="V1069" s="400"/>
      <c r="W1069" s="410">
        <f t="shared" si="46"/>
        <v>36</v>
      </c>
      <c r="X1069" s="472">
        <f t="shared" si="48"/>
        <v>60</v>
      </c>
      <c r="AT1069" s="232"/>
      <c r="AV1069" s="198"/>
      <c r="AW1069" s="274"/>
    </row>
    <row r="1070" spans="2:49" x14ac:dyDescent="0.25">
      <c r="B1070" s="274">
        <v>21.1</v>
      </c>
      <c r="C1070" s="274">
        <v>63</v>
      </c>
      <c r="D1070" s="274">
        <v>21.1</v>
      </c>
      <c r="E1070" s="274">
        <v>2.5</v>
      </c>
      <c r="F1070" s="274">
        <v>5.4</v>
      </c>
      <c r="G1070" s="274">
        <v>317</v>
      </c>
      <c r="H1070" s="274">
        <v>1022.1</v>
      </c>
      <c r="I1070" s="274">
        <v>49243</v>
      </c>
      <c r="J1070" s="274">
        <v>0</v>
      </c>
      <c r="K1070" s="274">
        <v>0</v>
      </c>
      <c r="L1070" s="274">
        <v>0</v>
      </c>
      <c r="M1070" s="274">
        <v>65.3</v>
      </c>
      <c r="N1070" s="396">
        <v>599.79999999999995</v>
      </c>
      <c r="O1070" s="396">
        <v>36</v>
      </c>
      <c r="P1070" s="396">
        <v>28.4</v>
      </c>
      <c r="Q1070" s="397">
        <v>0.73680555555555605</v>
      </c>
      <c r="R1070" s="396"/>
      <c r="S1070" s="410"/>
      <c r="T1070" s="409"/>
      <c r="U1070" s="398" t="str">
        <f t="shared" si="47"/>
        <v/>
      </c>
      <c r="V1070" s="400"/>
      <c r="W1070" s="410">
        <f t="shared" si="46"/>
        <v>36</v>
      </c>
      <c r="X1070" s="472">
        <f t="shared" si="48"/>
        <v>60</v>
      </c>
      <c r="AT1070" s="232"/>
      <c r="AV1070" s="198"/>
      <c r="AW1070" s="274"/>
    </row>
    <row r="1071" spans="2:49" x14ac:dyDescent="0.25">
      <c r="B1071" s="274">
        <v>21.1</v>
      </c>
      <c r="C1071" s="274">
        <v>63</v>
      </c>
      <c r="D1071" s="274">
        <v>21.1</v>
      </c>
      <c r="E1071" s="274">
        <v>10.4</v>
      </c>
      <c r="F1071" s="274">
        <v>14.8</v>
      </c>
      <c r="G1071" s="274">
        <v>296</v>
      </c>
      <c r="H1071" s="274">
        <v>1022.1</v>
      </c>
      <c r="I1071" s="274">
        <v>48856</v>
      </c>
      <c r="J1071" s="274">
        <v>0</v>
      </c>
      <c r="K1071" s="274">
        <v>0</v>
      </c>
      <c r="L1071" s="274">
        <v>0</v>
      </c>
      <c r="M1071" s="274">
        <v>65.3</v>
      </c>
      <c r="N1071" s="396">
        <v>599.79999999999995</v>
      </c>
      <c r="O1071" s="396">
        <v>35.799999999999997</v>
      </c>
      <c r="P1071" s="396">
        <v>28.2</v>
      </c>
      <c r="Q1071" s="397">
        <v>0.73750000000000004</v>
      </c>
      <c r="R1071" s="396"/>
      <c r="S1071" s="410"/>
      <c r="T1071" s="409"/>
      <c r="U1071" s="398" t="str">
        <f t="shared" si="47"/>
        <v/>
      </c>
      <c r="V1071" s="400"/>
      <c r="W1071" s="410">
        <f t="shared" si="46"/>
        <v>35.799999999999997</v>
      </c>
      <c r="X1071" s="472">
        <f t="shared" si="48"/>
        <v>60</v>
      </c>
      <c r="AT1071" s="232"/>
      <c r="AV1071" s="198"/>
      <c r="AW1071" s="274"/>
    </row>
    <row r="1072" spans="2:49" x14ac:dyDescent="0.25">
      <c r="B1072" s="274">
        <v>21</v>
      </c>
      <c r="C1072" s="274">
        <v>64</v>
      </c>
      <c r="D1072" s="274">
        <v>21</v>
      </c>
      <c r="E1072" s="274">
        <v>7.9</v>
      </c>
      <c r="F1072" s="274">
        <v>11.2</v>
      </c>
      <c r="G1072" s="274">
        <v>275</v>
      </c>
      <c r="H1072" s="274">
        <v>1022.2</v>
      </c>
      <c r="I1072" s="274">
        <v>48794</v>
      </c>
      <c r="J1072" s="274">
        <v>0</v>
      </c>
      <c r="K1072" s="274">
        <v>0</v>
      </c>
      <c r="L1072" s="274">
        <v>0</v>
      </c>
      <c r="M1072" s="274">
        <v>65.3</v>
      </c>
      <c r="N1072" s="396">
        <v>599.79999999999995</v>
      </c>
      <c r="O1072" s="396">
        <v>35.6</v>
      </c>
      <c r="P1072" s="396">
        <v>28.1</v>
      </c>
      <c r="Q1072" s="397">
        <v>0.73819444444444404</v>
      </c>
      <c r="R1072" s="396"/>
      <c r="S1072" s="410"/>
      <c r="T1072" s="409"/>
      <c r="U1072" s="398" t="str">
        <f t="shared" si="47"/>
        <v/>
      </c>
      <c r="V1072" s="400"/>
      <c r="W1072" s="410">
        <f t="shared" si="46"/>
        <v>35.6</v>
      </c>
      <c r="X1072" s="472">
        <f t="shared" si="48"/>
        <v>60</v>
      </c>
      <c r="AT1072" s="232"/>
      <c r="AV1072" s="198"/>
      <c r="AW1072" s="274"/>
    </row>
    <row r="1073" spans="2:49" x14ac:dyDescent="0.25">
      <c r="B1073" s="274">
        <v>21</v>
      </c>
      <c r="C1073" s="274">
        <v>64</v>
      </c>
      <c r="D1073" s="274">
        <v>21</v>
      </c>
      <c r="E1073" s="274">
        <v>7.2</v>
      </c>
      <c r="F1073" s="274">
        <v>9.4</v>
      </c>
      <c r="G1073" s="274">
        <v>279</v>
      </c>
      <c r="H1073" s="274">
        <v>1021.8</v>
      </c>
      <c r="I1073" s="274">
        <v>49181</v>
      </c>
      <c r="J1073" s="274">
        <v>0</v>
      </c>
      <c r="K1073" s="274">
        <v>0</v>
      </c>
      <c r="L1073" s="274">
        <v>0</v>
      </c>
      <c r="M1073" s="274">
        <v>65.3</v>
      </c>
      <c r="N1073" s="396">
        <v>599.79999999999995</v>
      </c>
      <c r="O1073" s="396">
        <v>35.299999999999997</v>
      </c>
      <c r="P1073" s="396">
        <v>27.9</v>
      </c>
      <c r="Q1073" s="397">
        <v>0.73888888888888904</v>
      </c>
      <c r="R1073" s="396"/>
      <c r="S1073" s="410"/>
      <c r="T1073" s="409"/>
      <c r="U1073" s="398" t="str">
        <f t="shared" si="47"/>
        <v/>
      </c>
      <c r="V1073" s="400"/>
      <c r="W1073" s="410">
        <f t="shared" si="46"/>
        <v>35.299999999999997</v>
      </c>
      <c r="X1073" s="472">
        <f t="shared" si="48"/>
        <v>60</v>
      </c>
      <c r="AT1073" s="232"/>
      <c r="AV1073" s="198"/>
      <c r="AW1073" s="274"/>
    </row>
    <row r="1074" spans="2:49" x14ac:dyDescent="0.25">
      <c r="B1074" s="274">
        <v>21</v>
      </c>
      <c r="C1074" s="274">
        <v>63</v>
      </c>
      <c r="D1074" s="274">
        <v>21</v>
      </c>
      <c r="E1074" s="274">
        <v>4</v>
      </c>
      <c r="F1074" s="274">
        <v>5.4</v>
      </c>
      <c r="G1074" s="274">
        <v>273</v>
      </c>
      <c r="H1074" s="274">
        <v>1022.2</v>
      </c>
      <c r="I1074" s="274">
        <v>48747</v>
      </c>
      <c r="J1074" s="274">
        <v>0</v>
      </c>
      <c r="K1074" s="274">
        <v>0</v>
      </c>
      <c r="L1074" s="274">
        <v>0</v>
      </c>
      <c r="M1074" s="274">
        <v>65.3</v>
      </c>
      <c r="N1074" s="396">
        <v>599.79999999999995</v>
      </c>
      <c r="O1074" s="396">
        <v>35</v>
      </c>
      <c r="P1074" s="396">
        <v>27.7</v>
      </c>
      <c r="Q1074" s="397">
        <v>0.73958333333333304</v>
      </c>
      <c r="R1074" s="396"/>
      <c r="S1074" s="410"/>
      <c r="T1074" s="409"/>
      <c r="U1074" s="398" t="str">
        <f t="shared" si="47"/>
        <v/>
      </c>
      <c r="V1074" s="400"/>
      <c r="W1074" s="410">
        <f t="shared" ref="W1074:W1137" si="49">MAX(O1074:P1074)</f>
        <v>35</v>
      </c>
      <c r="X1074" s="472">
        <f t="shared" si="48"/>
        <v>60</v>
      </c>
      <c r="AT1074" s="232"/>
      <c r="AV1074" s="198"/>
      <c r="AW1074" s="274"/>
    </row>
    <row r="1075" spans="2:49" x14ac:dyDescent="0.25">
      <c r="B1075" s="274">
        <v>21.1</v>
      </c>
      <c r="C1075" s="274">
        <v>63</v>
      </c>
      <c r="D1075" s="274">
        <v>21.1</v>
      </c>
      <c r="E1075" s="274">
        <v>7.2</v>
      </c>
      <c r="F1075" s="274">
        <v>9.4</v>
      </c>
      <c r="G1075" s="274">
        <v>278</v>
      </c>
      <c r="H1075" s="274">
        <v>1022</v>
      </c>
      <c r="I1075" s="274">
        <v>48081</v>
      </c>
      <c r="J1075" s="274">
        <v>0</v>
      </c>
      <c r="K1075" s="274">
        <v>0</v>
      </c>
      <c r="L1075" s="274">
        <v>0</v>
      </c>
      <c r="M1075" s="274">
        <v>65.3</v>
      </c>
      <c r="N1075" s="396">
        <v>599.79999999999995</v>
      </c>
      <c r="O1075" s="396">
        <v>34.700000000000003</v>
      </c>
      <c r="P1075" s="396">
        <v>27.7</v>
      </c>
      <c r="Q1075" s="397">
        <v>0.74027777777777803</v>
      </c>
      <c r="R1075" s="396"/>
      <c r="S1075" s="410"/>
      <c r="T1075" s="409"/>
      <c r="U1075" s="398" t="str">
        <f t="shared" si="47"/>
        <v/>
      </c>
      <c r="V1075" s="400"/>
      <c r="W1075" s="410">
        <f t="shared" si="49"/>
        <v>34.700000000000003</v>
      </c>
      <c r="X1075" s="472">
        <f t="shared" si="48"/>
        <v>60</v>
      </c>
      <c r="AT1075" s="232"/>
      <c r="AV1075" s="198"/>
      <c r="AW1075" s="274"/>
    </row>
    <row r="1076" spans="2:49" x14ac:dyDescent="0.25">
      <c r="B1076" s="274">
        <v>21.4</v>
      </c>
      <c r="C1076" s="274">
        <v>62</v>
      </c>
      <c r="D1076" s="274">
        <v>21.4</v>
      </c>
      <c r="E1076" s="274">
        <v>2.9</v>
      </c>
      <c r="F1076" s="274">
        <v>5.4</v>
      </c>
      <c r="G1076" s="274">
        <v>308</v>
      </c>
      <c r="H1076" s="274">
        <v>1022.2</v>
      </c>
      <c r="I1076" s="274">
        <v>48856</v>
      </c>
      <c r="J1076" s="274">
        <v>0</v>
      </c>
      <c r="K1076" s="274">
        <v>0</v>
      </c>
      <c r="L1076" s="274">
        <v>0</v>
      </c>
      <c r="M1076" s="274">
        <v>65.3</v>
      </c>
      <c r="N1076" s="396">
        <v>599.79999999999995</v>
      </c>
      <c r="O1076" s="396">
        <v>34.6</v>
      </c>
      <c r="P1076" s="396">
        <v>27.7</v>
      </c>
      <c r="Q1076" s="397">
        <v>0.74097222222222203</v>
      </c>
      <c r="R1076" s="396"/>
      <c r="S1076" s="410"/>
      <c r="T1076" s="409"/>
      <c r="U1076" s="398" t="str">
        <f t="shared" si="47"/>
        <v/>
      </c>
      <c r="V1076" s="400"/>
      <c r="W1076" s="410">
        <f t="shared" si="49"/>
        <v>34.6</v>
      </c>
      <c r="X1076" s="472">
        <f t="shared" si="48"/>
        <v>60</v>
      </c>
      <c r="AT1076" s="232"/>
      <c r="AV1076" s="198"/>
      <c r="AW1076" s="274"/>
    </row>
    <row r="1077" spans="2:49" x14ac:dyDescent="0.25">
      <c r="B1077" s="274">
        <v>21.5</v>
      </c>
      <c r="C1077" s="274">
        <v>61</v>
      </c>
      <c r="D1077" s="274">
        <v>21.5</v>
      </c>
      <c r="E1077" s="274">
        <v>6.8</v>
      </c>
      <c r="F1077" s="274">
        <v>9.4</v>
      </c>
      <c r="G1077" s="274">
        <v>320</v>
      </c>
      <c r="H1077" s="274">
        <v>1022</v>
      </c>
      <c r="I1077" s="274">
        <v>47755</v>
      </c>
      <c r="J1077" s="274">
        <v>0</v>
      </c>
      <c r="K1077" s="274">
        <v>0</v>
      </c>
      <c r="L1077" s="274">
        <v>0</v>
      </c>
      <c r="M1077" s="274">
        <v>65.3</v>
      </c>
      <c r="N1077" s="396">
        <v>599.79999999999995</v>
      </c>
      <c r="O1077" s="396">
        <v>34.6</v>
      </c>
      <c r="P1077" s="396">
        <v>27.5</v>
      </c>
      <c r="Q1077" s="397">
        <v>0.74166666666666703</v>
      </c>
      <c r="R1077" s="396"/>
      <c r="S1077" s="410"/>
      <c r="T1077" s="409"/>
      <c r="U1077" s="398" t="str">
        <f t="shared" si="47"/>
        <v/>
      </c>
      <c r="V1077" s="400"/>
      <c r="W1077" s="410">
        <f t="shared" si="49"/>
        <v>34.6</v>
      </c>
      <c r="X1077" s="472">
        <f t="shared" si="48"/>
        <v>60</v>
      </c>
      <c r="AT1077" s="232"/>
      <c r="AV1077" s="198"/>
      <c r="AW1077" s="274"/>
    </row>
    <row r="1078" spans="2:49" x14ac:dyDescent="0.25">
      <c r="B1078" s="274">
        <v>21.5</v>
      </c>
      <c r="C1078" s="274">
        <v>63</v>
      </c>
      <c r="D1078" s="274">
        <v>21.5</v>
      </c>
      <c r="E1078" s="274">
        <v>3.6</v>
      </c>
      <c r="F1078" s="274">
        <v>7.2</v>
      </c>
      <c r="G1078" s="274">
        <v>241</v>
      </c>
      <c r="H1078" s="274">
        <v>1022</v>
      </c>
      <c r="I1078" s="274">
        <v>46221</v>
      </c>
      <c r="J1078" s="274">
        <v>0</v>
      </c>
      <c r="K1078" s="274">
        <v>0</v>
      </c>
      <c r="L1078" s="274">
        <v>0</v>
      </c>
      <c r="M1078" s="274">
        <v>65.3</v>
      </c>
      <c r="N1078" s="396">
        <v>599.79999999999995</v>
      </c>
      <c r="O1078" s="396">
        <v>34.6</v>
      </c>
      <c r="P1078" s="396">
        <v>27.4</v>
      </c>
      <c r="Q1078" s="397">
        <v>0.74236111111111103</v>
      </c>
      <c r="R1078" s="396"/>
      <c r="S1078" s="410"/>
      <c r="T1078" s="409"/>
      <c r="U1078" s="398" t="str">
        <f t="shared" si="47"/>
        <v/>
      </c>
      <c r="V1078" s="400"/>
      <c r="W1078" s="410">
        <f t="shared" si="49"/>
        <v>34.6</v>
      </c>
      <c r="X1078" s="472">
        <f t="shared" si="48"/>
        <v>60</v>
      </c>
      <c r="AT1078" s="232"/>
      <c r="AV1078" s="198"/>
      <c r="AW1078" s="274"/>
    </row>
    <row r="1079" spans="2:49" x14ac:dyDescent="0.25">
      <c r="B1079" s="274">
        <v>21.3</v>
      </c>
      <c r="C1079" s="274">
        <v>63</v>
      </c>
      <c r="D1079" s="274">
        <v>21.3</v>
      </c>
      <c r="E1079" s="274">
        <v>7.2</v>
      </c>
      <c r="F1079" s="274">
        <v>9.4</v>
      </c>
      <c r="G1079" s="274">
        <v>4</v>
      </c>
      <c r="H1079" s="274">
        <v>1022</v>
      </c>
      <c r="I1079" s="274">
        <v>46050</v>
      </c>
      <c r="J1079" s="274">
        <v>0</v>
      </c>
      <c r="K1079" s="274">
        <v>0</v>
      </c>
      <c r="L1079" s="274">
        <v>0</v>
      </c>
      <c r="M1079" s="274">
        <v>65.3</v>
      </c>
      <c r="N1079" s="396">
        <v>599.79999999999995</v>
      </c>
      <c r="O1079" s="396">
        <v>34.6</v>
      </c>
      <c r="P1079" s="396">
        <v>27.4</v>
      </c>
      <c r="Q1079" s="397">
        <v>0.74305555555555602</v>
      </c>
      <c r="R1079" s="396"/>
      <c r="S1079" s="410"/>
      <c r="T1079" s="409"/>
      <c r="U1079" s="398" t="str">
        <f t="shared" si="47"/>
        <v/>
      </c>
      <c r="V1079" s="400"/>
      <c r="W1079" s="410">
        <f t="shared" si="49"/>
        <v>34.6</v>
      </c>
      <c r="X1079" s="472">
        <f t="shared" si="48"/>
        <v>60</v>
      </c>
      <c r="AT1079" s="232"/>
      <c r="AV1079" s="198"/>
      <c r="AW1079" s="274"/>
    </row>
    <row r="1080" spans="2:49" x14ac:dyDescent="0.25">
      <c r="B1080" s="274">
        <v>21</v>
      </c>
      <c r="C1080" s="274">
        <v>62</v>
      </c>
      <c r="D1080" s="274">
        <v>21</v>
      </c>
      <c r="E1080" s="274">
        <v>8.3000000000000007</v>
      </c>
      <c r="F1080" s="274">
        <v>9.4</v>
      </c>
      <c r="G1080" s="274">
        <v>306</v>
      </c>
      <c r="H1080" s="274">
        <v>1022.1</v>
      </c>
      <c r="I1080" s="274">
        <v>46763</v>
      </c>
      <c r="J1080" s="274">
        <v>0</v>
      </c>
      <c r="K1080" s="274">
        <v>0</v>
      </c>
      <c r="L1080" s="274">
        <v>0</v>
      </c>
      <c r="M1080" s="274">
        <v>65.3</v>
      </c>
      <c r="N1080" s="396">
        <v>599.79999999999995</v>
      </c>
      <c r="O1080" s="396">
        <v>34.5</v>
      </c>
      <c r="P1080" s="396">
        <v>27.3</v>
      </c>
      <c r="Q1080" s="397">
        <v>0.74375000000000002</v>
      </c>
      <c r="R1080" s="396"/>
      <c r="S1080" s="410"/>
      <c r="T1080" s="409"/>
      <c r="U1080" s="398" t="str">
        <f t="shared" si="47"/>
        <v/>
      </c>
      <c r="V1080" s="400"/>
      <c r="W1080" s="410">
        <f t="shared" si="49"/>
        <v>34.5</v>
      </c>
      <c r="X1080" s="472">
        <f t="shared" si="48"/>
        <v>60</v>
      </c>
      <c r="AT1080" s="232"/>
      <c r="AV1080" s="198"/>
      <c r="AW1080" s="274"/>
    </row>
    <row r="1081" spans="2:49" x14ac:dyDescent="0.25">
      <c r="B1081" s="274">
        <v>21</v>
      </c>
      <c r="C1081" s="274">
        <v>62</v>
      </c>
      <c r="D1081" s="274">
        <v>21</v>
      </c>
      <c r="E1081" s="274">
        <v>6.5</v>
      </c>
      <c r="F1081" s="274">
        <v>7.2</v>
      </c>
      <c r="G1081" s="274">
        <v>271</v>
      </c>
      <c r="H1081" s="274">
        <v>1022.1</v>
      </c>
      <c r="I1081" s="274">
        <v>47430</v>
      </c>
      <c r="J1081" s="274">
        <v>0</v>
      </c>
      <c r="K1081" s="274">
        <v>0</v>
      </c>
      <c r="L1081" s="274">
        <v>0</v>
      </c>
      <c r="M1081" s="274">
        <v>65.3</v>
      </c>
      <c r="N1081" s="396">
        <v>599.79999999999995</v>
      </c>
      <c r="O1081" s="396">
        <v>34.4</v>
      </c>
      <c r="P1081" s="396">
        <v>27.1</v>
      </c>
      <c r="Q1081" s="397">
        <v>0.74444444444444402</v>
      </c>
      <c r="R1081" s="396"/>
      <c r="S1081" s="410"/>
      <c r="T1081" s="409"/>
      <c r="U1081" s="398" t="str">
        <f t="shared" si="47"/>
        <v/>
      </c>
      <c r="V1081" s="400"/>
      <c r="W1081" s="410">
        <f t="shared" si="49"/>
        <v>34.4</v>
      </c>
      <c r="X1081" s="472">
        <f t="shared" si="48"/>
        <v>60</v>
      </c>
      <c r="AT1081" s="232"/>
      <c r="AV1081" s="198"/>
      <c r="AW1081" s="274"/>
    </row>
    <row r="1082" spans="2:49" x14ac:dyDescent="0.25">
      <c r="B1082" s="274">
        <v>21</v>
      </c>
      <c r="C1082" s="274">
        <v>61</v>
      </c>
      <c r="D1082" s="274">
        <v>21</v>
      </c>
      <c r="E1082" s="274">
        <v>6.1</v>
      </c>
      <c r="F1082" s="274">
        <v>7.2</v>
      </c>
      <c r="G1082" s="274">
        <v>349</v>
      </c>
      <c r="H1082" s="274">
        <v>1022.1</v>
      </c>
      <c r="I1082" s="274">
        <v>49181</v>
      </c>
      <c r="J1082" s="274">
        <v>0</v>
      </c>
      <c r="K1082" s="274">
        <v>0</v>
      </c>
      <c r="L1082" s="274">
        <v>0</v>
      </c>
      <c r="M1082" s="274">
        <v>65.3</v>
      </c>
      <c r="N1082" s="396">
        <v>599.79999999999995</v>
      </c>
      <c r="O1082" s="396">
        <v>34.200000000000003</v>
      </c>
      <c r="P1082" s="396">
        <v>27</v>
      </c>
      <c r="Q1082" s="397">
        <v>0.74513888888888902</v>
      </c>
      <c r="R1082" s="396"/>
      <c r="S1082" s="410"/>
      <c r="T1082" s="409"/>
      <c r="U1082" s="398" t="str">
        <f t="shared" si="47"/>
        <v/>
      </c>
      <c r="V1082" s="400"/>
      <c r="W1082" s="410">
        <f t="shared" si="49"/>
        <v>34.200000000000003</v>
      </c>
      <c r="X1082" s="472">
        <f t="shared" si="48"/>
        <v>60</v>
      </c>
      <c r="AT1082" s="232"/>
      <c r="AV1082" s="198"/>
      <c r="AW1082" s="274"/>
    </row>
    <row r="1083" spans="2:49" x14ac:dyDescent="0.25">
      <c r="B1083" s="274">
        <v>21.3</v>
      </c>
      <c r="C1083" s="274">
        <v>60</v>
      </c>
      <c r="D1083" s="274">
        <v>21.3</v>
      </c>
      <c r="E1083" s="274">
        <v>3.2</v>
      </c>
      <c r="F1083" s="274">
        <v>5.4</v>
      </c>
      <c r="G1083" s="274">
        <v>86</v>
      </c>
      <c r="H1083" s="274">
        <v>1022</v>
      </c>
      <c r="I1083" s="274">
        <v>49073</v>
      </c>
      <c r="J1083" s="274">
        <v>0</v>
      </c>
      <c r="K1083" s="274">
        <v>0</v>
      </c>
      <c r="L1083" s="274">
        <v>0</v>
      </c>
      <c r="M1083" s="274">
        <v>65.3</v>
      </c>
      <c r="N1083" s="396">
        <v>599.79999999999995</v>
      </c>
      <c r="O1083" s="396">
        <v>34.1</v>
      </c>
      <c r="P1083" s="396">
        <v>26.8</v>
      </c>
      <c r="Q1083" s="397">
        <v>0.74583333333333302</v>
      </c>
      <c r="R1083" s="396"/>
      <c r="S1083" s="410"/>
      <c r="T1083" s="409"/>
      <c r="U1083" s="398" t="str">
        <f t="shared" si="47"/>
        <v/>
      </c>
      <c r="V1083" s="400"/>
      <c r="W1083" s="410">
        <f t="shared" si="49"/>
        <v>34.1</v>
      </c>
      <c r="X1083" s="472">
        <f t="shared" si="48"/>
        <v>60</v>
      </c>
      <c r="AT1083" s="232"/>
      <c r="AV1083" s="198"/>
      <c r="AW1083" s="274"/>
    </row>
    <row r="1084" spans="2:49" x14ac:dyDescent="0.25">
      <c r="B1084" s="274">
        <v>21.5</v>
      </c>
      <c r="C1084" s="274">
        <v>60</v>
      </c>
      <c r="D1084" s="274">
        <v>21.5</v>
      </c>
      <c r="E1084" s="274">
        <v>7.2</v>
      </c>
      <c r="F1084" s="274">
        <v>9.4</v>
      </c>
      <c r="G1084" s="274">
        <v>235</v>
      </c>
      <c r="H1084" s="274">
        <v>1022.1</v>
      </c>
      <c r="I1084" s="274">
        <v>49073</v>
      </c>
      <c r="J1084" s="274">
        <v>0</v>
      </c>
      <c r="K1084" s="274">
        <v>0</v>
      </c>
      <c r="L1084" s="274">
        <v>0</v>
      </c>
      <c r="M1084" s="274">
        <v>65.3</v>
      </c>
      <c r="N1084" s="396">
        <v>599.79999999999995</v>
      </c>
      <c r="O1084" s="396">
        <v>34.1</v>
      </c>
      <c r="P1084" s="396">
        <v>26.6</v>
      </c>
      <c r="Q1084" s="397">
        <v>0.74652777777777801</v>
      </c>
      <c r="R1084" s="396"/>
      <c r="S1084" s="410"/>
      <c r="T1084" s="409"/>
      <c r="U1084" s="398" t="str">
        <f t="shared" si="47"/>
        <v/>
      </c>
      <c r="V1084" s="400"/>
      <c r="W1084" s="410">
        <f t="shared" si="49"/>
        <v>34.1</v>
      </c>
      <c r="X1084" s="472">
        <f t="shared" si="48"/>
        <v>60</v>
      </c>
      <c r="AT1084" s="232"/>
      <c r="AV1084" s="198"/>
      <c r="AW1084" s="274"/>
    </row>
    <row r="1085" spans="2:49" x14ac:dyDescent="0.25">
      <c r="B1085" s="274">
        <v>21.6</v>
      </c>
      <c r="C1085" s="274">
        <v>61</v>
      </c>
      <c r="D1085" s="274">
        <v>21.6</v>
      </c>
      <c r="E1085" s="274">
        <v>4</v>
      </c>
      <c r="F1085" s="274">
        <v>5.4</v>
      </c>
      <c r="G1085" s="274">
        <v>248</v>
      </c>
      <c r="H1085" s="274">
        <v>1022</v>
      </c>
      <c r="I1085" s="274">
        <v>48747</v>
      </c>
      <c r="J1085" s="274">
        <v>0</v>
      </c>
      <c r="K1085" s="274">
        <v>0</v>
      </c>
      <c r="L1085" s="274">
        <v>0</v>
      </c>
      <c r="M1085" s="274">
        <v>65.3</v>
      </c>
      <c r="N1085" s="396">
        <v>599.79999999999995</v>
      </c>
      <c r="O1085" s="396">
        <v>34.200000000000003</v>
      </c>
      <c r="P1085" s="396">
        <v>26.5</v>
      </c>
      <c r="Q1085" s="397">
        <v>0.74722222222222201</v>
      </c>
      <c r="R1085" s="396"/>
      <c r="S1085" s="410"/>
      <c r="T1085" s="409"/>
      <c r="U1085" s="398" t="str">
        <f t="shared" si="47"/>
        <v/>
      </c>
      <c r="V1085" s="400"/>
      <c r="W1085" s="410">
        <f t="shared" si="49"/>
        <v>34.200000000000003</v>
      </c>
      <c r="X1085" s="472">
        <f t="shared" si="48"/>
        <v>60</v>
      </c>
      <c r="AT1085" s="232"/>
      <c r="AV1085" s="198"/>
      <c r="AW1085" s="274"/>
    </row>
    <row r="1086" spans="2:49" x14ac:dyDescent="0.25">
      <c r="B1086" s="274">
        <v>21.6</v>
      </c>
      <c r="C1086" s="274">
        <v>61</v>
      </c>
      <c r="D1086" s="274">
        <v>21.6</v>
      </c>
      <c r="E1086" s="274">
        <v>9</v>
      </c>
      <c r="F1086" s="274">
        <v>13</v>
      </c>
      <c r="G1086" s="274">
        <v>276</v>
      </c>
      <c r="H1086" s="274">
        <v>1021.9</v>
      </c>
      <c r="I1086" s="274">
        <v>48577</v>
      </c>
      <c r="J1086" s="274">
        <v>0</v>
      </c>
      <c r="K1086" s="274">
        <v>0</v>
      </c>
      <c r="L1086" s="274">
        <v>0</v>
      </c>
      <c r="M1086" s="274">
        <v>65.3</v>
      </c>
      <c r="N1086" s="396">
        <v>599.79999999999995</v>
      </c>
      <c r="O1086" s="396">
        <v>34.200000000000003</v>
      </c>
      <c r="P1086" s="396">
        <v>26.5</v>
      </c>
      <c r="Q1086" s="397">
        <v>0.74791666666666701</v>
      </c>
      <c r="R1086" s="396"/>
      <c r="S1086" s="410"/>
      <c r="T1086" s="409"/>
      <c r="U1086" s="398" t="str">
        <f t="shared" si="47"/>
        <v/>
      </c>
      <c r="V1086" s="400"/>
      <c r="W1086" s="410">
        <f t="shared" si="49"/>
        <v>34.200000000000003</v>
      </c>
      <c r="X1086" s="472">
        <f t="shared" si="48"/>
        <v>60</v>
      </c>
      <c r="AT1086" s="232"/>
      <c r="AV1086" s="198"/>
      <c r="AW1086" s="274"/>
    </row>
    <row r="1087" spans="2:49" x14ac:dyDescent="0.25">
      <c r="B1087" s="274">
        <v>21.5</v>
      </c>
      <c r="C1087" s="274">
        <v>62</v>
      </c>
      <c r="D1087" s="274">
        <v>21.5</v>
      </c>
      <c r="E1087" s="274">
        <v>6.1</v>
      </c>
      <c r="F1087" s="274">
        <v>7.2</v>
      </c>
      <c r="G1087" s="274">
        <v>284</v>
      </c>
      <c r="H1087" s="274">
        <v>1022.1</v>
      </c>
      <c r="I1087" s="274">
        <v>49026</v>
      </c>
      <c r="J1087" s="274">
        <v>0</v>
      </c>
      <c r="K1087" s="274">
        <v>0</v>
      </c>
      <c r="L1087" s="274">
        <v>0</v>
      </c>
      <c r="M1087" s="274">
        <v>65.3</v>
      </c>
      <c r="N1087" s="396">
        <v>599.79999999999995</v>
      </c>
      <c r="O1087" s="396">
        <v>34.4</v>
      </c>
      <c r="P1087" s="396">
        <v>26.4</v>
      </c>
      <c r="Q1087" s="397">
        <v>0.74861111111111101</v>
      </c>
      <c r="R1087" s="396"/>
      <c r="S1087" s="410"/>
      <c r="T1087" s="409"/>
      <c r="U1087" s="398" t="str">
        <f t="shared" si="47"/>
        <v/>
      </c>
      <c r="V1087" s="400"/>
      <c r="W1087" s="410">
        <f t="shared" si="49"/>
        <v>34.4</v>
      </c>
      <c r="X1087" s="472">
        <f t="shared" si="48"/>
        <v>60</v>
      </c>
      <c r="AT1087" s="232"/>
      <c r="AV1087" s="198"/>
      <c r="AW1087" s="274"/>
    </row>
    <row r="1088" spans="2:49" x14ac:dyDescent="0.25">
      <c r="B1088" s="274">
        <v>21.3</v>
      </c>
      <c r="C1088" s="274">
        <v>62</v>
      </c>
      <c r="D1088" s="274">
        <v>21.3</v>
      </c>
      <c r="E1088" s="274">
        <v>6.1</v>
      </c>
      <c r="F1088" s="274">
        <v>7.2</v>
      </c>
      <c r="G1088" s="274">
        <v>260</v>
      </c>
      <c r="H1088" s="274">
        <v>1022.1</v>
      </c>
      <c r="I1088" s="274">
        <v>48639</v>
      </c>
      <c r="J1088" s="274">
        <v>0</v>
      </c>
      <c r="K1088" s="274">
        <v>0</v>
      </c>
      <c r="L1088" s="274">
        <v>0</v>
      </c>
      <c r="M1088" s="274">
        <v>65.3</v>
      </c>
      <c r="N1088" s="396">
        <v>599.79999999999995</v>
      </c>
      <c r="O1088" s="396">
        <v>34.5</v>
      </c>
      <c r="P1088" s="396">
        <v>26.5</v>
      </c>
      <c r="Q1088" s="397">
        <v>0.749305555555556</v>
      </c>
      <c r="R1088" s="396"/>
      <c r="S1088" s="410"/>
      <c r="T1088" s="409"/>
      <c r="U1088" s="398" t="str">
        <f t="shared" si="47"/>
        <v/>
      </c>
      <c r="V1088" s="400"/>
      <c r="W1088" s="410">
        <f t="shared" si="49"/>
        <v>34.5</v>
      </c>
      <c r="X1088" s="472">
        <f t="shared" si="48"/>
        <v>60</v>
      </c>
      <c r="AT1088" s="232"/>
      <c r="AV1088" s="198"/>
      <c r="AW1088" s="274"/>
    </row>
    <row r="1089" spans="2:49" x14ac:dyDescent="0.25">
      <c r="B1089" s="274">
        <v>21.3</v>
      </c>
      <c r="C1089" s="274">
        <v>62</v>
      </c>
      <c r="D1089" s="274">
        <v>21.3</v>
      </c>
      <c r="E1089" s="274">
        <v>5.4</v>
      </c>
      <c r="F1089" s="274">
        <v>7.2</v>
      </c>
      <c r="G1089" s="274">
        <v>261</v>
      </c>
      <c r="H1089" s="274">
        <v>1022</v>
      </c>
      <c r="I1089" s="274">
        <v>49894</v>
      </c>
      <c r="J1089" s="274">
        <v>0</v>
      </c>
      <c r="K1089" s="274">
        <v>0</v>
      </c>
      <c r="L1089" s="274">
        <v>0</v>
      </c>
      <c r="M1089" s="274">
        <v>65.3</v>
      </c>
      <c r="N1089" s="396">
        <v>599.79999999999995</v>
      </c>
      <c r="O1089" s="396">
        <v>34.5</v>
      </c>
      <c r="P1089" s="396">
        <v>26.5</v>
      </c>
      <c r="Q1089" s="397">
        <v>0.75</v>
      </c>
      <c r="R1089" s="396"/>
      <c r="S1089" s="410"/>
      <c r="T1089" s="409"/>
      <c r="U1089" s="398" t="str">
        <f t="shared" si="47"/>
        <v/>
      </c>
      <c r="V1089" s="400"/>
      <c r="W1089" s="410">
        <f t="shared" si="49"/>
        <v>34.5</v>
      </c>
      <c r="X1089" s="472">
        <f t="shared" si="48"/>
        <v>60</v>
      </c>
      <c r="AT1089" s="232"/>
      <c r="AV1089" s="198"/>
      <c r="AW1089" s="274"/>
    </row>
    <row r="1090" spans="2:49" x14ac:dyDescent="0.25">
      <c r="B1090" s="274">
        <v>21.3</v>
      </c>
      <c r="C1090" s="274">
        <v>62</v>
      </c>
      <c r="D1090" s="274">
        <v>21.3</v>
      </c>
      <c r="E1090" s="274">
        <v>4.7</v>
      </c>
      <c r="F1090" s="274">
        <v>7.2</v>
      </c>
      <c r="G1090" s="274">
        <v>357</v>
      </c>
      <c r="H1090" s="274">
        <v>1022</v>
      </c>
      <c r="I1090" s="274">
        <v>33464</v>
      </c>
      <c r="J1090" s="274">
        <v>0</v>
      </c>
      <c r="K1090" s="274">
        <v>0</v>
      </c>
      <c r="L1090" s="274">
        <v>0</v>
      </c>
      <c r="M1090" s="274">
        <v>65.3</v>
      </c>
      <c r="N1090" s="396">
        <v>599.79999999999995</v>
      </c>
      <c r="O1090" s="396">
        <v>34.5</v>
      </c>
      <c r="P1090" s="396">
        <v>26.5</v>
      </c>
      <c r="Q1090" s="397">
        <v>0.750694444444444</v>
      </c>
      <c r="R1090" s="396"/>
      <c r="S1090" s="410"/>
      <c r="T1090" s="409"/>
      <c r="U1090" s="398" t="str">
        <f t="shared" si="47"/>
        <v/>
      </c>
      <c r="V1090" s="400"/>
      <c r="W1090" s="410">
        <f t="shared" si="49"/>
        <v>34.5</v>
      </c>
      <c r="X1090" s="472">
        <f t="shared" si="48"/>
        <v>60</v>
      </c>
      <c r="AT1090" s="232"/>
      <c r="AV1090" s="198"/>
      <c r="AW1090" s="274"/>
    </row>
    <row r="1091" spans="2:49" x14ac:dyDescent="0.25">
      <c r="B1091" s="274">
        <v>21.2</v>
      </c>
      <c r="C1091" s="274">
        <v>61</v>
      </c>
      <c r="D1091" s="274">
        <v>21.2</v>
      </c>
      <c r="E1091" s="274">
        <v>4</v>
      </c>
      <c r="F1091" s="274">
        <v>5.4</v>
      </c>
      <c r="G1091" s="274">
        <v>339</v>
      </c>
      <c r="H1091" s="274">
        <v>1022</v>
      </c>
      <c r="I1091" s="274">
        <v>33030</v>
      </c>
      <c r="J1091" s="274">
        <v>0</v>
      </c>
      <c r="K1091" s="274">
        <v>0</v>
      </c>
      <c r="L1091" s="274">
        <v>0</v>
      </c>
      <c r="M1091" s="274">
        <v>65.3</v>
      </c>
      <c r="N1091" s="396">
        <v>599.79999999999995</v>
      </c>
      <c r="O1091" s="396">
        <v>34.6</v>
      </c>
      <c r="P1091" s="396">
        <v>26.6</v>
      </c>
      <c r="Q1091" s="397">
        <v>0.75138888888888899</v>
      </c>
      <c r="R1091" s="396"/>
      <c r="S1091" s="410"/>
      <c r="T1091" s="409"/>
      <c r="U1091" s="398" t="str">
        <f t="shared" si="47"/>
        <v/>
      </c>
      <c r="V1091" s="400"/>
      <c r="W1091" s="410">
        <f t="shared" si="49"/>
        <v>34.6</v>
      </c>
      <c r="X1091" s="472">
        <f t="shared" si="48"/>
        <v>60</v>
      </c>
      <c r="AT1091" s="232"/>
      <c r="AV1091" s="198"/>
      <c r="AW1091" s="274"/>
    </row>
    <row r="1092" spans="2:49" x14ac:dyDescent="0.25">
      <c r="B1092" s="274">
        <v>21</v>
      </c>
      <c r="C1092" s="274">
        <v>60</v>
      </c>
      <c r="D1092" s="274">
        <v>21</v>
      </c>
      <c r="E1092" s="274">
        <v>11.2</v>
      </c>
      <c r="F1092" s="274">
        <v>13</v>
      </c>
      <c r="G1092" s="274">
        <v>291</v>
      </c>
      <c r="H1092" s="274">
        <v>1022.2</v>
      </c>
      <c r="I1092" s="274">
        <v>29667</v>
      </c>
      <c r="J1092" s="274">
        <v>0</v>
      </c>
      <c r="K1092" s="274">
        <v>0</v>
      </c>
      <c r="L1092" s="274">
        <v>0</v>
      </c>
      <c r="M1092" s="274">
        <v>65.3</v>
      </c>
      <c r="N1092" s="396">
        <v>599.79999999999995</v>
      </c>
      <c r="O1092" s="396">
        <v>34.5</v>
      </c>
      <c r="P1092" s="396">
        <v>26.5</v>
      </c>
      <c r="Q1092" s="397">
        <v>0.75208333333333299</v>
      </c>
      <c r="R1092" s="396"/>
      <c r="S1092" s="410"/>
      <c r="T1092" s="409"/>
      <c r="U1092" s="398" t="str">
        <f t="shared" si="47"/>
        <v/>
      </c>
      <c r="V1092" s="400"/>
      <c r="W1092" s="410">
        <f t="shared" si="49"/>
        <v>34.5</v>
      </c>
      <c r="X1092" s="472">
        <f t="shared" si="48"/>
        <v>60</v>
      </c>
      <c r="AT1092" s="232"/>
      <c r="AV1092" s="198"/>
      <c r="AW1092" s="274"/>
    </row>
    <row r="1093" spans="2:49" x14ac:dyDescent="0.25">
      <c r="B1093" s="274">
        <v>21</v>
      </c>
      <c r="C1093" s="274">
        <v>61</v>
      </c>
      <c r="D1093" s="274">
        <v>21</v>
      </c>
      <c r="E1093" s="274">
        <v>6.1</v>
      </c>
      <c r="F1093" s="274">
        <v>9.4</v>
      </c>
      <c r="G1093" s="274">
        <v>267</v>
      </c>
      <c r="H1093" s="274">
        <v>1021.8</v>
      </c>
      <c r="I1093" s="274">
        <v>31263</v>
      </c>
      <c r="J1093" s="274">
        <v>0</v>
      </c>
      <c r="K1093" s="274">
        <v>0</v>
      </c>
      <c r="L1093" s="274">
        <v>0</v>
      </c>
      <c r="M1093" s="274">
        <v>65.3</v>
      </c>
      <c r="N1093" s="396">
        <v>599.79999999999995</v>
      </c>
      <c r="O1093" s="396">
        <v>34.200000000000003</v>
      </c>
      <c r="P1093" s="396">
        <v>26.5</v>
      </c>
      <c r="Q1093" s="397">
        <v>0.75277777777777799</v>
      </c>
      <c r="R1093" s="396"/>
      <c r="S1093" s="410"/>
      <c r="T1093" s="409"/>
      <c r="U1093" s="398" t="str">
        <f t="shared" si="47"/>
        <v/>
      </c>
      <c r="V1093" s="400"/>
      <c r="W1093" s="410">
        <f t="shared" si="49"/>
        <v>34.200000000000003</v>
      </c>
      <c r="X1093" s="472">
        <f t="shared" si="48"/>
        <v>60</v>
      </c>
      <c r="AT1093" s="232"/>
      <c r="AV1093" s="198"/>
      <c r="AW1093" s="274"/>
    </row>
    <row r="1094" spans="2:49" x14ac:dyDescent="0.25">
      <c r="B1094" s="274">
        <v>20.8</v>
      </c>
      <c r="C1094" s="274">
        <v>61</v>
      </c>
      <c r="D1094" s="274">
        <v>20.8</v>
      </c>
      <c r="E1094" s="274">
        <v>3.6</v>
      </c>
      <c r="F1094" s="274">
        <v>5.4</v>
      </c>
      <c r="G1094" s="274">
        <v>262</v>
      </c>
      <c r="H1094" s="274">
        <v>1021.8</v>
      </c>
      <c r="I1094" s="274">
        <v>29512</v>
      </c>
      <c r="J1094" s="274">
        <v>0</v>
      </c>
      <c r="K1094" s="274">
        <v>0</v>
      </c>
      <c r="L1094" s="274">
        <v>0</v>
      </c>
      <c r="M1094" s="274">
        <v>65.3</v>
      </c>
      <c r="N1094" s="396">
        <v>599.79999999999995</v>
      </c>
      <c r="O1094" s="396">
        <v>33.9</v>
      </c>
      <c r="P1094" s="396">
        <v>26.3</v>
      </c>
      <c r="Q1094" s="397">
        <v>0.75347222222222199</v>
      </c>
      <c r="R1094" s="396"/>
      <c r="S1094" s="410"/>
      <c r="T1094" s="409"/>
      <c r="U1094" s="398" t="str">
        <f t="shared" si="47"/>
        <v/>
      </c>
      <c r="V1094" s="400"/>
      <c r="W1094" s="410">
        <f t="shared" si="49"/>
        <v>33.9</v>
      </c>
      <c r="X1094" s="472">
        <f t="shared" si="48"/>
        <v>60</v>
      </c>
      <c r="AT1094" s="232"/>
      <c r="AV1094" s="198"/>
      <c r="AW1094" s="274"/>
    </row>
    <row r="1095" spans="2:49" x14ac:dyDescent="0.25">
      <c r="B1095" s="274">
        <v>20.8</v>
      </c>
      <c r="C1095" s="274">
        <v>62</v>
      </c>
      <c r="D1095" s="274">
        <v>20.8</v>
      </c>
      <c r="E1095" s="274">
        <v>5.8</v>
      </c>
      <c r="F1095" s="274">
        <v>7.2</v>
      </c>
      <c r="G1095" s="274">
        <v>258</v>
      </c>
      <c r="H1095" s="274">
        <v>1021.9</v>
      </c>
      <c r="I1095" s="274">
        <v>31976</v>
      </c>
      <c r="J1095" s="274">
        <v>0</v>
      </c>
      <c r="K1095" s="274">
        <v>0</v>
      </c>
      <c r="L1095" s="274">
        <v>0</v>
      </c>
      <c r="M1095" s="274">
        <v>65.3</v>
      </c>
      <c r="N1095" s="396">
        <v>599.79999999999995</v>
      </c>
      <c r="O1095" s="396">
        <v>33.4</v>
      </c>
      <c r="P1095" s="396">
        <v>26.2</v>
      </c>
      <c r="Q1095" s="397">
        <v>0.75416666666666698</v>
      </c>
      <c r="R1095" s="396"/>
      <c r="S1095" s="410"/>
      <c r="T1095" s="409"/>
      <c r="U1095" s="398" t="str">
        <f t="shared" si="47"/>
        <v/>
      </c>
      <c r="V1095" s="400"/>
      <c r="W1095" s="410">
        <f t="shared" si="49"/>
        <v>33.4</v>
      </c>
      <c r="X1095" s="472">
        <f t="shared" si="48"/>
        <v>60</v>
      </c>
      <c r="AT1095" s="232"/>
      <c r="AV1095" s="198"/>
      <c r="AW1095" s="274"/>
    </row>
    <row r="1096" spans="2:49" x14ac:dyDescent="0.25">
      <c r="B1096" s="274">
        <v>20.8</v>
      </c>
      <c r="C1096" s="274">
        <v>62</v>
      </c>
      <c r="D1096" s="274">
        <v>20.8</v>
      </c>
      <c r="E1096" s="274">
        <v>6.5</v>
      </c>
      <c r="F1096" s="274">
        <v>7.2</v>
      </c>
      <c r="G1096" s="274">
        <v>261</v>
      </c>
      <c r="H1096" s="274">
        <v>1021.9</v>
      </c>
      <c r="I1096" s="274">
        <v>33681</v>
      </c>
      <c r="J1096" s="274">
        <v>0</v>
      </c>
      <c r="K1096" s="274">
        <v>0</v>
      </c>
      <c r="L1096" s="274">
        <v>0</v>
      </c>
      <c r="M1096" s="274">
        <v>65.3</v>
      </c>
      <c r="N1096" s="396">
        <v>599.79999999999995</v>
      </c>
      <c r="O1096" s="396">
        <v>33</v>
      </c>
      <c r="P1096" s="396">
        <v>26</v>
      </c>
      <c r="Q1096" s="397">
        <v>0.75486111111111098</v>
      </c>
      <c r="R1096" s="396"/>
      <c r="S1096" s="410"/>
      <c r="T1096" s="409"/>
      <c r="U1096" s="398" t="str">
        <f t="shared" si="47"/>
        <v/>
      </c>
      <c r="V1096" s="400"/>
      <c r="W1096" s="410">
        <f t="shared" si="49"/>
        <v>33</v>
      </c>
      <c r="X1096" s="472">
        <f t="shared" si="48"/>
        <v>60</v>
      </c>
      <c r="AT1096" s="232"/>
      <c r="AV1096" s="198"/>
      <c r="AW1096" s="274"/>
    </row>
    <row r="1097" spans="2:49" x14ac:dyDescent="0.25">
      <c r="B1097" s="274">
        <v>20.8</v>
      </c>
      <c r="C1097" s="274">
        <v>63</v>
      </c>
      <c r="D1097" s="274">
        <v>20.8</v>
      </c>
      <c r="E1097" s="274">
        <v>6.8</v>
      </c>
      <c r="F1097" s="274">
        <v>9.4</v>
      </c>
      <c r="G1097" s="274">
        <v>263</v>
      </c>
      <c r="H1097" s="274">
        <v>1021.9</v>
      </c>
      <c r="I1097" s="274">
        <v>35231</v>
      </c>
      <c r="J1097" s="274">
        <v>0</v>
      </c>
      <c r="K1097" s="274">
        <v>0</v>
      </c>
      <c r="L1097" s="274">
        <v>0</v>
      </c>
      <c r="M1097" s="274">
        <v>65.3</v>
      </c>
      <c r="N1097" s="396">
        <v>599.79999999999995</v>
      </c>
      <c r="O1097" s="396">
        <v>32.700000000000003</v>
      </c>
      <c r="P1097" s="396">
        <v>25.9</v>
      </c>
      <c r="Q1097" s="397">
        <v>0.75555555555555598</v>
      </c>
      <c r="R1097" s="396"/>
      <c r="S1097" s="410"/>
      <c r="T1097" s="409"/>
      <c r="U1097" s="398" t="str">
        <f t="shared" si="47"/>
        <v/>
      </c>
      <c r="V1097" s="400"/>
      <c r="W1097" s="410">
        <f t="shared" si="49"/>
        <v>32.700000000000003</v>
      </c>
      <c r="X1097" s="472">
        <f t="shared" si="48"/>
        <v>60</v>
      </c>
      <c r="AT1097" s="232"/>
      <c r="AV1097" s="198"/>
      <c r="AW1097" s="274"/>
    </row>
    <row r="1098" spans="2:49" x14ac:dyDescent="0.25">
      <c r="B1098" s="274">
        <v>20.7</v>
      </c>
      <c r="C1098" s="274">
        <v>63</v>
      </c>
      <c r="D1098" s="274">
        <v>20.7</v>
      </c>
      <c r="E1098" s="274">
        <v>6.5</v>
      </c>
      <c r="F1098" s="274">
        <v>7.2</v>
      </c>
      <c r="G1098" s="274">
        <v>258</v>
      </c>
      <c r="H1098" s="274">
        <v>1022.2</v>
      </c>
      <c r="I1098" s="274">
        <v>44020</v>
      </c>
      <c r="J1098" s="274">
        <v>0</v>
      </c>
      <c r="K1098" s="274">
        <v>0</v>
      </c>
      <c r="L1098" s="274">
        <v>0</v>
      </c>
      <c r="M1098" s="274">
        <v>65.3</v>
      </c>
      <c r="N1098" s="396">
        <v>599.79999999999995</v>
      </c>
      <c r="O1098" s="396">
        <v>32.299999999999997</v>
      </c>
      <c r="P1098" s="396">
        <v>25.8</v>
      </c>
      <c r="Q1098" s="397">
        <v>0.75624999999999998</v>
      </c>
      <c r="R1098" s="396"/>
      <c r="S1098" s="410"/>
      <c r="T1098" s="409"/>
      <c r="U1098" s="398" t="str">
        <f t="shared" si="47"/>
        <v/>
      </c>
      <c r="V1098" s="400"/>
      <c r="W1098" s="410">
        <f t="shared" si="49"/>
        <v>32.299999999999997</v>
      </c>
      <c r="X1098" s="472">
        <f t="shared" si="48"/>
        <v>60</v>
      </c>
      <c r="AT1098" s="232"/>
      <c r="AV1098" s="198"/>
      <c r="AW1098" s="274"/>
    </row>
    <row r="1099" spans="2:49" x14ac:dyDescent="0.25">
      <c r="B1099" s="274">
        <v>20.7</v>
      </c>
      <c r="C1099" s="274">
        <v>63</v>
      </c>
      <c r="D1099" s="274">
        <v>20.7</v>
      </c>
      <c r="E1099" s="274">
        <v>10.4</v>
      </c>
      <c r="F1099" s="274">
        <v>13</v>
      </c>
      <c r="G1099" s="274">
        <v>272</v>
      </c>
      <c r="H1099" s="274">
        <v>1022.1</v>
      </c>
      <c r="I1099" s="274">
        <v>44299</v>
      </c>
      <c r="J1099" s="274">
        <v>0</v>
      </c>
      <c r="K1099" s="274">
        <v>0</v>
      </c>
      <c r="L1099" s="274">
        <v>0</v>
      </c>
      <c r="M1099" s="274">
        <v>65.3</v>
      </c>
      <c r="N1099" s="396">
        <v>599.79999999999995</v>
      </c>
      <c r="O1099" s="396">
        <v>32.1</v>
      </c>
      <c r="P1099" s="396">
        <v>25.7</v>
      </c>
      <c r="Q1099" s="397">
        <v>0.75694444444444398</v>
      </c>
      <c r="R1099" s="396"/>
      <c r="S1099" s="410"/>
      <c r="T1099" s="409"/>
      <c r="U1099" s="398" t="str">
        <f t="shared" ref="U1099:U1162" si="50">IF(J1099&gt;0,60,"")</f>
        <v/>
      </c>
      <c r="V1099" s="400"/>
      <c r="W1099" s="410">
        <f t="shared" si="49"/>
        <v>32.1</v>
      </c>
      <c r="X1099" s="472">
        <f t="shared" si="48"/>
        <v>60</v>
      </c>
      <c r="AT1099" s="232"/>
      <c r="AV1099" s="198"/>
      <c r="AW1099" s="274"/>
    </row>
    <row r="1100" spans="2:49" x14ac:dyDescent="0.25">
      <c r="B1100" s="274">
        <v>20.6</v>
      </c>
      <c r="C1100" s="274">
        <v>63</v>
      </c>
      <c r="D1100" s="274">
        <v>20.6</v>
      </c>
      <c r="E1100" s="274">
        <v>7.2</v>
      </c>
      <c r="F1100" s="274">
        <v>9.4</v>
      </c>
      <c r="G1100" s="274">
        <v>270</v>
      </c>
      <c r="H1100" s="274">
        <v>1021.9</v>
      </c>
      <c r="I1100" s="274">
        <v>43462</v>
      </c>
      <c r="J1100" s="274">
        <v>0</v>
      </c>
      <c r="K1100" s="274">
        <v>0</v>
      </c>
      <c r="L1100" s="274">
        <v>0</v>
      </c>
      <c r="M1100" s="274">
        <v>65.3</v>
      </c>
      <c r="N1100" s="396">
        <v>599.79999999999995</v>
      </c>
      <c r="O1100" s="396">
        <v>31.9</v>
      </c>
      <c r="P1100" s="396">
        <v>25.6</v>
      </c>
      <c r="Q1100" s="397">
        <v>0.75763888888888897</v>
      </c>
      <c r="R1100" s="396"/>
      <c r="S1100" s="410"/>
      <c r="T1100" s="409"/>
      <c r="U1100" s="398" t="str">
        <f t="shared" si="50"/>
        <v/>
      </c>
      <c r="V1100" s="400"/>
      <c r="W1100" s="410">
        <f t="shared" si="49"/>
        <v>31.9</v>
      </c>
      <c r="X1100" s="472">
        <f t="shared" si="48"/>
        <v>60</v>
      </c>
      <c r="AT1100" s="232"/>
      <c r="AV1100" s="198"/>
      <c r="AW1100" s="274"/>
    </row>
    <row r="1101" spans="2:49" x14ac:dyDescent="0.25">
      <c r="B1101" s="274">
        <v>20.6</v>
      </c>
      <c r="C1101" s="274">
        <v>63</v>
      </c>
      <c r="D1101" s="274">
        <v>20.6</v>
      </c>
      <c r="E1101" s="274">
        <v>3.6</v>
      </c>
      <c r="F1101" s="274">
        <v>5.4</v>
      </c>
      <c r="G1101" s="274">
        <v>247</v>
      </c>
      <c r="H1101" s="274">
        <v>1021.6</v>
      </c>
      <c r="I1101" s="274">
        <v>42640</v>
      </c>
      <c r="J1101" s="274">
        <v>0</v>
      </c>
      <c r="K1101" s="274">
        <v>0</v>
      </c>
      <c r="L1101" s="274">
        <v>0</v>
      </c>
      <c r="M1101" s="274">
        <v>65.3</v>
      </c>
      <c r="N1101" s="396">
        <v>599.79999999999995</v>
      </c>
      <c r="O1101" s="396">
        <v>31.8</v>
      </c>
      <c r="P1101" s="396">
        <v>25.5</v>
      </c>
      <c r="Q1101" s="397">
        <v>0.75833333333333297</v>
      </c>
      <c r="R1101" s="396"/>
      <c r="S1101" s="410"/>
      <c r="T1101" s="409"/>
      <c r="U1101" s="398" t="str">
        <f t="shared" si="50"/>
        <v/>
      </c>
      <c r="V1101" s="400"/>
      <c r="W1101" s="410">
        <f t="shared" si="49"/>
        <v>31.8</v>
      </c>
      <c r="X1101" s="472">
        <f t="shared" si="48"/>
        <v>60</v>
      </c>
      <c r="AT1101" s="232"/>
      <c r="AV1101" s="198"/>
      <c r="AW1101" s="274"/>
    </row>
    <row r="1102" spans="2:49" x14ac:dyDescent="0.25">
      <c r="B1102" s="274">
        <v>20.7</v>
      </c>
      <c r="C1102" s="274">
        <v>63</v>
      </c>
      <c r="D1102" s="274">
        <v>20.7</v>
      </c>
      <c r="E1102" s="274">
        <v>3.2</v>
      </c>
      <c r="F1102" s="274">
        <v>5.4</v>
      </c>
      <c r="G1102" s="274">
        <v>258</v>
      </c>
      <c r="H1102" s="274">
        <v>1021.7</v>
      </c>
      <c r="I1102" s="274">
        <v>41989</v>
      </c>
      <c r="J1102" s="274">
        <v>0</v>
      </c>
      <c r="K1102" s="274">
        <v>0</v>
      </c>
      <c r="L1102" s="274">
        <v>0</v>
      </c>
      <c r="M1102" s="274">
        <v>65.3</v>
      </c>
      <c r="N1102" s="396">
        <v>599.79999999999995</v>
      </c>
      <c r="O1102" s="396">
        <v>31.8</v>
      </c>
      <c r="P1102" s="396">
        <v>25.5</v>
      </c>
      <c r="Q1102" s="397">
        <v>0.75902777777777797</v>
      </c>
      <c r="R1102" s="396"/>
      <c r="S1102" s="410"/>
      <c r="T1102" s="409"/>
      <c r="U1102" s="398" t="str">
        <f t="shared" si="50"/>
        <v/>
      </c>
      <c r="V1102" s="400"/>
      <c r="W1102" s="410">
        <f t="shared" si="49"/>
        <v>31.8</v>
      </c>
      <c r="X1102" s="472">
        <f t="shared" si="48"/>
        <v>60</v>
      </c>
      <c r="AT1102" s="232"/>
      <c r="AV1102" s="198"/>
      <c r="AW1102" s="274"/>
    </row>
    <row r="1103" spans="2:49" x14ac:dyDescent="0.25">
      <c r="B1103" s="274">
        <v>20.9</v>
      </c>
      <c r="C1103" s="274">
        <v>63</v>
      </c>
      <c r="D1103" s="274">
        <v>20.9</v>
      </c>
      <c r="E1103" s="274">
        <v>2.2000000000000002</v>
      </c>
      <c r="F1103" s="274">
        <v>3.6</v>
      </c>
      <c r="G1103" s="274">
        <v>296</v>
      </c>
      <c r="H1103" s="274">
        <v>1021.9</v>
      </c>
      <c r="I1103" s="274">
        <v>41106</v>
      </c>
      <c r="J1103" s="274">
        <v>0</v>
      </c>
      <c r="K1103" s="274">
        <v>0</v>
      </c>
      <c r="L1103" s="274">
        <v>0</v>
      </c>
      <c r="M1103" s="274">
        <v>65.3</v>
      </c>
      <c r="N1103" s="396">
        <v>599.79999999999995</v>
      </c>
      <c r="O1103" s="396">
        <v>31.8</v>
      </c>
      <c r="P1103" s="396">
        <v>25.5</v>
      </c>
      <c r="Q1103" s="397">
        <v>0.75972222222222197</v>
      </c>
      <c r="R1103" s="396"/>
      <c r="S1103" s="410"/>
      <c r="T1103" s="409"/>
      <c r="U1103" s="398" t="str">
        <f t="shared" si="50"/>
        <v/>
      </c>
      <c r="V1103" s="400"/>
      <c r="W1103" s="410">
        <f t="shared" si="49"/>
        <v>31.8</v>
      </c>
      <c r="X1103" s="472">
        <f t="shared" si="48"/>
        <v>60</v>
      </c>
      <c r="AT1103" s="232"/>
      <c r="AV1103" s="198"/>
      <c r="AW1103" s="274"/>
    </row>
    <row r="1104" spans="2:49" x14ac:dyDescent="0.25">
      <c r="B1104" s="274">
        <v>21.1</v>
      </c>
      <c r="C1104" s="274">
        <v>60</v>
      </c>
      <c r="D1104" s="274">
        <v>21.1</v>
      </c>
      <c r="E1104" s="274">
        <v>6.5</v>
      </c>
      <c r="F1104" s="274">
        <v>7.2</v>
      </c>
      <c r="G1104" s="274">
        <v>268</v>
      </c>
      <c r="H1104" s="274">
        <v>1022</v>
      </c>
      <c r="I1104" s="274">
        <v>40176</v>
      </c>
      <c r="J1104" s="274">
        <v>0</v>
      </c>
      <c r="K1104" s="274">
        <v>0</v>
      </c>
      <c r="L1104" s="274">
        <v>0</v>
      </c>
      <c r="M1104" s="274">
        <v>65.3</v>
      </c>
      <c r="N1104" s="396">
        <v>599.79999999999995</v>
      </c>
      <c r="O1104" s="396">
        <v>32</v>
      </c>
      <c r="P1104" s="396">
        <v>25.5</v>
      </c>
      <c r="Q1104" s="397">
        <v>0.76041666666666696</v>
      </c>
      <c r="R1104" s="396"/>
      <c r="S1104" s="410"/>
      <c r="T1104" s="409"/>
      <c r="U1104" s="398" t="str">
        <f t="shared" si="50"/>
        <v/>
      </c>
      <c r="V1104" s="400"/>
      <c r="W1104" s="410">
        <f t="shared" si="49"/>
        <v>32</v>
      </c>
      <c r="X1104" s="472">
        <f t="shared" si="48"/>
        <v>60</v>
      </c>
      <c r="AT1104" s="232"/>
      <c r="AV1104" s="198"/>
      <c r="AW1104" s="274"/>
    </row>
    <row r="1105" spans="2:49" x14ac:dyDescent="0.25">
      <c r="B1105" s="274">
        <v>21.4</v>
      </c>
      <c r="C1105" s="274">
        <v>60</v>
      </c>
      <c r="D1105" s="274">
        <v>21.4</v>
      </c>
      <c r="E1105" s="274">
        <v>5.4</v>
      </c>
      <c r="F1105" s="274">
        <v>9.4</v>
      </c>
      <c r="G1105" s="274">
        <v>7</v>
      </c>
      <c r="H1105" s="274">
        <v>1021.9</v>
      </c>
      <c r="I1105" s="274">
        <v>39959</v>
      </c>
      <c r="J1105" s="274">
        <v>0</v>
      </c>
      <c r="K1105" s="274">
        <v>0</v>
      </c>
      <c r="L1105" s="274">
        <v>0</v>
      </c>
      <c r="M1105" s="274">
        <v>65.3</v>
      </c>
      <c r="N1105" s="396">
        <v>599.79999999999995</v>
      </c>
      <c r="O1105" s="396">
        <v>32.200000000000003</v>
      </c>
      <c r="P1105" s="396">
        <v>25.5</v>
      </c>
      <c r="Q1105" s="397">
        <v>0.76111111111111096</v>
      </c>
      <c r="R1105" s="396"/>
      <c r="S1105" s="410"/>
      <c r="T1105" s="409"/>
      <c r="U1105" s="398" t="str">
        <f t="shared" si="50"/>
        <v/>
      </c>
      <c r="V1105" s="400"/>
      <c r="W1105" s="410">
        <f t="shared" si="49"/>
        <v>32.200000000000003</v>
      </c>
      <c r="X1105" s="472">
        <f t="shared" ref="X1105:X1168" si="51">IF(W1105&gt;B1105+3,60,"")</f>
        <v>60</v>
      </c>
      <c r="AT1105" s="232"/>
      <c r="AV1105" s="198"/>
      <c r="AW1105" s="274"/>
    </row>
    <row r="1106" spans="2:49" x14ac:dyDescent="0.25">
      <c r="B1106" s="274">
        <v>21.5</v>
      </c>
      <c r="C1106" s="274">
        <v>61</v>
      </c>
      <c r="D1106" s="274">
        <v>21.5</v>
      </c>
      <c r="E1106" s="274">
        <v>4</v>
      </c>
      <c r="F1106" s="274">
        <v>5.4</v>
      </c>
      <c r="G1106" s="274">
        <v>281</v>
      </c>
      <c r="H1106" s="274">
        <v>1021.8</v>
      </c>
      <c r="I1106" s="274">
        <v>39013</v>
      </c>
      <c r="J1106" s="274">
        <v>0</v>
      </c>
      <c r="K1106" s="274">
        <v>0</v>
      </c>
      <c r="L1106" s="274">
        <v>0</v>
      </c>
      <c r="M1106" s="274">
        <v>65.3</v>
      </c>
      <c r="N1106" s="396">
        <v>599.79999999999995</v>
      </c>
      <c r="O1106" s="396">
        <v>32.4</v>
      </c>
      <c r="P1106" s="396">
        <v>25.5</v>
      </c>
      <c r="Q1106" s="397">
        <v>0.76180555555555596</v>
      </c>
      <c r="R1106" s="396"/>
      <c r="S1106" s="410"/>
      <c r="T1106" s="409"/>
      <c r="U1106" s="398" t="str">
        <f t="shared" si="50"/>
        <v/>
      </c>
      <c r="V1106" s="400"/>
      <c r="W1106" s="410">
        <f t="shared" si="49"/>
        <v>32.4</v>
      </c>
      <c r="X1106" s="472">
        <f t="shared" si="51"/>
        <v>60</v>
      </c>
      <c r="AT1106" s="232"/>
      <c r="AV1106" s="198"/>
      <c r="AW1106" s="274"/>
    </row>
    <row r="1107" spans="2:49" x14ac:dyDescent="0.25">
      <c r="B1107" s="274">
        <v>21.5</v>
      </c>
      <c r="C1107" s="274">
        <v>61</v>
      </c>
      <c r="D1107" s="274">
        <v>21.5</v>
      </c>
      <c r="E1107" s="274">
        <v>4</v>
      </c>
      <c r="F1107" s="274">
        <v>5.4</v>
      </c>
      <c r="G1107" s="274">
        <v>290</v>
      </c>
      <c r="H1107" s="274">
        <v>1022</v>
      </c>
      <c r="I1107" s="274">
        <v>38362</v>
      </c>
      <c r="J1107" s="274">
        <v>0</v>
      </c>
      <c r="K1107" s="274">
        <v>0</v>
      </c>
      <c r="L1107" s="274">
        <v>0</v>
      </c>
      <c r="M1107" s="274">
        <v>65.3</v>
      </c>
      <c r="N1107" s="396">
        <v>599.79999999999995</v>
      </c>
      <c r="O1107" s="396">
        <v>32.6</v>
      </c>
      <c r="P1107" s="396">
        <v>25.5</v>
      </c>
      <c r="Q1107" s="397">
        <v>0.76249999999999996</v>
      </c>
      <c r="R1107" s="396"/>
      <c r="S1107" s="410"/>
      <c r="T1107" s="409"/>
      <c r="U1107" s="398" t="str">
        <f t="shared" si="50"/>
        <v/>
      </c>
      <c r="V1107" s="400"/>
      <c r="W1107" s="410">
        <f t="shared" si="49"/>
        <v>32.6</v>
      </c>
      <c r="X1107" s="472">
        <f t="shared" si="51"/>
        <v>60</v>
      </c>
      <c r="AT1107" s="232"/>
      <c r="AV1107" s="198"/>
      <c r="AW1107" s="274"/>
    </row>
    <row r="1108" spans="2:49" x14ac:dyDescent="0.25">
      <c r="B1108" s="274">
        <v>21.4</v>
      </c>
      <c r="C1108" s="274">
        <v>62</v>
      </c>
      <c r="D1108" s="274">
        <v>21.4</v>
      </c>
      <c r="E1108" s="274">
        <v>7.2</v>
      </c>
      <c r="F1108" s="274">
        <v>9.4</v>
      </c>
      <c r="G1108" s="274">
        <v>266</v>
      </c>
      <c r="H1108" s="274">
        <v>1021.8</v>
      </c>
      <c r="I1108" s="274">
        <v>37866</v>
      </c>
      <c r="J1108" s="274">
        <v>0</v>
      </c>
      <c r="K1108" s="274">
        <v>0</v>
      </c>
      <c r="L1108" s="274">
        <v>0</v>
      </c>
      <c r="M1108" s="274">
        <v>65.3</v>
      </c>
      <c r="N1108" s="396">
        <v>599.79999999999995</v>
      </c>
      <c r="O1108" s="396">
        <v>32.799999999999997</v>
      </c>
      <c r="P1108" s="396">
        <v>25.5</v>
      </c>
      <c r="Q1108" s="397">
        <v>0.76319444444444495</v>
      </c>
      <c r="R1108" s="396"/>
      <c r="S1108" s="410"/>
      <c r="T1108" s="409"/>
      <c r="U1108" s="398" t="str">
        <f t="shared" si="50"/>
        <v/>
      </c>
      <c r="V1108" s="400"/>
      <c r="W1108" s="410">
        <f t="shared" si="49"/>
        <v>32.799999999999997</v>
      </c>
      <c r="X1108" s="472">
        <f t="shared" si="51"/>
        <v>60</v>
      </c>
      <c r="AT1108" s="232"/>
      <c r="AV1108" s="198"/>
      <c r="AW1108" s="274"/>
    </row>
    <row r="1109" spans="2:49" x14ac:dyDescent="0.25">
      <c r="B1109" s="274">
        <v>21.3</v>
      </c>
      <c r="C1109" s="274">
        <v>63</v>
      </c>
      <c r="D1109" s="274">
        <v>21.3</v>
      </c>
      <c r="E1109" s="274">
        <v>6.5</v>
      </c>
      <c r="F1109" s="274">
        <v>9.4</v>
      </c>
      <c r="G1109" s="274">
        <v>282</v>
      </c>
      <c r="H1109" s="274">
        <v>1022</v>
      </c>
      <c r="I1109" s="274">
        <v>37153</v>
      </c>
      <c r="J1109" s="274">
        <v>0</v>
      </c>
      <c r="K1109" s="274">
        <v>0</v>
      </c>
      <c r="L1109" s="274">
        <v>0</v>
      </c>
      <c r="M1109" s="274">
        <v>65.3</v>
      </c>
      <c r="N1109" s="396">
        <v>599.79999999999995</v>
      </c>
      <c r="O1109" s="396">
        <v>32.799999999999997</v>
      </c>
      <c r="P1109" s="396">
        <v>25.5</v>
      </c>
      <c r="Q1109" s="397">
        <v>0.76388888888888895</v>
      </c>
      <c r="R1109" s="396"/>
      <c r="S1109" s="410"/>
      <c r="T1109" s="409"/>
      <c r="U1109" s="398" t="str">
        <f t="shared" si="50"/>
        <v/>
      </c>
      <c r="V1109" s="400"/>
      <c r="W1109" s="410">
        <f t="shared" si="49"/>
        <v>32.799999999999997</v>
      </c>
      <c r="X1109" s="472">
        <f t="shared" si="51"/>
        <v>60</v>
      </c>
      <c r="AT1109" s="232"/>
      <c r="AV1109" s="198"/>
      <c r="AW1109" s="274"/>
    </row>
    <row r="1110" spans="2:49" x14ac:dyDescent="0.25">
      <c r="B1110" s="274">
        <v>21.2</v>
      </c>
      <c r="C1110" s="274">
        <v>63</v>
      </c>
      <c r="D1110" s="274">
        <v>21.2</v>
      </c>
      <c r="E1110" s="274">
        <v>4</v>
      </c>
      <c r="F1110" s="274">
        <v>5.4</v>
      </c>
      <c r="G1110" s="274">
        <v>313</v>
      </c>
      <c r="H1110" s="274">
        <v>1021.9</v>
      </c>
      <c r="I1110" s="274">
        <v>36983</v>
      </c>
      <c r="J1110" s="274">
        <v>0</v>
      </c>
      <c r="K1110" s="274">
        <v>0</v>
      </c>
      <c r="L1110" s="274">
        <v>0</v>
      </c>
      <c r="M1110" s="274">
        <v>65.3</v>
      </c>
      <c r="N1110" s="396">
        <v>599.79999999999995</v>
      </c>
      <c r="O1110" s="396">
        <v>32.9</v>
      </c>
      <c r="P1110" s="396">
        <v>25.4</v>
      </c>
      <c r="Q1110" s="397">
        <v>0.76458333333333295</v>
      </c>
      <c r="R1110" s="396"/>
      <c r="S1110" s="410"/>
      <c r="T1110" s="409"/>
      <c r="U1110" s="398" t="str">
        <f t="shared" si="50"/>
        <v/>
      </c>
      <c r="V1110" s="400"/>
      <c r="W1110" s="410">
        <f t="shared" si="49"/>
        <v>32.9</v>
      </c>
      <c r="X1110" s="472">
        <f t="shared" si="51"/>
        <v>60</v>
      </c>
      <c r="AT1110" s="232"/>
      <c r="AV1110" s="198"/>
      <c r="AW1110" s="274"/>
    </row>
    <row r="1111" spans="2:49" x14ac:dyDescent="0.25">
      <c r="B1111" s="274">
        <v>21.2</v>
      </c>
      <c r="C1111" s="274">
        <v>61</v>
      </c>
      <c r="D1111" s="274">
        <v>21.2</v>
      </c>
      <c r="E1111" s="274">
        <v>6.1</v>
      </c>
      <c r="F1111" s="274">
        <v>7.2</v>
      </c>
      <c r="G1111" s="274">
        <v>272</v>
      </c>
      <c r="H1111" s="274">
        <v>1021.9</v>
      </c>
      <c r="I1111" s="274">
        <v>36053</v>
      </c>
      <c r="J1111" s="274">
        <v>0</v>
      </c>
      <c r="K1111" s="274">
        <v>0</v>
      </c>
      <c r="L1111" s="274">
        <v>0</v>
      </c>
      <c r="M1111" s="274">
        <v>65.3</v>
      </c>
      <c r="N1111" s="396">
        <v>599.79999999999995</v>
      </c>
      <c r="O1111" s="396">
        <v>32.9</v>
      </c>
      <c r="P1111" s="396">
        <v>25.4</v>
      </c>
      <c r="Q1111" s="397">
        <v>0.76527777777777795</v>
      </c>
      <c r="R1111" s="396"/>
      <c r="S1111" s="410"/>
      <c r="T1111" s="409"/>
      <c r="U1111" s="398" t="str">
        <f t="shared" si="50"/>
        <v/>
      </c>
      <c r="V1111" s="400"/>
      <c r="W1111" s="410">
        <f t="shared" si="49"/>
        <v>32.9</v>
      </c>
      <c r="X1111" s="472">
        <f t="shared" si="51"/>
        <v>60</v>
      </c>
      <c r="AT1111" s="232"/>
      <c r="AV1111" s="198"/>
      <c r="AW1111" s="274"/>
    </row>
    <row r="1112" spans="2:49" x14ac:dyDescent="0.25">
      <c r="B1112" s="274">
        <v>21.5</v>
      </c>
      <c r="C1112" s="274">
        <v>59</v>
      </c>
      <c r="D1112" s="274">
        <v>21.5</v>
      </c>
      <c r="E1112" s="274">
        <v>4</v>
      </c>
      <c r="F1112" s="274">
        <v>5.4</v>
      </c>
      <c r="G1112" s="274">
        <v>250</v>
      </c>
      <c r="H1112" s="274">
        <v>1021.8</v>
      </c>
      <c r="I1112" s="274">
        <v>36487</v>
      </c>
      <c r="J1112" s="274">
        <v>0</v>
      </c>
      <c r="K1112" s="274">
        <v>0</v>
      </c>
      <c r="L1112" s="274">
        <v>0</v>
      </c>
      <c r="M1112" s="274">
        <v>65.3</v>
      </c>
      <c r="N1112" s="396">
        <v>599.79999999999995</v>
      </c>
      <c r="O1112" s="396">
        <v>32.9</v>
      </c>
      <c r="P1112" s="396">
        <v>25.3</v>
      </c>
      <c r="Q1112" s="397">
        <v>0.76597222222222205</v>
      </c>
      <c r="R1112" s="396"/>
      <c r="S1112" s="410"/>
      <c r="T1112" s="409"/>
      <c r="U1112" s="398" t="str">
        <f t="shared" si="50"/>
        <v/>
      </c>
      <c r="V1112" s="400"/>
      <c r="W1112" s="410">
        <f t="shared" si="49"/>
        <v>32.9</v>
      </c>
      <c r="X1112" s="472">
        <f t="shared" si="51"/>
        <v>60</v>
      </c>
      <c r="AT1112" s="232"/>
      <c r="AV1112" s="198"/>
      <c r="AW1112" s="274"/>
    </row>
    <row r="1113" spans="2:49" x14ac:dyDescent="0.25">
      <c r="B1113" s="274">
        <v>21.5</v>
      </c>
      <c r="C1113" s="274">
        <v>59</v>
      </c>
      <c r="D1113" s="274">
        <v>21.5</v>
      </c>
      <c r="E1113" s="274">
        <v>2.9</v>
      </c>
      <c r="F1113" s="274">
        <v>3.6</v>
      </c>
      <c r="G1113" s="274">
        <v>271</v>
      </c>
      <c r="H1113" s="274">
        <v>1021.9</v>
      </c>
      <c r="I1113" s="274">
        <v>36270</v>
      </c>
      <c r="J1113" s="274">
        <v>0</v>
      </c>
      <c r="K1113" s="274">
        <v>0</v>
      </c>
      <c r="L1113" s="274">
        <v>0</v>
      </c>
      <c r="M1113" s="274">
        <v>65.3</v>
      </c>
      <c r="N1113" s="396">
        <v>599.79999999999995</v>
      </c>
      <c r="O1113" s="396">
        <v>33</v>
      </c>
      <c r="P1113" s="396">
        <v>25.2</v>
      </c>
      <c r="Q1113" s="397">
        <v>0.76666666666666705</v>
      </c>
      <c r="R1113" s="396"/>
      <c r="S1113" s="410"/>
      <c r="T1113" s="409"/>
      <c r="U1113" s="398" t="str">
        <f t="shared" si="50"/>
        <v/>
      </c>
      <c r="V1113" s="400"/>
      <c r="W1113" s="410">
        <f t="shared" si="49"/>
        <v>33</v>
      </c>
      <c r="X1113" s="472">
        <f t="shared" si="51"/>
        <v>60</v>
      </c>
      <c r="AT1113" s="232"/>
      <c r="AV1113" s="198"/>
      <c r="AW1113" s="274"/>
    </row>
    <row r="1114" spans="2:49" x14ac:dyDescent="0.25">
      <c r="B1114" s="274">
        <v>21.6</v>
      </c>
      <c r="C1114" s="274">
        <v>59</v>
      </c>
      <c r="D1114" s="274">
        <v>21.6</v>
      </c>
      <c r="E1114" s="274">
        <v>1.8</v>
      </c>
      <c r="F1114" s="274">
        <v>3.6</v>
      </c>
      <c r="G1114" s="274">
        <v>312</v>
      </c>
      <c r="H1114" s="274">
        <v>1021.8</v>
      </c>
      <c r="I1114" s="274">
        <v>36161</v>
      </c>
      <c r="J1114" s="274">
        <v>0</v>
      </c>
      <c r="K1114" s="274">
        <v>0</v>
      </c>
      <c r="L1114" s="274">
        <v>0</v>
      </c>
      <c r="M1114" s="274">
        <v>65.3</v>
      </c>
      <c r="N1114" s="396">
        <v>599.79999999999995</v>
      </c>
      <c r="O1114" s="396">
        <v>33.1</v>
      </c>
      <c r="P1114" s="396">
        <v>25.2</v>
      </c>
      <c r="Q1114" s="397">
        <v>0.76736111111111105</v>
      </c>
      <c r="R1114" s="396"/>
      <c r="S1114" s="410"/>
      <c r="T1114" s="409"/>
      <c r="U1114" s="398" t="str">
        <f t="shared" si="50"/>
        <v/>
      </c>
      <c r="V1114" s="400"/>
      <c r="W1114" s="410">
        <f t="shared" si="49"/>
        <v>33.1</v>
      </c>
      <c r="X1114" s="472">
        <f t="shared" si="51"/>
        <v>60</v>
      </c>
      <c r="AT1114" s="232"/>
      <c r="AV1114" s="198"/>
      <c r="AW1114" s="274"/>
    </row>
    <row r="1115" spans="2:49" x14ac:dyDescent="0.25">
      <c r="B1115" s="274">
        <v>21.7</v>
      </c>
      <c r="C1115" s="274">
        <v>59</v>
      </c>
      <c r="D1115" s="274">
        <v>21.7</v>
      </c>
      <c r="E1115" s="274">
        <v>0.4</v>
      </c>
      <c r="F1115" s="274">
        <v>1.8</v>
      </c>
      <c r="G1115" s="274">
        <v>264</v>
      </c>
      <c r="H1115" s="274">
        <v>1021.9</v>
      </c>
      <c r="I1115" s="274">
        <v>35340</v>
      </c>
      <c r="J1115" s="274">
        <v>0</v>
      </c>
      <c r="K1115" s="274">
        <v>0</v>
      </c>
      <c r="L1115" s="274">
        <v>0</v>
      </c>
      <c r="M1115" s="274">
        <v>65.3</v>
      </c>
      <c r="N1115" s="396">
        <v>599.79999999999995</v>
      </c>
      <c r="O1115" s="396">
        <v>33.200000000000003</v>
      </c>
      <c r="P1115" s="396">
        <v>25.1</v>
      </c>
      <c r="Q1115" s="397">
        <v>0.76805555555555605</v>
      </c>
      <c r="R1115" s="396"/>
      <c r="S1115" s="410"/>
      <c r="T1115" s="409"/>
      <c r="U1115" s="398" t="str">
        <f t="shared" si="50"/>
        <v/>
      </c>
      <c r="V1115" s="400"/>
      <c r="W1115" s="410">
        <f t="shared" si="49"/>
        <v>33.200000000000003</v>
      </c>
      <c r="X1115" s="472">
        <f t="shared" si="51"/>
        <v>60</v>
      </c>
      <c r="AT1115" s="232"/>
      <c r="AV1115" s="198"/>
      <c r="AW1115" s="274"/>
    </row>
    <row r="1116" spans="2:49" x14ac:dyDescent="0.25">
      <c r="B1116" s="274">
        <v>21.7</v>
      </c>
      <c r="C1116" s="274">
        <v>59</v>
      </c>
      <c r="D1116" s="274">
        <v>21.7</v>
      </c>
      <c r="E1116" s="274">
        <v>4</v>
      </c>
      <c r="F1116" s="274">
        <v>7.2</v>
      </c>
      <c r="G1116" s="274">
        <v>259</v>
      </c>
      <c r="H1116" s="274">
        <v>1021.9</v>
      </c>
      <c r="I1116" s="274">
        <v>34952</v>
      </c>
      <c r="J1116" s="274">
        <v>0</v>
      </c>
      <c r="K1116" s="274">
        <v>0</v>
      </c>
      <c r="L1116" s="274">
        <v>0</v>
      </c>
      <c r="M1116" s="274">
        <v>65.3</v>
      </c>
      <c r="N1116" s="396">
        <v>599.79999999999995</v>
      </c>
      <c r="O1116" s="396">
        <v>33.299999999999997</v>
      </c>
      <c r="P1116" s="396">
        <v>25.1</v>
      </c>
      <c r="Q1116" s="397">
        <v>0.76875000000000004</v>
      </c>
      <c r="R1116" s="396"/>
      <c r="S1116" s="410"/>
      <c r="T1116" s="409"/>
      <c r="U1116" s="398" t="str">
        <f t="shared" si="50"/>
        <v/>
      </c>
      <c r="V1116" s="400"/>
      <c r="W1116" s="410">
        <f t="shared" si="49"/>
        <v>33.299999999999997</v>
      </c>
      <c r="X1116" s="472">
        <f t="shared" si="51"/>
        <v>60</v>
      </c>
      <c r="AT1116" s="232"/>
      <c r="AV1116" s="198"/>
      <c r="AW1116" s="274"/>
    </row>
    <row r="1117" spans="2:49" x14ac:dyDescent="0.25">
      <c r="B1117" s="274">
        <v>21.7</v>
      </c>
      <c r="C1117" s="274">
        <v>60</v>
      </c>
      <c r="D1117" s="274">
        <v>21.7</v>
      </c>
      <c r="E1117" s="274">
        <v>0.7</v>
      </c>
      <c r="F1117" s="274">
        <v>1.8</v>
      </c>
      <c r="G1117" s="274">
        <v>304</v>
      </c>
      <c r="H1117" s="274">
        <v>1021.9</v>
      </c>
      <c r="I1117" s="274">
        <v>34735</v>
      </c>
      <c r="J1117" s="274">
        <v>0</v>
      </c>
      <c r="K1117" s="274">
        <v>0</v>
      </c>
      <c r="L1117" s="274">
        <v>0</v>
      </c>
      <c r="M1117" s="274">
        <v>65.3</v>
      </c>
      <c r="N1117" s="396">
        <v>599.79999999999995</v>
      </c>
      <c r="O1117" s="396">
        <v>33.5</v>
      </c>
      <c r="P1117" s="396">
        <v>25</v>
      </c>
      <c r="Q1117" s="397">
        <v>0.76944444444444404</v>
      </c>
      <c r="R1117" s="396"/>
      <c r="S1117" s="410"/>
      <c r="T1117" s="409"/>
      <c r="U1117" s="398" t="str">
        <f t="shared" si="50"/>
        <v/>
      </c>
      <c r="V1117" s="400"/>
      <c r="W1117" s="410">
        <f t="shared" si="49"/>
        <v>33.5</v>
      </c>
      <c r="X1117" s="472">
        <f t="shared" si="51"/>
        <v>60</v>
      </c>
      <c r="AT1117" s="232"/>
      <c r="AV1117" s="198"/>
      <c r="AW1117" s="274"/>
    </row>
    <row r="1118" spans="2:49" x14ac:dyDescent="0.25">
      <c r="B1118" s="274">
        <v>21.7</v>
      </c>
      <c r="C1118" s="274">
        <v>59</v>
      </c>
      <c r="D1118" s="274">
        <v>21.7</v>
      </c>
      <c r="E1118" s="274">
        <v>4</v>
      </c>
      <c r="F1118" s="274">
        <v>5.4</v>
      </c>
      <c r="G1118" s="274">
        <v>271</v>
      </c>
      <c r="H1118" s="274">
        <v>1021.9</v>
      </c>
      <c r="I1118" s="274">
        <v>34782</v>
      </c>
      <c r="J1118" s="274">
        <v>0</v>
      </c>
      <c r="K1118" s="274">
        <v>0</v>
      </c>
      <c r="L1118" s="274">
        <v>0</v>
      </c>
      <c r="M1118" s="274">
        <v>65.3</v>
      </c>
      <c r="N1118" s="396">
        <v>599.79999999999995</v>
      </c>
      <c r="O1118" s="396">
        <v>33.6</v>
      </c>
      <c r="P1118" s="396">
        <v>25</v>
      </c>
      <c r="Q1118" s="397">
        <v>0.77013888888888904</v>
      </c>
      <c r="R1118" s="396"/>
      <c r="S1118" s="410"/>
      <c r="T1118" s="409"/>
      <c r="U1118" s="398" t="str">
        <f t="shared" si="50"/>
        <v/>
      </c>
      <c r="V1118" s="400"/>
      <c r="W1118" s="410">
        <f t="shared" si="49"/>
        <v>33.6</v>
      </c>
      <c r="X1118" s="472">
        <f t="shared" si="51"/>
        <v>60</v>
      </c>
      <c r="AT1118" s="232"/>
      <c r="AV1118" s="198"/>
      <c r="AW1118" s="274"/>
    </row>
    <row r="1119" spans="2:49" x14ac:dyDescent="0.25">
      <c r="B1119" s="274">
        <v>21.7</v>
      </c>
      <c r="C1119" s="274">
        <v>59</v>
      </c>
      <c r="D1119" s="274">
        <v>21.7</v>
      </c>
      <c r="E1119" s="274">
        <v>3.2</v>
      </c>
      <c r="F1119" s="274">
        <v>3.6</v>
      </c>
      <c r="G1119" s="274">
        <v>6</v>
      </c>
      <c r="H1119" s="274">
        <v>1021.8</v>
      </c>
      <c r="I1119" s="274">
        <v>33635</v>
      </c>
      <c r="J1119" s="274">
        <v>0</v>
      </c>
      <c r="K1119" s="274">
        <v>0</v>
      </c>
      <c r="L1119" s="274">
        <v>0</v>
      </c>
      <c r="M1119" s="274">
        <v>65.3</v>
      </c>
      <c r="N1119" s="396">
        <v>599.79999999999995</v>
      </c>
      <c r="O1119" s="396">
        <v>33.700000000000003</v>
      </c>
      <c r="P1119" s="396">
        <v>25</v>
      </c>
      <c r="Q1119" s="397">
        <v>0.77083333333333304</v>
      </c>
      <c r="R1119" s="396"/>
      <c r="S1119" s="410"/>
      <c r="T1119" s="409"/>
      <c r="U1119" s="398" t="str">
        <f t="shared" si="50"/>
        <v/>
      </c>
      <c r="V1119" s="400"/>
      <c r="W1119" s="410">
        <f t="shared" si="49"/>
        <v>33.700000000000003</v>
      </c>
      <c r="X1119" s="472">
        <f t="shared" si="51"/>
        <v>60</v>
      </c>
      <c r="AT1119" s="232"/>
      <c r="AV1119" s="198"/>
      <c r="AW1119" s="274"/>
    </row>
    <row r="1120" spans="2:49" x14ac:dyDescent="0.25">
      <c r="B1120" s="274">
        <v>21.7</v>
      </c>
      <c r="C1120" s="274">
        <v>59</v>
      </c>
      <c r="D1120" s="274">
        <v>21.7</v>
      </c>
      <c r="E1120" s="274">
        <v>1.4</v>
      </c>
      <c r="F1120" s="274">
        <v>1.8</v>
      </c>
      <c r="G1120" s="274">
        <v>305</v>
      </c>
      <c r="H1120" s="274">
        <v>1021.6</v>
      </c>
      <c r="I1120" s="274">
        <v>33030</v>
      </c>
      <c r="J1120" s="274">
        <v>0</v>
      </c>
      <c r="K1120" s="274">
        <v>0</v>
      </c>
      <c r="L1120" s="274">
        <v>0</v>
      </c>
      <c r="M1120" s="274">
        <v>65.3</v>
      </c>
      <c r="N1120" s="396">
        <v>599.79999999999995</v>
      </c>
      <c r="O1120" s="396">
        <v>33.700000000000003</v>
      </c>
      <c r="P1120" s="396">
        <v>25</v>
      </c>
      <c r="Q1120" s="397">
        <v>0.77152777777777803</v>
      </c>
      <c r="R1120" s="396"/>
      <c r="S1120" s="410"/>
      <c r="T1120" s="409"/>
      <c r="U1120" s="398" t="str">
        <f t="shared" si="50"/>
        <v/>
      </c>
      <c r="V1120" s="400"/>
      <c r="W1120" s="410">
        <f t="shared" si="49"/>
        <v>33.700000000000003</v>
      </c>
      <c r="X1120" s="472">
        <f t="shared" si="51"/>
        <v>60</v>
      </c>
      <c r="AT1120" s="232"/>
      <c r="AV1120" s="198"/>
      <c r="AW1120" s="274"/>
    </row>
    <row r="1121" spans="2:49" x14ac:dyDescent="0.25">
      <c r="B1121" s="274">
        <v>21.7</v>
      </c>
      <c r="C1121" s="274">
        <v>58</v>
      </c>
      <c r="D1121" s="274">
        <v>21.7</v>
      </c>
      <c r="E1121" s="274">
        <v>4.3</v>
      </c>
      <c r="F1121" s="274">
        <v>5.4</v>
      </c>
      <c r="G1121" s="274">
        <v>303</v>
      </c>
      <c r="H1121" s="274">
        <v>1021.8</v>
      </c>
      <c r="I1121" s="274">
        <v>9331</v>
      </c>
      <c r="J1121" s="274">
        <v>0</v>
      </c>
      <c r="K1121" s="274">
        <v>0</v>
      </c>
      <c r="L1121" s="274">
        <v>0</v>
      </c>
      <c r="M1121" s="274">
        <v>65.3</v>
      </c>
      <c r="N1121" s="396">
        <v>599.79999999999995</v>
      </c>
      <c r="O1121" s="396">
        <v>33.799999999999997</v>
      </c>
      <c r="P1121" s="396">
        <v>25</v>
      </c>
      <c r="Q1121" s="397">
        <v>0.77222222222222203</v>
      </c>
      <c r="R1121" s="396"/>
      <c r="S1121" s="410"/>
      <c r="T1121" s="409"/>
      <c r="U1121" s="398" t="str">
        <f t="shared" si="50"/>
        <v/>
      </c>
      <c r="V1121" s="400"/>
      <c r="W1121" s="410">
        <f t="shared" si="49"/>
        <v>33.799999999999997</v>
      </c>
      <c r="X1121" s="472">
        <f t="shared" si="51"/>
        <v>60</v>
      </c>
      <c r="AT1121" s="232"/>
      <c r="AV1121" s="198"/>
      <c r="AW1121" s="274"/>
    </row>
    <row r="1122" spans="2:49" x14ac:dyDescent="0.25">
      <c r="B1122" s="274">
        <v>21.8</v>
      </c>
      <c r="C1122" s="274">
        <v>57</v>
      </c>
      <c r="D1122" s="274">
        <v>21.8</v>
      </c>
      <c r="E1122" s="274">
        <v>2.9</v>
      </c>
      <c r="F1122" s="274">
        <v>3.6</v>
      </c>
      <c r="G1122" s="274">
        <v>280</v>
      </c>
      <c r="H1122" s="274">
        <v>1021.9</v>
      </c>
      <c r="I1122" s="274">
        <v>32147</v>
      </c>
      <c r="J1122" s="274">
        <v>0</v>
      </c>
      <c r="K1122" s="274">
        <v>0</v>
      </c>
      <c r="L1122" s="274">
        <v>0</v>
      </c>
      <c r="M1122" s="274">
        <v>65.3</v>
      </c>
      <c r="N1122" s="396">
        <v>599.79999999999995</v>
      </c>
      <c r="O1122" s="396">
        <v>33.799999999999997</v>
      </c>
      <c r="P1122" s="396">
        <v>25</v>
      </c>
      <c r="Q1122" s="397">
        <v>0.77291666666666703</v>
      </c>
      <c r="R1122" s="396"/>
      <c r="S1122" s="410"/>
      <c r="T1122" s="409"/>
      <c r="U1122" s="398" t="str">
        <f t="shared" si="50"/>
        <v/>
      </c>
      <c r="V1122" s="400"/>
      <c r="W1122" s="410">
        <f t="shared" si="49"/>
        <v>33.799999999999997</v>
      </c>
      <c r="X1122" s="472">
        <f t="shared" si="51"/>
        <v>60</v>
      </c>
      <c r="AT1122" s="232"/>
      <c r="AV1122" s="198"/>
      <c r="AW1122" s="274"/>
    </row>
    <row r="1123" spans="2:49" x14ac:dyDescent="0.25">
      <c r="B1123" s="274">
        <v>21.8</v>
      </c>
      <c r="C1123" s="274">
        <v>59</v>
      </c>
      <c r="D1123" s="274">
        <v>21.8</v>
      </c>
      <c r="E1123" s="274">
        <v>1.4</v>
      </c>
      <c r="F1123" s="274">
        <v>1.8</v>
      </c>
      <c r="G1123" s="274">
        <v>276</v>
      </c>
      <c r="H1123" s="274">
        <v>1021.7</v>
      </c>
      <c r="I1123" s="274">
        <v>31651</v>
      </c>
      <c r="J1123" s="274">
        <v>0</v>
      </c>
      <c r="K1123" s="274">
        <v>0</v>
      </c>
      <c r="L1123" s="274">
        <v>0</v>
      </c>
      <c r="M1123" s="274">
        <v>65.3</v>
      </c>
      <c r="N1123" s="396">
        <v>599.79999999999995</v>
      </c>
      <c r="O1123" s="396">
        <v>33.799999999999997</v>
      </c>
      <c r="P1123" s="396">
        <v>25</v>
      </c>
      <c r="Q1123" s="397">
        <v>0.77361111111111103</v>
      </c>
      <c r="R1123" s="396"/>
      <c r="S1123" s="410"/>
      <c r="T1123" s="409"/>
      <c r="U1123" s="398" t="str">
        <f t="shared" si="50"/>
        <v/>
      </c>
      <c r="V1123" s="400"/>
      <c r="W1123" s="410">
        <f t="shared" si="49"/>
        <v>33.799999999999997</v>
      </c>
      <c r="X1123" s="472">
        <f t="shared" si="51"/>
        <v>60</v>
      </c>
      <c r="AT1123" s="232"/>
      <c r="AV1123" s="198"/>
      <c r="AW1123" s="274"/>
    </row>
    <row r="1124" spans="2:49" x14ac:dyDescent="0.25">
      <c r="B1124" s="274">
        <v>21.8</v>
      </c>
      <c r="C1124" s="274">
        <v>58</v>
      </c>
      <c r="D1124" s="274">
        <v>21.8</v>
      </c>
      <c r="E1124" s="274">
        <v>4.7</v>
      </c>
      <c r="F1124" s="274">
        <v>5.4</v>
      </c>
      <c r="G1124" s="274">
        <v>298</v>
      </c>
      <c r="H1124" s="274">
        <v>1021.7</v>
      </c>
      <c r="I1124" s="274">
        <v>31108</v>
      </c>
      <c r="J1124" s="274">
        <v>0</v>
      </c>
      <c r="K1124" s="274">
        <v>0</v>
      </c>
      <c r="L1124" s="274">
        <v>0</v>
      </c>
      <c r="M1124" s="274">
        <v>65.3</v>
      </c>
      <c r="N1124" s="396">
        <v>599.79999999999995</v>
      </c>
      <c r="O1124" s="396">
        <v>33.9</v>
      </c>
      <c r="P1124" s="396">
        <v>24.9</v>
      </c>
      <c r="Q1124" s="397">
        <v>0.77430555555555602</v>
      </c>
      <c r="R1124" s="396"/>
      <c r="S1124" s="410"/>
      <c r="T1124" s="409"/>
      <c r="U1124" s="398" t="str">
        <f t="shared" si="50"/>
        <v/>
      </c>
      <c r="V1124" s="400"/>
      <c r="W1124" s="410">
        <f t="shared" si="49"/>
        <v>33.9</v>
      </c>
      <c r="X1124" s="472">
        <f t="shared" si="51"/>
        <v>60</v>
      </c>
      <c r="AT1124" s="232"/>
      <c r="AV1124" s="198"/>
      <c r="AW1124" s="274"/>
    </row>
    <row r="1125" spans="2:49" x14ac:dyDescent="0.25">
      <c r="B1125" s="274">
        <v>21.8</v>
      </c>
      <c r="C1125" s="274">
        <v>60</v>
      </c>
      <c r="D1125" s="274">
        <v>21.8</v>
      </c>
      <c r="E1125" s="274">
        <v>3.6</v>
      </c>
      <c r="F1125" s="274">
        <v>5.4</v>
      </c>
      <c r="G1125" s="274">
        <v>254</v>
      </c>
      <c r="H1125" s="274">
        <v>1021.7</v>
      </c>
      <c r="I1125" s="274">
        <v>30612</v>
      </c>
      <c r="J1125" s="274">
        <v>0</v>
      </c>
      <c r="K1125" s="274">
        <v>0</v>
      </c>
      <c r="L1125" s="274">
        <v>0</v>
      </c>
      <c r="M1125" s="274">
        <v>65.3</v>
      </c>
      <c r="N1125" s="396">
        <v>599.79999999999995</v>
      </c>
      <c r="O1125" s="396">
        <v>33.9</v>
      </c>
      <c r="P1125" s="396">
        <v>25</v>
      </c>
      <c r="Q1125" s="397">
        <v>0.77500000000000002</v>
      </c>
      <c r="R1125" s="396"/>
      <c r="S1125" s="410"/>
      <c r="T1125" s="409"/>
      <c r="U1125" s="398" t="str">
        <f t="shared" si="50"/>
        <v/>
      </c>
      <c r="V1125" s="400"/>
      <c r="W1125" s="410">
        <f t="shared" si="49"/>
        <v>33.9</v>
      </c>
      <c r="X1125" s="472">
        <f t="shared" si="51"/>
        <v>60</v>
      </c>
      <c r="AT1125" s="232"/>
      <c r="AV1125" s="198"/>
      <c r="AW1125" s="274"/>
    </row>
    <row r="1126" spans="2:49" x14ac:dyDescent="0.25">
      <c r="B1126" s="274">
        <v>21.5</v>
      </c>
      <c r="C1126" s="274">
        <v>60</v>
      </c>
      <c r="D1126" s="274">
        <v>21.5</v>
      </c>
      <c r="E1126" s="274">
        <v>3.2</v>
      </c>
      <c r="F1126" s="274">
        <v>3.6</v>
      </c>
      <c r="G1126" s="274">
        <v>277</v>
      </c>
      <c r="H1126" s="274">
        <v>1021.7</v>
      </c>
      <c r="I1126" s="274">
        <v>30008</v>
      </c>
      <c r="J1126" s="274">
        <v>0</v>
      </c>
      <c r="K1126" s="274">
        <v>0</v>
      </c>
      <c r="L1126" s="274">
        <v>0</v>
      </c>
      <c r="M1126" s="274">
        <v>65.3</v>
      </c>
      <c r="N1126" s="396">
        <v>599.79999999999995</v>
      </c>
      <c r="O1126" s="396">
        <v>33.9</v>
      </c>
      <c r="P1126" s="396">
        <v>25</v>
      </c>
      <c r="Q1126" s="397">
        <v>0.77569444444444402</v>
      </c>
      <c r="R1126" s="396"/>
      <c r="S1126" s="410"/>
      <c r="T1126" s="409"/>
      <c r="U1126" s="398" t="str">
        <f t="shared" si="50"/>
        <v/>
      </c>
      <c r="V1126" s="400"/>
      <c r="W1126" s="410">
        <f t="shared" si="49"/>
        <v>33.9</v>
      </c>
      <c r="X1126" s="472">
        <f t="shared" si="51"/>
        <v>60</v>
      </c>
      <c r="AT1126" s="232"/>
      <c r="AV1126" s="198"/>
      <c r="AW1126" s="274"/>
    </row>
    <row r="1127" spans="2:49" x14ac:dyDescent="0.25">
      <c r="B1127" s="274">
        <v>21.3</v>
      </c>
      <c r="C1127" s="274">
        <v>60</v>
      </c>
      <c r="D1127" s="274">
        <v>21.3</v>
      </c>
      <c r="E1127" s="274">
        <v>2.9</v>
      </c>
      <c r="F1127" s="274">
        <v>3.6</v>
      </c>
      <c r="G1127" s="274">
        <v>269</v>
      </c>
      <c r="H1127" s="274">
        <v>1021.8</v>
      </c>
      <c r="I1127" s="274">
        <v>29837</v>
      </c>
      <c r="J1127" s="274">
        <v>0</v>
      </c>
      <c r="K1127" s="274">
        <v>0</v>
      </c>
      <c r="L1127" s="274">
        <v>0</v>
      </c>
      <c r="M1127" s="274">
        <v>65.3</v>
      </c>
      <c r="N1127" s="396">
        <v>599.79999999999995</v>
      </c>
      <c r="O1127" s="396">
        <v>33.9</v>
      </c>
      <c r="P1127" s="396">
        <v>25.1</v>
      </c>
      <c r="Q1127" s="397">
        <v>0.77638888888888902</v>
      </c>
      <c r="R1127" s="396"/>
      <c r="S1127" s="410"/>
      <c r="T1127" s="409"/>
      <c r="U1127" s="398" t="str">
        <f t="shared" si="50"/>
        <v/>
      </c>
      <c r="V1127" s="400"/>
      <c r="W1127" s="410">
        <f t="shared" si="49"/>
        <v>33.9</v>
      </c>
      <c r="X1127" s="472">
        <f t="shared" si="51"/>
        <v>60</v>
      </c>
      <c r="AT1127" s="232"/>
      <c r="AV1127" s="198"/>
      <c r="AW1127" s="274"/>
    </row>
    <row r="1128" spans="2:49" x14ac:dyDescent="0.25">
      <c r="B1128" s="274">
        <v>21.4</v>
      </c>
      <c r="C1128" s="274">
        <v>59</v>
      </c>
      <c r="D1128" s="274">
        <v>21.4</v>
      </c>
      <c r="E1128" s="274">
        <v>2.2000000000000002</v>
      </c>
      <c r="F1128" s="274">
        <v>3.6</v>
      </c>
      <c r="G1128" s="274">
        <v>279</v>
      </c>
      <c r="H1128" s="274">
        <v>1021.7</v>
      </c>
      <c r="I1128" s="274">
        <v>29512</v>
      </c>
      <c r="J1128" s="274">
        <v>0</v>
      </c>
      <c r="K1128" s="274">
        <v>0</v>
      </c>
      <c r="L1128" s="274">
        <v>0</v>
      </c>
      <c r="M1128" s="274">
        <v>65.3</v>
      </c>
      <c r="N1128" s="396">
        <v>599.79999999999995</v>
      </c>
      <c r="O1128" s="396">
        <v>33.799999999999997</v>
      </c>
      <c r="P1128" s="396">
        <v>25.1</v>
      </c>
      <c r="Q1128" s="397">
        <v>0.77708333333333302</v>
      </c>
      <c r="R1128" s="396"/>
      <c r="S1128" s="410"/>
      <c r="T1128" s="409"/>
      <c r="U1128" s="398" t="str">
        <f t="shared" si="50"/>
        <v/>
      </c>
      <c r="V1128" s="400"/>
      <c r="W1128" s="410">
        <f t="shared" si="49"/>
        <v>33.799999999999997</v>
      </c>
      <c r="X1128" s="472">
        <f t="shared" si="51"/>
        <v>60</v>
      </c>
      <c r="AT1128" s="232"/>
      <c r="AV1128" s="198"/>
      <c r="AW1128" s="274"/>
    </row>
    <row r="1129" spans="2:49" x14ac:dyDescent="0.25">
      <c r="B1129" s="274">
        <v>21.5</v>
      </c>
      <c r="C1129" s="274">
        <v>58</v>
      </c>
      <c r="D1129" s="274">
        <v>21.5</v>
      </c>
      <c r="E1129" s="274">
        <v>4.7</v>
      </c>
      <c r="F1129" s="274">
        <v>5.4</v>
      </c>
      <c r="G1129" s="274">
        <v>259</v>
      </c>
      <c r="H1129" s="274">
        <v>1021.7</v>
      </c>
      <c r="I1129" s="274">
        <v>28737</v>
      </c>
      <c r="J1129" s="274">
        <v>0</v>
      </c>
      <c r="K1129" s="274">
        <v>0</v>
      </c>
      <c r="L1129" s="274">
        <v>0</v>
      </c>
      <c r="M1129" s="274">
        <v>65.3</v>
      </c>
      <c r="N1129" s="396">
        <v>599.79999999999995</v>
      </c>
      <c r="O1129" s="396">
        <v>33.799999999999997</v>
      </c>
      <c r="P1129" s="396">
        <v>25.2</v>
      </c>
      <c r="Q1129" s="397">
        <v>0.77777777777777801</v>
      </c>
      <c r="R1129" s="396"/>
      <c r="S1129" s="410"/>
      <c r="T1129" s="409"/>
      <c r="U1129" s="398" t="str">
        <f t="shared" si="50"/>
        <v/>
      </c>
      <c r="V1129" s="400"/>
      <c r="W1129" s="410">
        <f t="shared" si="49"/>
        <v>33.799999999999997</v>
      </c>
      <c r="X1129" s="472">
        <f t="shared" si="51"/>
        <v>60</v>
      </c>
      <c r="AT1129" s="232"/>
      <c r="AV1129" s="198"/>
      <c r="AW1129" s="274"/>
    </row>
    <row r="1130" spans="2:49" x14ac:dyDescent="0.25">
      <c r="B1130" s="274">
        <v>21.5</v>
      </c>
      <c r="C1130" s="274">
        <v>59</v>
      </c>
      <c r="D1130" s="274">
        <v>21.5</v>
      </c>
      <c r="E1130" s="274">
        <v>4.3</v>
      </c>
      <c r="F1130" s="274">
        <v>5.4</v>
      </c>
      <c r="G1130" s="274">
        <v>279</v>
      </c>
      <c r="H1130" s="274">
        <v>1021.7</v>
      </c>
      <c r="I1130" s="274">
        <v>8354</v>
      </c>
      <c r="J1130" s="274">
        <v>0</v>
      </c>
      <c r="K1130" s="274">
        <v>0</v>
      </c>
      <c r="L1130" s="274">
        <v>0</v>
      </c>
      <c r="M1130" s="274">
        <v>65.3</v>
      </c>
      <c r="N1130" s="396">
        <v>599.79999999999995</v>
      </c>
      <c r="O1130" s="396">
        <v>33.700000000000003</v>
      </c>
      <c r="P1130" s="396">
        <v>25.2</v>
      </c>
      <c r="Q1130" s="397">
        <v>0.77847222222222201</v>
      </c>
      <c r="R1130" s="396"/>
      <c r="S1130" s="410"/>
      <c r="T1130" s="409"/>
      <c r="U1130" s="398" t="str">
        <f t="shared" si="50"/>
        <v/>
      </c>
      <c r="V1130" s="400"/>
      <c r="W1130" s="410">
        <f t="shared" si="49"/>
        <v>33.700000000000003</v>
      </c>
      <c r="X1130" s="472">
        <f t="shared" si="51"/>
        <v>60</v>
      </c>
      <c r="AT1130" s="232"/>
      <c r="AV1130" s="198"/>
      <c r="AW1130" s="274"/>
    </row>
    <row r="1131" spans="2:49" x14ac:dyDescent="0.25">
      <c r="B1131" s="274">
        <v>21.5</v>
      </c>
      <c r="C1131" s="274">
        <v>59</v>
      </c>
      <c r="D1131" s="274">
        <v>21.5</v>
      </c>
      <c r="E1131" s="274">
        <v>6.1</v>
      </c>
      <c r="F1131" s="274">
        <v>9.4</v>
      </c>
      <c r="G1131" s="274">
        <v>278</v>
      </c>
      <c r="H1131" s="274">
        <v>1021.7</v>
      </c>
      <c r="I1131" s="274">
        <v>8835</v>
      </c>
      <c r="J1131" s="274">
        <v>0</v>
      </c>
      <c r="K1131" s="274">
        <v>0</v>
      </c>
      <c r="L1131" s="274">
        <v>0</v>
      </c>
      <c r="M1131" s="274">
        <v>65.3</v>
      </c>
      <c r="N1131" s="396">
        <v>599.79999999999995</v>
      </c>
      <c r="O1131" s="396">
        <v>33.700000000000003</v>
      </c>
      <c r="P1131" s="396">
        <v>25.3</v>
      </c>
      <c r="Q1131" s="397">
        <v>0.77916666666666701</v>
      </c>
      <c r="R1131" s="396"/>
      <c r="S1131" s="410"/>
      <c r="T1131" s="409"/>
      <c r="U1131" s="398" t="str">
        <f t="shared" si="50"/>
        <v/>
      </c>
      <c r="V1131" s="400"/>
      <c r="W1131" s="410">
        <f t="shared" si="49"/>
        <v>33.700000000000003</v>
      </c>
      <c r="X1131" s="472">
        <f t="shared" si="51"/>
        <v>60</v>
      </c>
      <c r="AT1131" s="232"/>
      <c r="AV1131" s="198"/>
      <c r="AW1131" s="274"/>
    </row>
    <row r="1132" spans="2:49" x14ac:dyDescent="0.25">
      <c r="B1132" s="274">
        <v>21.3</v>
      </c>
      <c r="C1132" s="274">
        <v>59</v>
      </c>
      <c r="D1132" s="274">
        <v>21.3</v>
      </c>
      <c r="E1132" s="274">
        <v>5.4</v>
      </c>
      <c r="F1132" s="274">
        <v>7.2</v>
      </c>
      <c r="G1132" s="274">
        <v>272</v>
      </c>
      <c r="H1132" s="274">
        <v>1021.7</v>
      </c>
      <c r="I1132" s="274">
        <v>28520</v>
      </c>
      <c r="J1132" s="274">
        <v>0</v>
      </c>
      <c r="K1132" s="274">
        <v>0</v>
      </c>
      <c r="L1132" s="274">
        <v>0</v>
      </c>
      <c r="M1132" s="274">
        <v>65.3</v>
      </c>
      <c r="N1132" s="396">
        <v>599.79999999999995</v>
      </c>
      <c r="O1132" s="396">
        <v>33.700000000000003</v>
      </c>
      <c r="P1132" s="396">
        <v>25.3</v>
      </c>
      <c r="Q1132" s="397">
        <v>0.77986111111111101</v>
      </c>
      <c r="R1132" s="396"/>
      <c r="S1132" s="410"/>
      <c r="T1132" s="409"/>
      <c r="U1132" s="398" t="str">
        <f t="shared" si="50"/>
        <v/>
      </c>
      <c r="V1132" s="400"/>
      <c r="W1132" s="410">
        <f t="shared" si="49"/>
        <v>33.700000000000003</v>
      </c>
      <c r="X1132" s="472">
        <f t="shared" si="51"/>
        <v>60</v>
      </c>
      <c r="AT1132" s="232"/>
      <c r="AV1132" s="198"/>
      <c r="AW1132" s="274"/>
    </row>
    <row r="1133" spans="2:49" x14ac:dyDescent="0.25">
      <c r="B1133" s="274">
        <v>21.2</v>
      </c>
      <c r="C1133" s="274">
        <v>60</v>
      </c>
      <c r="D1133" s="274">
        <v>21.2</v>
      </c>
      <c r="E1133" s="274">
        <v>3.6</v>
      </c>
      <c r="F1133" s="274">
        <v>5.4</v>
      </c>
      <c r="G1133" s="274">
        <v>312</v>
      </c>
      <c r="H1133" s="274">
        <v>1021.6</v>
      </c>
      <c r="I1133" s="274">
        <v>29512</v>
      </c>
      <c r="J1133" s="274">
        <v>0</v>
      </c>
      <c r="K1133" s="274">
        <v>0</v>
      </c>
      <c r="L1133" s="274">
        <v>0</v>
      </c>
      <c r="M1133" s="274">
        <v>65.3</v>
      </c>
      <c r="N1133" s="396">
        <v>599.79999999999995</v>
      </c>
      <c r="O1133" s="396">
        <v>33.6</v>
      </c>
      <c r="P1133" s="396">
        <v>25.3</v>
      </c>
      <c r="Q1133" s="397">
        <v>0.780555555555556</v>
      </c>
      <c r="R1133" s="396"/>
      <c r="S1133" s="410"/>
      <c r="T1133" s="409"/>
      <c r="U1133" s="398" t="str">
        <f t="shared" si="50"/>
        <v/>
      </c>
      <c r="V1133" s="400"/>
      <c r="W1133" s="410">
        <f t="shared" si="49"/>
        <v>33.6</v>
      </c>
      <c r="X1133" s="472">
        <f t="shared" si="51"/>
        <v>60</v>
      </c>
      <c r="AT1133" s="232"/>
      <c r="AV1133" s="198"/>
      <c r="AW1133" s="274"/>
    </row>
    <row r="1134" spans="2:49" x14ac:dyDescent="0.25">
      <c r="B1134" s="274">
        <v>21.2</v>
      </c>
      <c r="C1134" s="274">
        <v>59</v>
      </c>
      <c r="D1134" s="274">
        <v>21.2</v>
      </c>
      <c r="E1134" s="274">
        <v>3.6</v>
      </c>
      <c r="F1134" s="274">
        <v>5.4</v>
      </c>
      <c r="G1134" s="274">
        <v>288</v>
      </c>
      <c r="H1134" s="274">
        <v>1021.7</v>
      </c>
      <c r="I1134" s="274">
        <v>28845</v>
      </c>
      <c r="J1134" s="274">
        <v>0</v>
      </c>
      <c r="K1134" s="274">
        <v>0</v>
      </c>
      <c r="L1134" s="274">
        <v>0</v>
      </c>
      <c r="M1134" s="274">
        <v>65.3</v>
      </c>
      <c r="N1134" s="396">
        <v>599.79999999999995</v>
      </c>
      <c r="O1134" s="396">
        <v>33.5</v>
      </c>
      <c r="P1134" s="396">
        <v>25.4</v>
      </c>
      <c r="Q1134" s="397">
        <v>0.78125</v>
      </c>
      <c r="R1134" s="396"/>
      <c r="S1134" s="410"/>
      <c r="T1134" s="409"/>
      <c r="U1134" s="398" t="str">
        <f t="shared" si="50"/>
        <v/>
      </c>
      <c r="V1134" s="400"/>
      <c r="W1134" s="410">
        <f t="shared" si="49"/>
        <v>33.5</v>
      </c>
      <c r="X1134" s="472">
        <f t="shared" si="51"/>
        <v>60</v>
      </c>
      <c r="AT1134" s="232"/>
      <c r="AV1134" s="198"/>
      <c r="AW1134" s="274"/>
    </row>
    <row r="1135" spans="2:49" x14ac:dyDescent="0.25">
      <c r="B1135" s="274">
        <v>21.3</v>
      </c>
      <c r="C1135" s="274">
        <v>60</v>
      </c>
      <c r="D1135" s="274">
        <v>21.3</v>
      </c>
      <c r="E1135" s="274">
        <v>4</v>
      </c>
      <c r="F1135" s="274">
        <v>5.4</v>
      </c>
      <c r="G1135" s="274">
        <v>263</v>
      </c>
      <c r="H1135" s="274">
        <v>1021.8</v>
      </c>
      <c r="I1135" s="274">
        <v>10168</v>
      </c>
      <c r="J1135" s="274">
        <v>0</v>
      </c>
      <c r="K1135" s="274">
        <v>0</v>
      </c>
      <c r="L1135" s="274">
        <v>0</v>
      </c>
      <c r="M1135" s="274">
        <v>65.3</v>
      </c>
      <c r="N1135" s="396">
        <v>599.79999999999995</v>
      </c>
      <c r="O1135" s="396">
        <v>33.4</v>
      </c>
      <c r="P1135" s="396">
        <v>25.4</v>
      </c>
      <c r="Q1135" s="397">
        <v>0.781944444444444</v>
      </c>
      <c r="R1135" s="396"/>
      <c r="S1135" s="410"/>
      <c r="T1135" s="409"/>
      <c r="U1135" s="398" t="str">
        <f t="shared" si="50"/>
        <v/>
      </c>
      <c r="V1135" s="400"/>
      <c r="W1135" s="410">
        <f t="shared" si="49"/>
        <v>33.4</v>
      </c>
      <c r="X1135" s="472">
        <f t="shared" si="51"/>
        <v>60</v>
      </c>
      <c r="AT1135" s="232"/>
      <c r="AV1135" s="198"/>
      <c r="AW1135" s="274"/>
    </row>
    <row r="1136" spans="2:49" x14ac:dyDescent="0.25">
      <c r="B1136" s="274">
        <v>21.3</v>
      </c>
      <c r="C1136" s="274">
        <v>59</v>
      </c>
      <c r="D1136" s="274">
        <v>21.3</v>
      </c>
      <c r="E1136" s="274">
        <v>3.6</v>
      </c>
      <c r="F1136" s="274">
        <v>5.4</v>
      </c>
      <c r="G1136" s="274">
        <v>278</v>
      </c>
      <c r="H1136" s="274">
        <v>1021.8</v>
      </c>
      <c r="I1136" s="274">
        <v>24226</v>
      </c>
      <c r="J1136" s="274">
        <v>0</v>
      </c>
      <c r="K1136" s="274">
        <v>0</v>
      </c>
      <c r="L1136" s="274">
        <v>0</v>
      </c>
      <c r="M1136" s="274">
        <v>65.3</v>
      </c>
      <c r="N1136" s="396">
        <v>599.79999999999995</v>
      </c>
      <c r="O1136" s="396">
        <v>33.299999999999997</v>
      </c>
      <c r="P1136" s="396">
        <v>25.5</v>
      </c>
      <c r="Q1136" s="397">
        <v>0.78263888888888899</v>
      </c>
      <c r="R1136" s="396"/>
      <c r="S1136" s="410"/>
      <c r="T1136" s="409"/>
      <c r="U1136" s="398" t="str">
        <f t="shared" si="50"/>
        <v/>
      </c>
      <c r="V1136" s="400"/>
      <c r="W1136" s="410">
        <f t="shared" si="49"/>
        <v>33.299999999999997</v>
      </c>
      <c r="X1136" s="472">
        <f t="shared" si="51"/>
        <v>60</v>
      </c>
      <c r="AT1136" s="232"/>
      <c r="AV1136" s="198"/>
      <c r="AW1136" s="274"/>
    </row>
    <row r="1137" spans="2:49" x14ac:dyDescent="0.25">
      <c r="B1137" s="274">
        <v>21.2</v>
      </c>
      <c r="C1137" s="274">
        <v>60</v>
      </c>
      <c r="D1137" s="274">
        <v>21.2</v>
      </c>
      <c r="E1137" s="274">
        <v>0.4</v>
      </c>
      <c r="F1137" s="274">
        <v>1.8</v>
      </c>
      <c r="G1137" s="274">
        <v>325</v>
      </c>
      <c r="H1137" s="274">
        <v>1021.8</v>
      </c>
      <c r="I1137" s="274">
        <v>23963</v>
      </c>
      <c r="J1137" s="274">
        <v>0</v>
      </c>
      <c r="K1137" s="274">
        <v>0</v>
      </c>
      <c r="L1137" s="274">
        <v>0</v>
      </c>
      <c r="M1137" s="274">
        <v>65.3</v>
      </c>
      <c r="N1137" s="396">
        <v>599.79999999999995</v>
      </c>
      <c r="O1137" s="396">
        <v>33.200000000000003</v>
      </c>
      <c r="P1137" s="396">
        <v>25.5</v>
      </c>
      <c r="Q1137" s="397">
        <v>0.78333333333333299</v>
      </c>
      <c r="R1137" s="396"/>
      <c r="S1137" s="410"/>
      <c r="T1137" s="409"/>
      <c r="U1137" s="398" t="str">
        <f t="shared" si="50"/>
        <v/>
      </c>
      <c r="V1137" s="400"/>
      <c r="W1137" s="410">
        <f t="shared" si="49"/>
        <v>33.200000000000003</v>
      </c>
      <c r="X1137" s="472">
        <f t="shared" si="51"/>
        <v>60</v>
      </c>
      <c r="AT1137" s="232"/>
      <c r="AV1137" s="198"/>
      <c r="AW1137" s="274"/>
    </row>
    <row r="1138" spans="2:49" x14ac:dyDescent="0.25">
      <c r="B1138" s="274">
        <v>21.2</v>
      </c>
      <c r="C1138" s="274">
        <v>59</v>
      </c>
      <c r="D1138" s="274">
        <v>21.2</v>
      </c>
      <c r="E1138" s="274">
        <v>5.4</v>
      </c>
      <c r="F1138" s="274">
        <v>7.2</v>
      </c>
      <c r="G1138" s="274">
        <v>263</v>
      </c>
      <c r="H1138" s="274">
        <v>1021.7</v>
      </c>
      <c r="I1138" s="274">
        <v>27311</v>
      </c>
      <c r="J1138" s="274">
        <v>0</v>
      </c>
      <c r="K1138" s="274">
        <v>0</v>
      </c>
      <c r="L1138" s="274">
        <v>0</v>
      </c>
      <c r="M1138" s="274">
        <v>65.3</v>
      </c>
      <c r="N1138" s="396">
        <v>599.79999999999995</v>
      </c>
      <c r="O1138" s="396">
        <v>33.1</v>
      </c>
      <c r="P1138" s="396">
        <v>25.5</v>
      </c>
      <c r="Q1138" s="397">
        <v>0.78402777777777799</v>
      </c>
      <c r="R1138" s="396"/>
      <c r="S1138" s="410"/>
      <c r="T1138" s="409"/>
      <c r="U1138" s="398" t="str">
        <f t="shared" si="50"/>
        <v/>
      </c>
      <c r="V1138" s="400"/>
      <c r="W1138" s="410">
        <f t="shared" ref="W1138:W1201" si="52">MAX(O1138:P1138)</f>
        <v>33.1</v>
      </c>
      <c r="X1138" s="472">
        <f t="shared" si="51"/>
        <v>60</v>
      </c>
      <c r="AT1138" s="232"/>
      <c r="AV1138" s="198"/>
      <c r="AW1138" s="274"/>
    </row>
    <row r="1139" spans="2:49" x14ac:dyDescent="0.25">
      <c r="B1139" s="274">
        <v>21.2</v>
      </c>
      <c r="C1139" s="274">
        <v>61</v>
      </c>
      <c r="D1139" s="274">
        <v>21.2</v>
      </c>
      <c r="E1139" s="274">
        <v>3.6</v>
      </c>
      <c r="F1139" s="274">
        <v>5.4</v>
      </c>
      <c r="G1139" s="274">
        <v>279</v>
      </c>
      <c r="H1139" s="274">
        <v>1021.7</v>
      </c>
      <c r="I1139" s="274">
        <v>26536</v>
      </c>
      <c r="J1139" s="274">
        <v>0</v>
      </c>
      <c r="K1139" s="274">
        <v>0</v>
      </c>
      <c r="L1139" s="274">
        <v>0</v>
      </c>
      <c r="M1139" s="274">
        <v>65.3</v>
      </c>
      <c r="N1139" s="396">
        <v>599.79999999999995</v>
      </c>
      <c r="O1139" s="396">
        <v>33.1</v>
      </c>
      <c r="P1139" s="396">
        <v>25.4</v>
      </c>
      <c r="Q1139" s="397">
        <v>0.78472222222222199</v>
      </c>
      <c r="R1139" s="396"/>
      <c r="S1139" s="410"/>
      <c r="T1139" s="409"/>
      <c r="U1139" s="398" t="str">
        <f t="shared" si="50"/>
        <v/>
      </c>
      <c r="V1139" s="400"/>
      <c r="W1139" s="410">
        <f t="shared" si="52"/>
        <v>33.1</v>
      </c>
      <c r="X1139" s="472">
        <f t="shared" si="51"/>
        <v>60</v>
      </c>
      <c r="AT1139" s="232"/>
      <c r="AV1139" s="198"/>
      <c r="AW1139" s="274"/>
    </row>
    <row r="1140" spans="2:49" x14ac:dyDescent="0.25">
      <c r="B1140" s="274">
        <v>21.3</v>
      </c>
      <c r="C1140" s="274">
        <v>60</v>
      </c>
      <c r="D1140" s="274">
        <v>21.3</v>
      </c>
      <c r="E1140" s="274">
        <v>0.7</v>
      </c>
      <c r="F1140" s="274">
        <v>1.8</v>
      </c>
      <c r="G1140" s="274">
        <v>282</v>
      </c>
      <c r="H1140" s="274">
        <v>1021.6</v>
      </c>
      <c r="I1140" s="274">
        <v>27140</v>
      </c>
      <c r="J1140" s="274">
        <v>0</v>
      </c>
      <c r="K1140" s="274">
        <v>0</v>
      </c>
      <c r="L1140" s="274">
        <v>0</v>
      </c>
      <c r="M1140" s="274">
        <v>65.3</v>
      </c>
      <c r="N1140" s="396">
        <v>599.79999999999995</v>
      </c>
      <c r="O1140" s="396">
        <v>33</v>
      </c>
      <c r="P1140" s="396">
        <v>25.4</v>
      </c>
      <c r="Q1140" s="397">
        <v>0.78541666666666698</v>
      </c>
      <c r="R1140" s="396"/>
      <c r="S1140" s="410"/>
      <c r="T1140" s="409"/>
      <c r="U1140" s="398" t="str">
        <f t="shared" si="50"/>
        <v/>
      </c>
      <c r="V1140" s="400"/>
      <c r="W1140" s="410">
        <f t="shared" si="52"/>
        <v>33</v>
      </c>
      <c r="X1140" s="472">
        <f t="shared" si="51"/>
        <v>60</v>
      </c>
      <c r="AT1140" s="232"/>
      <c r="AV1140" s="198"/>
      <c r="AW1140" s="274"/>
    </row>
    <row r="1141" spans="2:49" x14ac:dyDescent="0.25">
      <c r="B1141" s="274">
        <v>21.4</v>
      </c>
      <c r="C1141" s="274">
        <v>60</v>
      </c>
      <c r="D1141" s="274">
        <v>21.4</v>
      </c>
      <c r="E1141" s="274">
        <v>0.4</v>
      </c>
      <c r="F1141" s="274">
        <v>1.8</v>
      </c>
      <c r="G1141" s="274">
        <v>281</v>
      </c>
      <c r="H1141" s="274">
        <v>1021.6</v>
      </c>
      <c r="I1141" s="274">
        <v>8230</v>
      </c>
      <c r="J1141" s="274">
        <v>0</v>
      </c>
      <c r="K1141" s="274">
        <v>0</v>
      </c>
      <c r="L1141" s="274">
        <v>0</v>
      </c>
      <c r="M1141" s="274">
        <v>65.3</v>
      </c>
      <c r="N1141" s="396">
        <v>599.79999999999995</v>
      </c>
      <c r="O1141" s="396">
        <v>32.9</v>
      </c>
      <c r="P1141" s="396">
        <v>25.4</v>
      </c>
      <c r="Q1141" s="397">
        <v>0.78611111111111098</v>
      </c>
      <c r="R1141" s="396"/>
      <c r="S1141" s="410"/>
      <c r="T1141" s="409"/>
      <c r="U1141" s="398" t="str">
        <f t="shared" si="50"/>
        <v/>
      </c>
      <c r="V1141" s="400"/>
      <c r="W1141" s="410">
        <f t="shared" si="52"/>
        <v>32.9</v>
      </c>
      <c r="X1141" s="472">
        <f t="shared" si="51"/>
        <v>60</v>
      </c>
      <c r="AT1141" s="232"/>
      <c r="AV1141" s="198"/>
      <c r="AW1141" s="274"/>
    </row>
    <row r="1142" spans="2:49" x14ac:dyDescent="0.25">
      <c r="B1142" s="274">
        <v>21.8</v>
      </c>
      <c r="C1142" s="274">
        <v>58</v>
      </c>
      <c r="D1142" s="274">
        <v>21.8</v>
      </c>
      <c r="E1142" s="274">
        <v>3.2</v>
      </c>
      <c r="F1142" s="274">
        <v>5.4</v>
      </c>
      <c r="G1142" s="274">
        <v>249</v>
      </c>
      <c r="H1142" s="274">
        <v>1021.6</v>
      </c>
      <c r="I1142" s="274">
        <v>8013</v>
      </c>
      <c r="J1142" s="274">
        <v>0</v>
      </c>
      <c r="K1142" s="274">
        <v>0</v>
      </c>
      <c r="L1142" s="274">
        <v>0</v>
      </c>
      <c r="M1142" s="274">
        <v>65.3</v>
      </c>
      <c r="N1142" s="396">
        <v>599.79999999999995</v>
      </c>
      <c r="O1142" s="396">
        <v>33</v>
      </c>
      <c r="P1142" s="396">
        <v>25.4</v>
      </c>
      <c r="Q1142" s="397">
        <v>0.78680555555555598</v>
      </c>
      <c r="R1142" s="396"/>
      <c r="S1142" s="410"/>
      <c r="T1142" s="409"/>
      <c r="U1142" s="398" t="str">
        <f t="shared" si="50"/>
        <v/>
      </c>
      <c r="V1142" s="400"/>
      <c r="W1142" s="410">
        <f t="shared" si="52"/>
        <v>33</v>
      </c>
      <c r="X1142" s="472">
        <f t="shared" si="51"/>
        <v>60</v>
      </c>
      <c r="AT1142" s="232"/>
      <c r="AV1142" s="198"/>
      <c r="AW1142" s="274"/>
    </row>
    <row r="1143" spans="2:49" x14ac:dyDescent="0.25">
      <c r="B1143" s="274">
        <v>21.9</v>
      </c>
      <c r="C1143" s="274">
        <v>58</v>
      </c>
      <c r="D1143" s="274">
        <v>21.9</v>
      </c>
      <c r="E1143" s="274">
        <v>8.6</v>
      </c>
      <c r="F1143" s="274">
        <v>13</v>
      </c>
      <c r="G1143" s="274">
        <v>268</v>
      </c>
      <c r="H1143" s="274">
        <v>1021.7</v>
      </c>
      <c r="I1143" s="274">
        <v>25497</v>
      </c>
      <c r="J1143" s="274">
        <v>0</v>
      </c>
      <c r="K1143" s="274">
        <v>0</v>
      </c>
      <c r="L1143" s="274">
        <v>0</v>
      </c>
      <c r="M1143" s="274">
        <v>65.3</v>
      </c>
      <c r="N1143" s="396">
        <v>599.79999999999995</v>
      </c>
      <c r="O1143" s="396">
        <v>33.1</v>
      </c>
      <c r="P1143" s="396">
        <v>25.4</v>
      </c>
      <c r="Q1143" s="397">
        <v>0.78749999999999998</v>
      </c>
      <c r="R1143" s="396"/>
      <c r="S1143" s="410"/>
      <c r="T1143" s="409"/>
      <c r="U1143" s="398" t="str">
        <f t="shared" si="50"/>
        <v/>
      </c>
      <c r="V1143" s="400"/>
      <c r="W1143" s="410">
        <f t="shared" si="52"/>
        <v>33.1</v>
      </c>
      <c r="X1143" s="472">
        <f t="shared" si="51"/>
        <v>60</v>
      </c>
      <c r="AT1143" s="232"/>
      <c r="AV1143" s="198"/>
      <c r="AW1143" s="274"/>
    </row>
    <row r="1144" spans="2:49" x14ac:dyDescent="0.25">
      <c r="B1144" s="274">
        <v>21.9</v>
      </c>
      <c r="C1144" s="274">
        <v>59</v>
      </c>
      <c r="D1144" s="274">
        <v>21.9</v>
      </c>
      <c r="E1144" s="274">
        <v>9.6999999999999993</v>
      </c>
      <c r="F1144" s="274">
        <v>11.2</v>
      </c>
      <c r="G1144" s="274">
        <v>262</v>
      </c>
      <c r="H1144" s="274">
        <v>1021.5</v>
      </c>
      <c r="I1144" s="274">
        <v>24459</v>
      </c>
      <c r="J1144" s="274">
        <v>0</v>
      </c>
      <c r="K1144" s="274">
        <v>0</v>
      </c>
      <c r="L1144" s="274">
        <v>0</v>
      </c>
      <c r="M1144" s="274">
        <v>65.3</v>
      </c>
      <c r="N1144" s="396">
        <v>599.79999999999995</v>
      </c>
      <c r="O1144" s="396">
        <v>33.200000000000003</v>
      </c>
      <c r="P1144" s="396">
        <v>25.4</v>
      </c>
      <c r="Q1144" s="397">
        <v>0.78819444444444398</v>
      </c>
      <c r="R1144" s="396"/>
      <c r="S1144" s="410"/>
      <c r="T1144" s="409"/>
      <c r="U1144" s="398" t="str">
        <f t="shared" si="50"/>
        <v/>
      </c>
      <c r="V1144" s="400"/>
      <c r="W1144" s="410">
        <f t="shared" si="52"/>
        <v>33.200000000000003</v>
      </c>
      <c r="X1144" s="472">
        <f t="shared" si="51"/>
        <v>60</v>
      </c>
      <c r="AT1144" s="232"/>
      <c r="AV1144" s="198"/>
      <c r="AW1144" s="274"/>
    </row>
    <row r="1145" spans="2:49" x14ac:dyDescent="0.25">
      <c r="B1145" s="274">
        <v>21.3</v>
      </c>
      <c r="C1145" s="274">
        <v>61</v>
      </c>
      <c r="D1145" s="274">
        <v>21.3</v>
      </c>
      <c r="E1145" s="274">
        <v>6.5</v>
      </c>
      <c r="F1145" s="274">
        <v>9.4</v>
      </c>
      <c r="G1145" s="274">
        <v>286</v>
      </c>
      <c r="H1145" s="274">
        <v>1021.5</v>
      </c>
      <c r="I1145" s="274">
        <v>8230</v>
      </c>
      <c r="J1145" s="274">
        <v>0</v>
      </c>
      <c r="K1145" s="274">
        <v>0</v>
      </c>
      <c r="L1145" s="274">
        <v>0</v>
      </c>
      <c r="M1145" s="274">
        <v>65.3</v>
      </c>
      <c r="N1145" s="396">
        <v>599.79999999999995</v>
      </c>
      <c r="O1145" s="396">
        <v>33.1</v>
      </c>
      <c r="P1145" s="396">
        <v>25.4</v>
      </c>
      <c r="Q1145" s="397">
        <v>0.78888888888888897</v>
      </c>
      <c r="R1145" s="396"/>
      <c r="S1145" s="410"/>
      <c r="T1145" s="409"/>
      <c r="U1145" s="398" t="str">
        <f t="shared" si="50"/>
        <v/>
      </c>
      <c r="V1145" s="400"/>
      <c r="W1145" s="410">
        <f t="shared" si="52"/>
        <v>33.1</v>
      </c>
      <c r="X1145" s="472">
        <f t="shared" si="51"/>
        <v>60</v>
      </c>
      <c r="AT1145" s="232"/>
      <c r="AV1145" s="198"/>
      <c r="AW1145" s="274"/>
    </row>
    <row r="1146" spans="2:49" x14ac:dyDescent="0.25">
      <c r="B1146" s="274">
        <v>21</v>
      </c>
      <c r="C1146" s="274">
        <v>61</v>
      </c>
      <c r="D1146" s="274">
        <v>21</v>
      </c>
      <c r="E1146" s="274">
        <v>4</v>
      </c>
      <c r="F1146" s="274">
        <v>7.2</v>
      </c>
      <c r="G1146" s="274">
        <v>300</v>
      </c>
      <c r="H1146" s="274">
        <v>1021.5</v>
      </c>
      <c r="I1146" s="274">
        <v>23126</v>
      </c>
      <c r="J1146" s="274">
        <v>0</v>
      </c>
      <c r="K1146" s="274">
        <v>0</v>
      </c>
      <c r="L1146" s="274">
        <v>0</v>
      </c>
      <c r="M1146" s="274">
        <v>65.3</v>
      </c>
      <c r="N1146" s="396">
        <v>599.79999999999995</v>
      </c>
      <c r="O1146" s="396">
        <v>33</v>
      </c>
      <c r="P1146" s="396">
        <v>25.4</v>
      </c>
      <c r="Q1146" s="397">
        <v>0.78958333333333297</v>
      </c>
      <c r="R1146" s="396"/>
      <c r="S1146" s="410"/>
      <c r="T1146" s="409"/>
      <c r="U1146" s="398" t="str">
        <f t="shared" si="50"/>
        <v/>
      </c>
      <c r="V1146" s="400"/>
      <c r="W1146" s="410">
        <f t="shared" si="52"/>
        <v>33</v>
      </c>
      <c r="X1146" s="472">
        <f t="shared" si="51"/>
        <v>60</v>
      </c>
      <c r="AT1146" s="232"/>
      <c r="AV1146" s="198"/>
      <c r="AW1146" s="274"/>
    </row>
    <row r="1147" spans="2:49" x14ac:dyDescent="0.25">
      <c r="B1147" s="274">
        <v>21</v>
      </c>
      <c r="C1147" s="274">
        <v>62</v>
      </c>
      <c r="D1147" s="274">
        <v>21</v>
      </c>
      <c r="E1147" s="274">
        <v>4.7</v>
      </c>
      <c r="F1147" s="274">
        <v>5.4</v>
      </c>
      <c r="G1147" s="274">
        <v>287</v>
      </c>
      <c r="H1147" s="274">
        <v>1021.8</v>
      </c>
      <c r="I1147" s="274">
        <v>23901</v>
      </c>
      <c r="J1147" s="274">
        <v>0</v>
      </c>
      <c r="K1147" s="274">
        <v>0</v>
      </c>
      <c r="L1147" s="274">
        <v>0</v>
      </c>
      <c r="M1147" s="274">
        <v>65.3</v>
      </c>
      <c r="N1147" s="396">
        <v>599.79999999999995</v>
      </c>
      <c r="O1147" s="396">
        <v>32.9</v>
      </c>
      <c r="P1147" s="396">
        <v>25.3</v>
      </c>
      <c r="Q1147" s="397">
        <v>0.79027777777777797</v>
      </c>
      <c r="R1147" s="396"/>
      <c r="S1147" s="410"/>
      <c r="T1147" s="409"/>
      <c r="U1147" s="398" t="str">
        <f t="shared" si="50"/>
        <v/>
      </c>
      <c r="V1147" s="400"/>
      <c r="W1147" s="410">
        <f t="shared" si="52"/>
        <v>32.9</v>
      </c>
      <c r="X1147" s="472">
        <f t="shared" si="51"/>
        <v>60</v>
      </c>
      <c r="AT1147" s="232"/>
      <c r="AV1147" s="198"/>
      <c r="AW1147" s="274"/>
    </row>
    <row r="1148" spans="2:49" x14ac:dyDescent="0.25">
      <c r="B1148" s="274">
        <v>21</v>
      </c>
      <c r="C1148" s="274">
        <v>61</v>
      </c>
      <c r="D1148" s="274">
        <v>21</v>
      </c>
      <c r="E1148" s="274">
        <v>7.2</v>
      </c>
      <c r="F1148" s="274">
        <v>9.4</v>
      </c>
      <c r="G1148" s="274">
        <v>271</v>
      </c>
      <c r="H1148" s="274">
        <v>1021.5</v>
      </c>
      <c r="I1148" s="274">
        <v>23792</v>
      </c>
      <c r="J1148" s="274">
        <v>0</v>
      </c>
      <c r="K1148" s="274">
        <v>0</v>
      </c>
      <c r="L1148" s="274">
        <v>0</v>
      </c>
      <c r="M1148" s="274">
        <v>65.3</v>
      </c>
      <c r="N1148" s="396">
        <v>599.79999999999995</v>
      </c>
      <c r="O1148" s="396">
        <v>32.700000000000003</v>
      </c>
      <c r="P1148" s="396">
        <v>25.3</v>
      </c>
      <c r="Q1148" s="397">
        <v>0.79097222222222197</v>
      </c>
      <c r="R1148" s="396"/>
      <c r="S1148" s="410"/>
      <c r="T1148" s="409"/>
      <c r="U1148" s="398" t="str">
        <f t="shared" si="50"/>
        <v/>
      </c>
      <c r="V1148" s="400"/>
      <c r="W1148" s="410">
        <f t="shared" si="52"/>
        <v>32.700000000000003</v>
      </c>
      <c r="X1148" s="472">
        <f t="shared" si="51"/>
        <v>60</v>
      </c>
      <c r="AT1148" s="232"/>
      <c r="AV1148" s="198"/>
      <c r="AW1148" s="274"/>
    </row>
    <row r="1149" spans="2:49" x14ac:dyDescent="0.25">
      <c r="B1149" s="274">
        <v>21.2</v>
      </c>
      <c r="C1149" s="274">
        <v>61</v>
      </c>
      <c r="D1149" s="274">
        <v>21.2</v>
      </c>
      <c r="E1149" s="274">
        <v>4.3</v>
      </c>
      <c r="F1149" s="274">
        <v>5.4</v>
      </c>
      <c r="G1149" s="274">
        <v>261</v>
      </c>
      <c r="H1149" s="274">
        <v>1021.7</v>
      </c>
      <c r="I1149" s="274">
        <v>22909</v>
      </c>
      <c r="J1149" s="274">
        <v>0</v>
      </c>
      <c r="K1149" s="274">
        <v>0</v>
      </c>
      <c r="L1149" s="274">
        <v>0</v>
      </c>
      <c r="M1149" s="274">
        <v>65.3</v>
      </c>
      <c r="N1149" s="396">
        <v>599.79999999999995</v>
      </c>
      <c r="O1149" s="396">
        <v>32.6</v>
      </c>
      <c r="P1149" s="396">
        <v>25.2</v>
      </c>
      <c r="Q1149" s="397">
        <v>0.79166666666666696</v>
      </c>
      <c r="R1149" s="396"/>
      <c r="S1149" s="410"/>
      <c r="T1149" s="409"/>
      <c r="U1149" s="398" t="str">
        <f t="shared" si="50"/>
        <v/>
      </c>
      <c r="V1149" s="400"/>
      <c r="W1149" s="410">
        <f t="shared" si="52"/>
        <v>32.6</v>
      </c>
      <c r="X1149" s="472">
        <f t="shared" si="51"/>
        <v>60</v>
      </c>
      <c r="AT1149" s="232"/>
      <c r="AV1149" s="198"/>
      <c r="AW1149" s="274"/>
    </row>
    <row r="1150" spans="2:49" x14ac:dyDescent="0.25">
      <c r="B1150" s="274">
        <v>21.2</v>
      </c>
      <c r="C1150" s="274">
        <v>62</v>
      </c>
      <c r="D1150" s="274">
        <v>21.2</v>
      </c>
      <c r="E1150" s="274">
        <v>2.9</v>
      </c>
      <c r="F1150" s="274">
        <v>5.4</v>
      </c>
      <c r="G1150" s="274">
        <v>336</v>
      </c>
      <c r="H1150" s="274">
        <v>1021.6</v>
      </c>
      <c r="I1150" s="274">
        <v>23017</v>
      </c>
      <c r="J1150" s="274">
        <v>0</v>
      </c>
      <c r="K1150" s="274">
        <v>0</v>
      </c>
      <c r="L1150" s="274">
        <v>0</v>
      </c>
      <c r="M1150" s="274">
        <v>65.3</v>
      </c>
      <c r="N1150" s="396">
        <v>599.79999999999995</v>
      </c>
      <c r="O1150" s="396">
        <v>32.5</v>
      </c>
      <c r="P1150" s="396">
        <v>25.1</v>
      </c>
      <c r="Q1150" s="397">
        <v>0.79236111111111096</v>
      </c>
      <c r="R1150" s="396"/>
      <c r="S1150" s="410"/>
      <c r="T1150" s="409"/>
      <c r="U1150" s="398" t="str">
        <f t="shared" si="50"/>
        <v/>
      </c>
      <c r="V1150" s="400"/>
      <c r="W1150" s="410">
        <f t="shared" si="52"/>
        <v>32.5</v>
      </c>
      <c r="X1150" s="472">
        <f t="shared" si="51"/>
        <v>60</v>
      </c>
      <c r="AT1150" s="232"/>
      <c r="AV1150" s="198"/>
      <c r="AW1150" s="274"/>
    </row>
    <row r="1151" spans="2:49" x14ac:dyDescent="0.25">
      <c r="B1151" s="274">
        <v>21.2</v>
      </c>
      <c r="C1151" s="274">
        <v>62</v>
      </c>
      <c r="D1151" s="274">
        <v>21.2</v>
      </c>
      <c r="E1151" s="274">
        <v>3.6</v>
      </c>
      <c r="F1151" s="274">
        <v>5.4</v>
      </c>
      <c r="G1151" s="274">
        <v>315</v>
      </c>
      <c r="H1151" s="274">
        <v>1021.5</v>
      </c>
      <c r="I1151" s="274">
        <v>22692</v>
      </c>
      <c r="J1151" s="274">
        <v>0</v>
      </c>
      <c r="K1151" s="274">
        <v>0</v>
      </c>
      <c r="L1151" s="274">
        <v>0</v>
      </c>
      <c r="M1151" s="274">
        <v>65.3</v>
      </c>
      <c r="N1151" s="396">
        <v>599.79999999999995</v>
      </c>
      <c r="O1151" s="396">
        <v>32.299999999999997</v>
      </c>
      <c r="P1151" s="396">
        <v>25.1</v>
      </c>
      <c r="Q1151" s="397">
        <v>0.79305555555555596</v>
      </c>
      <c r="R1151" s="396"/>
      <c r="S1151" s="410"/>
      <c r="T1151" s="409"/>
      <c r="U1151" s="398" t="str">
        <f t="shared" si="50"/>
        <v/>
      </c>
      <c r="V1151" s="400"/>
      <c r="W1151" s="410">
        <f t="shared" si="52"/>
        <v>32.299999999999997</v>
      </c>
      <c r="X1151" s="472">
        <f t="shared" si="51"/>
        <v>60</v>
      </c>
      <c r="AT1151" s="232"/>
      <c r="AV1151" s="198"/>
      <c r="AW1151" s="274"/>
    </row>
    <row r="1152" spans="2:49" x14ac:dyDescent="0.25">
      <c r="B1152" s="274">
        <v>21.2</v>
      </c>
      <c r="C1152" s="274">
        <v>62</v>
      </c>
      <c r="D1152" s="274">
        <v>21.2</v>
      </c>
      <c r="E1152" s="274">
        <v>0.4</v>
      </c>
      <c r="F1152" s="274">
        <v>1.8</v>
      </c>
      <c r="G1152" s="274">
        <v>293</v>
      </c>
      <c r="H1152" s="274">
        <v>1021.8</v>
      </c>
      <c r="I1152" s="274">
        <v>21421</v>
      </c>
      <c r="J1152" s="274">
        <v>0</v>
      </c>
      <c r="K1152" s="274">
        <v>0</v>
      </c>
      <c r="L1152" s="274">
        <v>0</v>
      </c>
      <c r="M1152" s="274">
        <v>65.3</v>
      </c>
      <c r="N1152" s="396">
        <v>599.79999999999995</v>
      </c>
      <c r="O1152" s="396">
        <v>32.200000000000003</v>
      </c>
      <c r="P1152" s="396">
        <v>25</v>
      </c>
      <c r="Q1152" s="397">
        <v>0.79374999999999996</v>
      </c>
      <c r="R1152" s="396"/>
      <c r="S1152" s="410"/>
      <c r="T1152" s="409"/>
      <c r="U1152" s="398" t="str">
        <f t="shared" si="50"/>
        <v/>
      </c>
      <c r="V1152" s="400"/>
      <c r="W1152" s="410">
        <f t="shared" si="52"/>
        <v>32.200000000000003</v>
      </c>
      <c r="X1152" s="472">
        <f t="shared" si="51"/>
        <v>60</v>
      </c>
      <c r="AT1152" s="232"/>
      <c r="AV1152" s="198"/>
      <c r="AW1152" s="274"/>
    </row>
    <row r="1153" spans="2:49" x14ac:dyDescent="0.25">
      <c r="B1153" s="274">
        <v>21.2</v>
      </c>
      <c r="C1153" s="274">
        <v>62</v>
      </c>
      <c r="D1153" s="274">
        <v>21.2</v>
      </c>
      <c r="E1153" s="274">
        <v>8.6</v>
      </c>
      <c r="F1153" s="274">
        <v>11.2</v>
      </c>
      <c r="G1153" s="274">
        <v>260</v>
      </c>
      <c r="H1153" s="274">
        <v>1021.7</v>
      </c>
      <c r="I1153" s="274">
        <v>8571</v>
      </c>
      <c r="J1153" s="274">
        <v>0</v>
      </c>
      <c r="K1153" s="274">
        <v>0</v>
      </c>
      <c r="L1153" s="274">
        <v>0</v>
      </c>
      <c r="M1153" s="274">
        <v>65.3</v>
      </c>
      <c r="N1153" s="396">
        <v>599.79999999999995</v>
      </c>
      <c r="O1153" s="396">
        <v>32.1</v>
      </c>
      <c r="P1153" s="396">
        <v>24.9</v>
      </c>
      <c r="Q1153" s="397">
        <v>0.79444444444444495</v>
      </c>
      <c r="R1153" s="396"/>
      <c r="S1153" s="410"/>
      <c r="T1153" s="409"/>
      <c r="U1153" s="398" t="str">
        <f t="shared" si="50"/>
        <v/>
      </c>
      <c r="V1153" s="400"/>
      <c r="W1153" s="410">
        <f t="shared" si="52"/>
        <v>32.1</v>
      </c>
      <c r="X1153" s="472">
        <f t="shared" si="51"/>
        <v>60</v>
      </c>
      <c r="AT1153" s="232"/>
      <c r="AV1153" s="198"/>
      <c r="AW1153" s="274"/>
    </row>
    <row r="1154" spans="2:49" x14ac:dyDescent="0.25">
      <c r="B1154" s="274">
        <v>21.2</v>
      </c>
      <c r="C1154" s="274">
        <v>63</v>
      </c>
      <c r="D1154" s="274">
        <v>21.2</v>
      </c>
      <c r="E1154" s="274">
        <v>2.2000000000000002</v>
      </c>
      <c r="F1154" s="274">
        <v>3.6</v>
      </c>
      <c r="G1154" s="274">
        <v>247</v>
      </c>
      <c r="H1154" s="274">
        <v>1021.4</v>
      </c>
      <c r="I1154" s="274">
        <v>21095</v>
      </c>
      <c r="J1154" s="274">
        <v>0</v>
      </c>
      <c r="K1154" s="274">
        <v>0</v>
      </c>
      <c r="L1154" s="274">
        <v>0</v>
      </c>
      <c r="M1154" s="274">
        <v>65.3</v>
      </c>
      <c r="N1154" s="396">
        <v>599.79999999999995</v>
      </c>
      <c r="O1154" s="396">
        <v>32.1</v>
      </c>
      <c r="P1154" s="396">
        <v>24.9</v>
      </c>
      <c r="Q1154" s="397">
        <v>0.79513888888888895</v>
      </c>
      <c r="R1154" s="396"/>
      <c r="S1154" s="410"/>
      <c r="T1154" s="409"/>
      <c r="U1154" s="398" t="str">
        <f t="shared" si="50"/>
        <v/>
      </c>
      <c r="V1154" s="400"/>
      <c r="W1154" s="410">
        <f t="shared" si="52"/>
        <v>32.1</v>
      </c>
      <c r="X1154" s="472">
        <f t="shared" si="51"/>
        <v>60</v>
      </c>
      <c r="AT1154" s="232"/>
      <c r="AV1154" s="198"/>
      <c r="AW1154" s="274"/>
    </row>
    <row r="1155" spans="2:49" x14ac:dyDescent="0.25">
      <c r="B1155" s="274">
        <v>21.1</v>
      </c>
      <c r="C1155" s="274">
        <v>62</v>
      </c>
      <c r="D1155" s="274">
        <v>21.1</v>
      </c>
      <c r="E1155" s="274">
        <v>3.6</v>
      </c>
      <c r="F1155" s="274">
        <v>5.4</v>
      </c>
      <c r="G1155" s="274">
        <v>317</v>
      </c>
      <c r="H1155" s="274">
        <v>1021.4</v>
      </c>
      <c r="I1155" s="274">
        <v>21266</v>
      </c>
      <c r="J1155" s="274">
        <v>0</v>
      </c>
      <c r="K1155" s="274">
        <v>0</v>
      </c>
      <c r="L1155" s="274">
        <v>0</v>
      </c>
      <c r="M1155" s="274">
        <v>65.3</v>
      </c>
      <c r="N1155" s="396">
        <v>599.79999999999995</v>
      </c>
      <c r="O1155" s="396">
        <v>32</v>
      </c>
      <c r="P1155" s="396">
        <v>24.9</v>
      </c>
      <c r="Q1155" s="397">
        <v>0.79583333333333295</v>
      </c>
      <c r="R1155" s="396"/>
      <c r="S1155" s="410"/>
      <c r="T1155" s="409"/>
      <c r="U1155" s="398" t="str">
        <f t="shared" si="50"/>
        <v/>
      </c>
      <c r="V1155" s="400"/>
      <c r="W1155" s="410">
        <f t="shared" si="52"/>
        <v>32</v>
      </c>
      <c r="X1155" s="472">
        <f t="shared" si="51"/>
        <v>60</v>
      </c>
      <c r="AT1155" s="232"/>
      <c r="AV1155" s="198"/>
      <c r="AW1155" s="274"/>
    </row>
    <row r="1156" spans="2:49" x14ac:dyDescent="0.25">
      <c r="B1156" s="274">
        <v>21.2</v>
      </c>
      <c r="C1156" s="274">
        <v>61</v>
      </c>
      <c r="D1156" s="274">
        <v>21.2</v>
      </c>
      <c r="E1156" s="274">
        <v>1.4</v>
      </c>
      <c r="F1156" s="274">
        <v>1.8</v>
      </c>
      <c r="G1156" s="274">
        <v>274</v>
      </c>
      <c r="H1156" s="274">
        <v>1021.7</v>
      </c>
      <c r="I1156" s="274">
        <v>21157</v>
      </c>
      <c r="J1156" s="274">
        <v>0</v>
      </c>
      <c r="K1156" s="274">
        <v>0</v>
      </c>
      <c r="L1156" s="274">
        <v>0</v>
      </c>
      <c r="M1156" s="274">
        <v>65.3</v>
      </c>
      <c r="N1156" s="396">
        <v>599.79999999999995</v>
      </c>
      <c r="O1156" s="396">
        <v>31.9</v>
      </c>
      <c r="P1156" s="396">
        <v>24.9</v>
      </c>
      <c r="Q1156" s="397">
        <v>0.79652777777777795</v>
      </c>
      <c r="R1156" s="396"/>
      <c r="S1156" s="410"/>
      <c r="T1156" s="409"/>
      <c r="U1156" s="398" t="str">
        <f t="shared" si="50"/>
        <v/>
      </c>
      <c r="V1156" s="400"/>
      <c r="W1156" s="410">
        <f t="shared" si="52"/>
        <v>31.9</v>
      </c>
      <c r="X1156" s="472">
        <f t="shared" si="51"/>
        <v>60</v>
      </c>
      <c r="AT1156" s="232"/>
      <c r="AV1156" s="198"/>
      <c r="AW1156" s="274"/>
    </row>
    <row r="1157" spans="2:49" x14ac:dyDescent="0.25">
      <c r="B1157" s="274">
        <v>21.3</v>
      </c>
      <c r="C1157" s="274">
        <v>59</v>
      </c>
      <c r="D1157" s="274">
        <v>21.3</v>
      </c>
      <c r="E1157" s="274">
        <v>4.3</v>
      </c>
      <c r="F1157" s="274">
        <v>7.2</v>
      </c>
      <c r="G1157" s="274">
        <v>281</v>
      </c>
      <c r="H1157" s="274">
        <v>1021.6</v>
      </c>
      <c r="I1157" s="274">
        <v>20708</v>
      </c>
      <c r="J1157" s="274">
        <v>0</v>
      </c>
      <c r="K1157" s="274">
        <v>0</v>
      </c>
      <c r="L1157" s="274">
        <v>0</v>
      </c>
      <c r="M1157" s="274">
        <v>65.3</v>
      </c>
      <c r="N1157" s="396">
        <v>599.79999999999995</v>
      </c>
      <c r="O1157" s="396">
        <v>31.8</v>
      </c>
      <c r="P1157" s="396">
        <v>24.8</v>
      </c>
      <c r="Q1157" s="397">
        <v>0.79722222222222205</v>
      </c>
      <c r="R1157" s="396"/>
      <c r="S1157" s="410"/>
      <c r="T1157" s="409"/>
      <c r="U1157" s="398" t="str">
        <f t="shared" si="50"/>
        <v/>
      </c>
      <c r="V1157" s="400"/>
      <c r="W1157" s="410">
        <f t="shared" si="52"/>
        <v>31.8</v>
      </c>
      <c r="X1157" s="472">
        <f t="shared" si="51"/>
        <v>60</v>
      </c>
      <c r="AT1157" s="232"/>
      <c r="AV1157" s="198"/>
      <c r="AW1157" s="274"/>
    </row>
    <row r="1158" spans="2:49" x14ac:dyDescent="0.25">
      <c r="B1158" s="274">
        <v>21.4</v>
      </c>
      <c r="C1158" s="274">
        <v>60</v>
      </c>
      <c r="D1158" s="274">
        <v>21.4</v>
      </c>
      <c r="E1158" s="274">
        <v>8.6</v>
      </c>
      <c r="F1158" s="274">
        <v>11.2</v>
      </c>
      <c r="G1158" s="274">
        <v>259</v>
      </c>
      <c r="H1158" s="274">
        <v>1021.6</v>
      </c>
      <c r="I1158" s="274">
        <v>20336</v>
      </c>
      <c r="J1158" s="274">
        <v>0</v>
      </c>
      <c r="K1158" s="274">
        <v>0</v>
      </c>
      <c r="L1158" s="274">
        <v>0</v>
      </c>
      <c r="M1158" s="274">
        <v>65.3</v>
      </c>
      <c r="N1158" s="396">
        <v>599.79999999999995</v>
      </c>
      <c r="O1158" s="396">
        <v>31.9</v>
      </c>
      <c r="P1158" s="396">
        <v>24.8</v>
      </c>
      <c r="Q1158" s="397">
        <v>0.79791666666666705</v>
      </c>
      <c r="R1158" s="396"/>
      <c r="S1158" s="410"/>
      <c r="T1158" s="409"/>
      <c r="U1158" s="398" t="str">
        <f t="shared" si="50"/>
        <v/>
      </c>
      <c r="V1158" s="400"/>
      <c r="W1158" s="410">
        <f t="shared" si="52"/>
        <v>31.9</v>
      </c>
      <c r="X1158" s="472">
        <f t="shared" si="51"/>
        <v>60</v>
      </c>
      <c r="AT1158" s="232"/>
      <c r="AV1158" s="198"/>
      <c r="AW1158" s="274"/>
    </row>
    <row r="1159" spans="2:49" x14ac:dyDescent="0.25">
      <c r="B1159" s="274">
        <v>21.4</v>
      </c>
      <c r="C1159" s="274">
        <v>62</v>
      </c>
      <c r="D1159" s="274">
        <v>21.4</v>
      </c>
      <c r="E1159" s="274">
        <v>5.4</v>
      </c>
      <c r="F1159" s="274">
        <v>7.2</v>
      </c>
      <c r="G1159" s="274">
        <v>278</v>
      </c>
      <c r="H1159" s="274">
        <v>1021.5</v>
      </c>
      <c r="I1159" s="274">
        <v>19669</v>
      </c>
      <c r="J1159" s="274">
        <v>0</v>
      </c>
      <c r="K1159" s="274">
        <v>0</v>
      </c>
      <c r="L1159" s="274">
        <v>0</v>
      </c>
      <c r="M1159" s="274">
        <v>65.3</v>
      </c>
      <c r="N1159" s="396">
        <v>599.79999999999995</v>
      </c>
      <c r="O1159" s="396">
        <v>31.8</v>
      </c>
      <c r="P1159" s="396">
        <v>24.8</v>
      </c>
      <c r="Q1159" s="397">
        <v>0.79861111111111105</v>
      </c>
      <c r="R1159" s="396"/>
      <c r="S1159" s="410"/>
      <c r="T1159" s="409"/>
      <c r="U1159" s="398" t="str">
        <f t="shared" si="50"/>
        <v/>
      </c>
      <c r="V1159" s="400"/>
      <c r="W1159" s="410">
        <f t="shared" si="52"/>
        <v>31.8</v>
      </c>
      <c r="X1159" s="472">
        <f t="shared" si="51"/>
        <v>60</v>
      </c>
      <c r="AT1159" s="232"/>
      <c r="AV1159" s="198"/>
      <c r="AW1159" s="274"/>
    </row>
    <row r="1160" spans="2:49" x14ac:dyDescent="0.25">
      <c r="B1160" s="274">
        <v>20.9</v>
      </c>
      <c r="C1160" s="274">
        <v>63</v>
      </c>
      <c r="D1160" s="274">
        <v>20.9</v>
      </c>
      <c r="E1160" s="274">
        <v>8.6</v>
      </c>
      <c r="F1160" s="274">
        <v>11.2</v>
      </c>
      <c r="G1160" s="274">
        <v>254</v>
      </c>
      <c r="H1160" s="274">
        <v>1021.4</v>
      </c>
      <c r="I1160" s="274">
        <v>19452</v>
      </c>
      <c r="J1160" s="274">
        <v>0</v>
      </c>
      <c r="K1160" s="274">
        <v>0</v>
      </c>
      <c r="L1160" s="274">
        <v>0</v>
      </c>
      <c r="M1160" s="274">
        <v>65.3</v>
      </c>
      <c r="N1160" s="396">
        <v>599.79999999999995</v>
      </c>
      <c r="O1160" s="396">
        <v>31.7</v>
      </c>
      <c r="P1160" s="396">
        <v>24.9</v>
      </c>
      <c r="Q1160" s="397">
        <v>0.79930555555555605</v>
      </c>
      <c r="R1160" s="396"/>
      <c r="S1160" s="410"/>
      <c r="T1160" s="409"/>
      <c r="U1160" s="398" t="str">
        <f t="shared" si="50"/>
        <v/>
      </c>
      <c r="V1160" s="400"/>
      <c r="W1160" s="410">
        <f t="shared" si="52"/>
        <v>31.7</v>
      </c>
      <c r="X1160" s="472">
        <f t="shared" si="51"/>
        <v>60</v>
      </c>
      <c r="AT1160" s="232"/>
      <c r="AV1160" s="198"/>
      <c r="AW1160" s="274"/>
    </row>
    <row r="1161" spans="2:49" x14ac:dyDescent="0.25">
      <c r="B1161" s="274">
        <v>20.8</v>
      </c>
      <c r="C1161" s="274">
        <v>64</v>
      </c>
      <c r="D1161" s="274">
        <v>20.8</v>
      </c>
      <c r="E1161" s="274">
        <v>7.6</v>
      </c>
      <c r="F1161" s="274">
        <v>11.2</v>
      </c>
      <c r="G1161" s="274">
        <v>279</v>
      </c>
      <c r="H1161" s="274">
        <v>1021.6</v>
      </c>
      <c r="I1161" s="274">
        <v>7083</v>
      </c>
      <c r="J1161" s="274">
        <v>0</v>
      </c>
      <c r="K1161" s="274">
        <v>0</v>
      </c>
      <c r="L1161" s="274">
        <v>0</v>
      </c>
      <c r="M1161" s="274">
        <v>65.3</v>
      </c>
      <c r="N1161" s="396">
        <v>599.79999999999995</v>
      </c>
      <c r="O1161" s="396">
        <v>31.6</v>
      </c>
      <c r="P1161" s="396">
        <v>24.9</v>
      </c>
      <c r="Q1161" s="397">
        <v>0.8</v>
      </c>
      <c r="R1161" s="396"/>
      <c r="S1161" s="410"/>
      <c r="T1161" s="409"/>
      <c r="U1161" s="398" t="str">
        <f t="shared" si="50"/>
        <v/>
      </c>
      <c r="V1161" s="400"/>
      <c r="W1161" s="410">
        <f t="shared" si="52"/>
        <v>31.6</v>
      </c>
      <c r="X1161" s="472">
        <f t="shared" si="51"/>
        <v>60</v>
      </c>
      <c r="AT1161" s="232"/>
      <c r="AV1161" s="198"/>
      <c r="AW1161" s="274"/>
    </row>
    <row r="1162" spans="2:49" x14ac:dyDescent="0.25">
      <c r="B1162" s="274">
        <v>20.7</v>
      </c>
      <c r="C1162" s="274">
        <v>63</v>
      </c>
      <c r="D1162" s="274">
        <v>20.7</v>
      </c>
      <c r="E1162" s="274">
        <v>5</v>
      </c>
      <c r="F1162" s="274">
        <v>5.4</v>
      </c>
      <c r="G1162" s="274">
        <v>267</v>
      </c>
      <c r="H1162" s="274">
        <v>1021.3</v>
      </c>
      <c r="I1162" s="274">
        <v>6696</v>
      </c>
      <c r="J1162" s="274">
        <v>0</v>
      </c>
      <c r="K1162" s="274">
        <v>0</v>
      </c>
      <c r="L1162" s="274">
        <v>0</v>
      </c>
      <c r="M1162" s="274">
        <v>65.3</v>
      </c>
      <c r="N1162" s="396">
        <v>599.79999999999995</v>
      </c>
      <c r="O1162" s="396">
        <v>31.4</v>
      </c>
      <c r="P1162" s="396">
        <v>24.9</v>
      </c>
      <c r="Q1162" s="397">
        <v>0.80069444444444404</v>
      </c>
      <c r="R1162" s="396"/>
      <c r="S1162" s="410"/>
      <c r="T1162" s="409"/>
      <c r="U1162" s="398" t="str">
        <f t="shared" si="50"/>
        <v/>
      </c>
      <c r="V1162" s="400"/>
      <c r="W1162" s="410">
        <f t="shared" si="52"/>
        <v>31.4</v>
      </c>
      <c r="X1162" s="472">
        <f t="shared" si="51"/>
        <v>60</v>
      </c>
      <c r="AT1162" s="232"/>
      <c r="AV1162" s="198"/>
      <c r="AW1162" s="274"/>
    </row>
    <row r="1163" spans="2:49" x14ac:dyDescent="0.25">
      <c r="B1163" s="274">
        <v>20.7</v>
      </c>
      <c r="C1163" s="274">
        <v>63</v>
      </c>
      <c r="D1163" s="274">
        <v>20.7</v>
      </c>
      <c r="E1163" s="274">
        <v>4.7</v>
      </c>
      <c r="F1163" s="274">
        <v>7.2</v>
      </c>
      <c r="G1163" s="274">
        <v>271</v>
      </c>
      <c r="H1163" s="274">
        <v>1021.4</v>
      </c>
      <c r="I1163" s="274">
        <v>18243</v>
      </c>
      <c r="J1163" s="274">
        <v>0</v>
      </c>
      <c r="K1163" s="274">
        <v>0</v>
      </c>
      <c r="L1163" s="274">
        <v>0</v>
      </c>
      <c r="M1163" s="274">
        <v>65.3</v>
      </c>
      <c r="N1163" s="396">
        <v>599.79999999999995</v>
      </c>
      <c r="O1163" s="396">
        <v>31.2</v>
      </c>
      <c r="P1163" s="396">
        <v>24.9</v>
      </c>
      <c r="Q1163" s="397">
        <v>0.80138888888888904</v>
      </c>
      <c r="R1163" s="396"/>
      <c r="S1163" s="410"/>
      <c r="T1163" s="409"/>
      <c r="U1163" s="398" t="str">
        <f t="shared" ref="U1163:U1226" si="53">IF(J1163&gt;0,60,"")</f>
        <v/>
      </c>
      <c r="V1163" s="400"/>
      <c r="W1163" s="410">
        <f t="shared" si="52"/>
        <v>31.2</v>
      </c>
      <c r="X1163" s="472">
        <f t="shared" si="51"/>
        <v>60</v>
      </c>
      <c r="AT1163" s="232"/>
      <c r="AV1163" s="198"/>
      <c r="AW1163" s="274"/>
    </row>
    <row r="1164" spans="2:49" x14ac:dyDescent="0.25">
      <c r="B1164" s="274">
        <v>20.7</v>
      </c>
      <c r="C1164" s="274">
        <v>63</v>
      </c>
      <c r="D1164" s="274">
        <v>20.7</v>
      </c>
      <c r="E1164" s="274">
        <v>4.7</v>
      </c>
      <c r="F1164" s="274">
        <v>7.2</v>
      </c>
      <c r="G1164" s="274">
        <v>305</v>
      </c>
      <c r="H1164" s="274">
        <v>1021.6</v>
      </c>
      <c r="I1164" s="274">
        <v>17685</v>
      </c>
      <c r="J1164" s="274">
        <v>0</v>
      </c>
      <c r="K1164" s="274">
        <v>0</v>
      </c>
      <c r="L1164" s="274">
        <v>0</v>
      </c>
      <c r="M1164" s="274">
        <v>65.3</v>
      </c>
      <c r="N1164" s="396">
        <v>599.79999999999995</v>
      </c>
      <c r="O1164" s="396">
        <v>31.1</v>
      </c>
      <c r="P1164" s="396">
        <v>24.9</v>
      </c>
      <c r="Q1164" s="397">
        <v>0.80208333333333304</v>
      </c>
      <c r="R1164" s="396"/>
      <c r="S1164" s="410"/>
      <c r="T1164" s="409"/>
      <c r="U1164" s="398" t="str">
        <f t="shared" si="53"/>
        <v/>
      </c>
      <c r="V1164" s="400"/>
      <c r="W1164" s="410">
        <f t="shared" si="52"/>
        <v>31.1</v>
      </c>
      <c r="X1164" s="472">
        <f t="shared" si="51"/>
        <v>60</v>
      </c>
      <c r="AT1164" s="232"/>
      <c r="AV1164" s="198"/>
      <c r="AW1164" s="274"/>
    </row>
    <row r="1165" spans="2:49" x14ac:dyDescent="0.25">
      <c r="B1165" s="274">
        <v>20.7</v>
      </c>
      <c r="C1165" s="274">
        <v>62</v>
      </c>
      <c r="D1165" s="274">
        <v>20.7</v>
      </c>
      <c r="E1165" s="274">
        <v>1.4</v>
      </c>
      <c r="F1165" s="274">
        <v>3.6</v>
      </c>
      <c r="G1165" s="274">
        <v>246</v>
      </c>
      <c r="H1165" s="274">
        <v>1021.5</v>
      </c>
      <c r="I1165" s="274">
        <v>6913</v>
      </c>
      <c r="J1165" s="274">
        <v>0</v>
      </c>
      <c r="K1165" s="274">
        <v>0</v>
      </c>
      <c r="L1165" s="274">
        <v>0</v>
      </c>
      <c r="M1165" s="274">
        <v>65.3</v>
      </c>
      <c r="N1165" s="396">
        <v>599.79999999999995</v>
      </c>
      <c r="O1165" s="396">
        <v>30.9</v>
      </c>
      <c r="P1165" s="396">
        <v>24.9</v>
      </c>
      <c r="Q1165" s="397">
        <v>0.80277777777777803</v>
      </c>
      <c r="R1165" s="396"/>
      <c r="S1165" s="410"/>
      <c r="T1165" s="409"/>
      <c r="U1165" s="398" t="str">
        <f t="shared" si="53"/>
        <v/>
      </c>
      <c r="V1165" s="400"/>
      <c r="W1165" s="410">
        <f t="shared" si="52"/>
        <v>30.9</v>
      </c>
      <c r="X1165" s="472">
        <f t="shared" si="51"/>
        <v>60</v>
      </c>
      <c r="AT1165" s="232"/>
      <c r="AV1165" s="198"/>
      <c r="AW1165" s="274"/>
    </row>
    <row r="1166" spans="2:49" x14ac:dyDescent="0.25">
      <c r="B1166" s="274">
        <v>20.7</v>
      </c>
      <c r="C1166" s="274">
        <v>61</v>
      </c>
      <c r="D1166" s="274">
        <v>20.7</v>
      </c>
      <c r="E1166" s="274">
        <v>5.8</v>
      </c>
      <c r="F1166" s="274">
        <v>7.2</v>
      </c>
      <c r="G1166" s="274">
        <v>278</v>
      </c>
      <c r="H1166" s="274">
        <v>1021.4</v>
      </c>
      <c r="I1166" s="274">
        <v>16972</v>
      </c>
      <c r="J1166" s="274">
        <v>0</v>
      </c>
      <c r="K1166" s="274">
        <v>0</v>
      </c>
      <c r="L1166" s="274">
        <v>0</v>
      </c>
      <c r="M1166" s="274">
        <v>65.3</v>
      </c>
      <c r="N1166" s="396">
        <v>599.79999999999995</v>
      </c>
      <c r="O1166" s="396">
        <v>30.8</v>
      </c>
      <c r="P1166" s="396">
        <v>24.9</v>
      </c>
      <c r="Q1166" s="397">
        <v>0.80347222222222203</v>
      </c>
      <c r="R1166" s="396"/>
      <c r="S1166" s="410"/>
      <c r="T1166" s="409"/>
      <c r="U1166" s="398" t="str">
        <f t="shared" si="53"/>
        <v/>
      </c>
      <c r="V1166" s="400"/>
      <c r="W1166" s="410">
        <f t="shared" si="52"/>
        <v>30.8</v>
      </c>
      <c r="X1166" s="472">
        <f t="shared" si="51"/>
        <v>60</v>
      </c>
      <c r="AT1166" s="232"/>
      <c r="AV1166" s="198"/>
      <c r="AW1166" s="274"/>
    </row>
    <row r="1167" spans="2:49" x14ac:dyDescent="0.25">
      <c r="B1167" s="274">
        <v>20.7</v>
      </c>
      <c r="C1167" s="274">
        <v>62</v>
      </c>
      <c r="D1167" s="274">
        <v>20.7</v>
      </c>
      <c r="E1167" s="274">
        <v>2.2000000000000002</v>
      </c>
      <c r="F1167" s="274">
        <v>3.6</v>
      </c>
      <c r="G1167" s="274">
        <v>282</v>
      </c>
      <c r="H1167" s="274">
        <v>1021.4</v>
      </c>
      <c r="I1167" s="274">
        <v>16647</v>
      </c>
      <c r="J1167" s="274">
        <v>0</v>
      </c>
      <c r="K1167" s="274">
        <v>0</v>
      </c>
      <c r="L1167" s="274">
        <v>0</v>
      </c>
      <c r="M1167" s="274">
        <v>65.3</v>
      </c>
      <c r="N1167" s="396">
        <v>599.79999999999995</v>
      </c>
      <c r="O1167" s="396">
        <v>30.7</v>
      </c>
      <c r="P1167" s="396">
        <v>24.9</v>
      </c>
      <c r="Q1167" s="397">
        <v>0.80416666666666703</v>
      </c>
      <c r="R1167" s="396"/>
      <c r="S1167" s="410"/>
      <c r="T1167" s="409"/>
      <c r="U1167" s="398" t="str">
        <f t="shared" si="53"/>
        <v/>
      </c>
      <c r="V1167" s="400"/>
      <c r="W1167" s="410">
        <f t="shared" si="52"/>
        <v>30.7</v>
      </c>
      <c r="X1167" s="472">
        <f t="shared" si="51"/>
        <v>60</v>
      </c>
      <c r="AT1167" s="232"/>
      <c r="AV1167" s="198"/>
      <c r="AW1167" s="274"/>
    </row>
    <row r="1168" spans="2:49" x14ac:dyDescent="0.25">
      <c r="B1168" s="274">
        <v>20.8</v>
      </c>
      <c r="C1168" s="274">
        <v>62</v>
      </c>
      <c r="D1168" s="274">
        <v>20.8</v>
      </c>
      <c r="E1168" s="274">
        <v>6.5</v>
      </c>
      <c r="F1168" s="274">
        <v>7.2</v>
      </c>
      <c r="G1168" s="274">
        <v>280</v>
      </c>
      <c r="H1168" s="274">
        <v>1021.3</v>
      </c>
      <c r="I1168" s="274">
        <v>11036</v>
      </c>
      <c r="J1168" s="274">
        <v>0</v>
      </c>
      <c r="K1168" s="274">
        <v>0</v>
      </c>
      <c r="L1168" s="274">
        <v>0</v>
      </c>
      <c r="M1168" s="274">
        <v>65.3</v>
      </c>
      <c r="N1168" s="396">
        <v>599.79999999999995</v>
      </c>
      <c r="O1168" s="396">
        <v>30.7</v>
      </c>
      <c r="P1168" s="396">
        <v>24.9</v>
      </c>
      <c r="Q1168" s="397">
        <v>0.80486111111111103</v>
      </c>
      <c r="R1168" s="396"/>
      <c r="S1168" s="410"/>
      <c r="T1168" s="409"/>
      <c r="U1168" s="398" t="str">
        <f t="shared" si="53"/>
        <v/>
      </c>
      <c r="V1168" s="400"/>
      <c r="W1168" s="410">
        <f t="shared" si="52"/>
        <v>30.7</v>
      </c>
      <c r="X1168" s="472">
        <f t="shared" si="51"/>
        <v>60</v>
      </c>
      <c r="AT1168" s="232"/>
      <c r="AV1168" s="198"/>
      <c r="AW1168" s="274"/>
    </row>
    <row r="1169" spans="2:49" x14ac:dyDescent="0.25">
      <c r="B1169" s="274">
        <v>20.7</v>
      </c>
      <c r="C1169" s="274">
        <v>62</v>
      </c>
      <c r="D1169" s="274">
        <v>20.7</v>
      </c>
      <c r="E1169" s="274">
        <v>4</v>
      </c>
      <c r="F1169" s="274">
        <v>5.4</v>
      </c>
      <c r="G1169" s="274">
        <v>290</v>
      </c>
      <c r="H1169" s="274">
        <v>1021.2</v>
      </c>
      <c r="I1169" s="274">
        <v>15608</v>
      </c>
      <c r="J1169" s="274">
        <v>0</v>
      </c>
      <c r="K1169" s="274">
        <v>0</v>
      </c>
      <c r="L1169" s="274">
        <v>0</v>
      </c>
      <c r="M1169" s="274">
        <v>65.3</v>
      </c>
      <c r="N1169" s="396">
        <v>599.79999999999995</v>
      </c>
      <c r="O1169" s="396">
        <v>30.6</v>
      </c>
      <c r="P1169" s="396">
        <v>24.9</v>
      </c>
      <c r="Q1169" s="397">
        <v>0.80555555555555602</v>
      </c>
      <c r="R1169" s="396"/>
      <c r="S1169" s="410"/>
      <c r="T1169" s="409"/>
      <c r="U1169" s="398" t="str">
        <f t="shared" si="53"/>
        <v/>
      </c>
      <c r="V1169" s="400"/>
      <c r="W1169" s="410">
        <f t="shared" si="52"/>
        <v>30.6</v>
      </c>
      <c r="X1169" s="472">
        <f t="shared" ref="X1169:X1232" si="54">IF(W1169&gt;B1169+3,60,"")</f>
        <v>60</v>
      </c>
      <c r="AT1169" s="232"/>
      <c r="AV1169" s="198"/>
      <c r="AW1169" s="274"/>
    </row>
    <row r="1170" spans="2:49" x14ac:dyDescent="0.25">
      <c r="B1170" s="274">
        <v>20.8</v>
      </c>
      <c r="C1170" s="274">
        <v>63</v>
      </c>
      <c r="D1170" s="274">
        <v>20.8</v>
      </c>
      <c r="E1170" s="274">
        <v>4.7</v>
      </c>
      <c r="F1170" s="274">
        <v>5.4</v>
      </c>
      <c r="G1170" s="274">
        <v>329</v>
      </c>
      <c r="H1170" s="274">
        <v>1021.4</v>
      </c>
      <c r="I1170" s="274">
        <v>15717</v>
      </c>
      <c r="J1170" s="274">
        <v>0</v>
      </c>
      <c r="K1170" s="274">
        <v>0</v>
      </c>
      <c r="L1170" s="274">
        <v>0</v>
      </c>
      <c r="M1170" s="274">
        <v>65.3</v>
      </c>
      <c r="N1170" s="396">
        <v>599.79999999999995</v>
      </c>
      <c r="O1170" s="396">
        <v>30.5</v>
      </c>
      <c r="P1170" s="396">
        <v>25</v>
      </c>
      <c r="Q1170" s="397">
        <v>0.80625000000000002</v>
      </c>
      <c r="R1170" s="396"/>
      <c r="S1170" s="410"/>
      <c r="T1170" s="409"/>
      <c r="U1170" s="398" t="str">
        <f t="shared" si="53"/>
        <v/>
      </c>
      <c r="V1170" s="400"/>
      <c r="W1170" s="410">
        <f t="shared" si="52"/>
        <v>30.5</v>
      </c>
      <c r="X1170" s="472">
        <f t="shared" si="54"/>
        <v>60</v>
      </c>
      <c r="AT1170" s="232"/>
      <c r="AV1170" s="198"/>
      <c r="AW1170" s="274"/>
    </row>
    <row r="1171" spans="2:49" x14ac:dyDescent="0.25">
      <c r="B1171" s="274">
        <v>20.8</v>
      </c>
      <c r="C1171" s="274">
        <v>63</v>
      </c>
      <c r="D1171" s="274">
        <v>20.8</v>
      </c>
      <c r="E1171" s="274">
        <v>1.8</v>
      </c>
      <c r="F1171" s="274">
        <v>3.6</v>
      </c>
      <c r="G1171" s="274">
        <v>326</v>
      </c>
      <c r="H1171" s="274">
        <v>1021.4</v>
      </c>
      <c r="I1171" s="274">
        <v>14942</v>
      </c>
      <c r="J1171" s="274">
        <v>0</v>
      </c>
      <c r="K1171" s="274">
        <v>0</v>
      </c>
      <c r="L1171" s="274">
        <v>0</v>
      </c>
      <c r="M1171" s="274">
        <v>65.3</v>
      </c>
      <c r="N1171" s="396">
        <v>599.79999999999995</v>
      </c>
      <c r="O1171" s="396">
        <v>30.4</v>
      </c>
      <c r="P1171" s="396">
        <v>25</v>
      </c>
      <c r="Q1171" s="397">
        <v>0.80694444444444402</v>
      </c>
      <c r="R1171" s="396"/>
      <c r="S1171" s="410"/>
      <c r="T1171" s="409"/>
      <c r="U1171" s="398" t="str">
        <f t="shared" si="53"/>
        <v/>
      </c>
      <c r="V1171" s="400"/>
      <c r="W1171" s="410">
        <f t="shared" si="52"/>
        <v>30.4</v>
      </c>
      <c r="X1171" s="472">
        <f t="shared" si="54"/>
        <v>60</v>
      </c>
      <c r="AT1171" s="232"/>
      <c r="AV1171" s="198"/>
      <c r="AW1171" s="274"/>
    </row>
    <row r="1172" spans="2:49" x14ac:dyDescent="0.25">
      <c r="B1172" s="274">
        <v>21</v>
      </c>
      <c r="C1172" s="274">
        <v>63</v>
      </c>
      <c r="D1172" s="274">
        <v>21</v>
      </c>
      <c r="E1172" s="274">
        <v>4</v>
      </c>
      <c r="F1172" s="274">
        <v>5.4</v>
      </c>
      <c r="G1172" s="274">
        <v>303</v>
      </c>
      <c r="H1172" s="274">
        <v>1021.5</v>
      </c>
      <c r="I1172" s="274">
        <v>14337</v>
      </c>
      <c r="J1172" s="274">
        <v>0</v>
      </c>
      <c r="K1172" s="274">
        <v>0</v>
      </c>
      <c r="L1172" s="274">
        <v>0</v>
      </c>
      <c r="M1172" s="274">
        <v>65.3</v>
      </c>
      <c r="N1172" s="396">
        <v>599.79999999999995</v>
      </c>
      <c r="O1172" s="396">
        <v>30.4</v>
      </c>
      <c r="P1172" s="396">
        <v>25</v>
      </c>
      <c r="Q1172" s="397">
        <v>0.80763888888888902</v>
      </c>
      <c r="R1172" s="396"/>
      <c r="S1172" s="410"/>
      <c r="T1172" s="409"/>
      <c r="U1172" s="398" t="str">
        <f t="shared" si="53"/>
        <v/>
      </c>
      <c r="V1172" s="400"/>
      <c r="W1172" s="410">
        <f t="shared" si="52"/>
        <v>30.4</v>
      </c>
      <c r="X1172" s="472">
        <f t="shared" si="54"/>
        <v>60</v>
      </c>
      <c r="AT1172" s="232"/>
      <c r="AV1172" s="198"/>
      <c r="AW1172" s="274"/>
    </row>
    <row r="1173" spans="2:49" x14ac:dyDescent="0.25">
      <c r="B1173" s="274">
        <v>21</v>
      </c>
      <c r="C1173" s="274">
        <v>62</v>
      </c>
      <c r="D1173" s="274">
        <v>21</v>
      </c>
      <c r="E1173" s="274">
        <v>2.2000000000000002</v>
      </c>
      <c r="F1173" s="274">
        <v>3.6</v>
      </c>
      <c r="G1173" s="274">
        <v>297</v>
      </c>
      <c r="H1173" s="274">
        <v>1021.5</v>
      </c>
      <c r="I1173" s="274">
        <v>6975</v>
      </c>
      <c r="J1173" s="274">
        <v>0</v>
      </c>
      <c r="K1173" s="274">
        <v>0</v>
      </c>
      <c r="L1173" s="274">
        <v>0</v>
      </c>
      <c r="M1173" s="274">
        <v>65.3</v>
      </c>
      <c r="N1173" s="396">
        <v>599.79999999999995</v>
      </c>
      <c r="O1173" s="396">
        <v>30.3</v>
      </c>
      <c r="P1173" s="396">
        <v>25</v>
      </c>
      <c r="Q1173" s="397">
        <v>0.80833333333333302</v>
      </c>
      <c r="R1173" s="396"/>
      <c r="S1173" s="410"/>
      <c r="T1173" s="409"/>
      <c r="U1173" s="398" t="str">
        <f t="shared" si="53"/>
        <v/>
      </c>
      <c r="V1173" s="400"/>
      <c r="W1173" s="410">
        <f t="shared" si="52"/>
        <v>30.3</v>
      </c>
      <c r="X1173" s="472">
        <f t="shared" si="54"/>
        <v>60</v>
      </c>
      <c r="AT1173" s="232"/>
      <c r="AV1173" s="198"/>
      <c r="AW1173" s="274"/>
    </row>
    <row r="1174" spans="2:49" x14ac:dyDescent="0.25">
      <c r="B1174" s="274">
        <v>21</v>
      </c>
      <c r="C1174" s="274">
        <v>61</v>
      </c>
      <c r="D1174" s="274">
        <v>21</v>
      </c>
      <c r="E1174" s="274">
        <v>2.9</v>
      </c>
      <c r="F1174" s="274">
        <v>3.6</v>
      </c>
      <c r="G1174" s="274">
        <v>306</v>
      </c>
      <c r="H1174" s="274">
        <v>1021.4</v>
      </c>
      <c r="I1174" s="274">
        <v>14120</v>
      </c>
      <c r="J1174" s="274">
        <v>0</v>
      </c>
      <c r="K1174" s="274">
        <v>0</v>
      </c>
      <c r="L1174" s="274">
        <v>0</v>
      </c>
      <c r="M1174" s="274">
        <v>65.3</v>
      </c>
      <c r="N1174" s="396">
        <v>599.79999999999995</v>
      </c>
      <c r="O1174" s="396">
        <v>30.2</v>
      </c>
      <c r="P1174" s="396">
        <v>24.9</v>
      </c>
      <c r="Q1174" s="397">
        <v>0.80902777777777801</v>
      </c>
      <c r="R1174" s="396"/>
      <c r="S1174" s="410"/>
      <c r="T1174" s="409"/>
      <c r="U1174" s="398" t="str">
        <f t="shared" si="53"/>
        <v/>
      </c>
      <c r="V1174" s="400"/>
      <c r="W1174" s="410">
        <f t="shared" si="52"/>
        <v>30.2</v>
      </c>
      <c r="X1174" s="472">
        <f t="shared" si="54"/>
        <v>60</v>
      </c>
      <c r="AT1174" s="232"/>
      <c r="AV1174" s="198"/>
      <c r="AW1174" s="274"/>
    </row>
    <row r="1175" spans="2:49" x14ac:dyDescent="0.25">
      <c r="B1175" s="274">
        <v>21.1</v>
      </c>
      <c r="C1175" s="274">
        <v>62</v>
      </c>
      <c r="D1175" s="274">
        <v>21.1</v>
      </c>
      <c r="E1175" s="274">
        <v>1.8</v>
      </c>
      <c r="F1175" s="274">
        <v>1.8</v>
      </c>
      <c r="G1175" s="274">
        <v>313</v>
      </c>
      <c r="H1175" s="274">
        <v>1021.3</v>
      </c>
      <c r="I1175" s="274">
        <v>13841</v>
      </c>
      <c r="J1175" s="274">
        <v>0</v>
      </c>
      <c r="K1175" s="274">
        <v>0</v>
      </c>
      <c r="L1175" s="274">
        <v>0</v>
      </c>
      <c r="M1175" s="274">
        <v>65.3</v>
      </c>
      <c r="N1175" s="396">
        <v>599.79999999999995</v>
      </c>
      <c r="O1175" s="396">
        <v>30.2</v>
      </c>
      <c r="P1175" s="396">
        <v>24.9</v>
      </c>
      <c r="Q1175" s="397">
        <v>0.80972222222222201</v>
      </c>
      <c r="R1175" s="396"/>
      <c r="S1175" s="410"/>
      <c r="T1175" s="409"/>
      <c r="U1175" s="398" t="str">
        <f t="shared" si="53"/>
        <v/>
      </c>
      <c r="V1175" s="400"/>
      <c r="W1175" s="410">
        <f t="shared" si="52"/>
        <v>30.2</v>
      </c>
      <c r="X1175" s="472">
        <f t="shared" si="54"/>
        <v>60</v>
      </c>
      <c r="AT1175" s="232"/>
      <c r="AV1175" s="198"/>
      <c r="AW1175" s="274"/>
    </row>
    <row r="1176" spans="2:49" x14ac:dyDescent="0.25">
      <c r="B1176" s="274">
        <v>21.2</v>
      </c>
      <c r="C1176" s="274">
        <v>61</v>
      </c>
      <c r="D1176" s="274">
        <v>21.2</v>
      </c>
      <c r="E1176" s="274">
        <v>8.6</v>
      </c>
      <c r="F1176" s="274">
        <v>9.4</v>
      </c>
      <c r="G1176" s="274">
        <v>304</v>
      </c>
      <c r="H1176" s="274">
        <v>1021.5</v>
      </c>
      <c r="I1176" s="274">
        <v>13345</v>
      </c>
      <c r="J1176" s="274">
        <v>0</v>
      </c>
      <c r="K1176" s="274">
        <v>0</v>
      </c>
      <c r="L1176" s="274">
        <v>0</v>
      </c>
      <c r="M1176" s="274">
        <v>65.3</v>
      </c>
      <c r="N1176" s="396">
        <v>599.79999999999995</v>
      </c>
      <c r="O1176" s="396">
        <v>30.2</v>
      </c>
      <c r="P1176" s="396">
        <v>24.9</v>
      </c>
      <c r="Q1176" s="397">
        <v>0.81041666666666701</v>
      </c>
      <c r="R1176" s="396"/>
      <c r="S1176" s="410"/>
      <c r="T1176" s="409"/>
      <c r="U1176" s="398" t="str">
        <f t="shared" si="53"/>
        <v/>
      </c>
      <c r="V1176" s="400"/>
      <c r="W1176" s="410">
        <f t="shared" si="52"/>
        <v>30.2</v>
      </c>
      <c r="X1176" s="472">
        <f t="shared" si="54"/>
        <v>60</v>
      </c>
      <c r="AT1176" s="232"/>
      <c r="AV1176" s="198"/>
      <c r="AW1176" s="274"/>
    </row>
    <row r="1177" spans="2:49" x14ac:dyDescent="0.25">
      <c r="B1177" s="274">
        <v>21.2</v>
      </c>
      <c r="C1177" s="274">
        <v>62</v>
      </c>
      <c r="D1177" s="274">
        <v>21.2</v>
      </c>
      <c r="E1177" s="274">
        <v>7.2</v>
      </c>
      <c r="F1177" s="274">
        <v>9.4</v>
      </c>
      <c r="G1177" s="274">
        <v>269</v>
      </c>
      <c r="H1177" s="274">
        <v>1021.3</v>
      </c>
      <c r="I1177" s="274">
        <v>13128</v>
      </c>
      <c r="J1177" s="274">
        <v>0</v>
      </c>
      <c r="K1177" s="274">
        <v>0</v>
      </c>
      <c r="L1177" s="274">
        <v>0</v>
      </c>
      <c r="M1177" s="274">
        <v>65.3</v>
      </c>
      <c r="N1177" s="396">
        <v>599.79999999999995</v>
      </c>
      <c r="O1177" s="396">
        <v>30.2</v>
      </c>
      <c r="P1177" s="396">
        <v>24.9</v>
      </c>
      <c r="Q1177" s="397">
        <v>0.81111111111111101</v>
      </c>
      <c r="R1177" s="396"/>
      <c r="S1177" s="410"/>
      <c r="T1177" s="409"/>
      <c r="U1177" s="398" t="str">
        <f t="shared" si="53"/>
        <v/>
      </c>
      <c r="V1177" s="400"/>
      <c r="W1177" s="410">
        <f t="shared" si="52"/>
        <v>30.2</v>
      </c>
      <c r="X1177" s="472">
        <f t="shared" si="54"/>
        <v>60</v>
      </c>
      <c r="AT1177" s="232"/>
      <c r="AV1177" s="198"/>
      <c r="AW1177" s="274"/>
    </row>
    <row r="1178" spans="2:49" x14ac:dyDescent="0.25">
      <c r="B1178" s="274">
        <v>20.8</v>
      </c>
      <c r="C1178" s="274">
        <v>63</v>
      </c>
      <c r="D1178" s="274">
        <v>20.8</v>
      </c>
      <c r="E1178" s="274">
        <v>6.1</v>
      </c>
      <c r="F1178" s="274">
        <v>9.4</v>
      </c>
      <c r="G1178" s="274">
        <v>271</v>
      </c>
      <c r="H1178" s="274">
        <v>1021.4</v>
      </c>
      <c r="I1178" s="274">
        <v>5874</v>
      </c>
      <c r="J1178" s="274">
        <v>0</v>
      </c>
      <c r="K1178" s="274">
        <v>0</v>
      </c>
      <c r="L1178" s="274">
        <v>0</v>
      </c>
      <c r="M1178" s="274">
        <v>65.3</v>
      </c>
      <c r="N1178" s="396">
        <v>599.79999999999995</v>
      </c>
      <c r="O1178" s="396">
        <v>30.1</v>
      </c>
      <c r="P1178" s="396">
        <v>24.8</v>
      </c>
      <c r="Q1178" s="397">
        <v>0.811805555555556</v>
      </c>
      <c r="R1178" s="396"/>
      <c r="S1178" s="410"/>
      <c r="T1178" s="409"/>
      <c r="U1178" s="398" t="str">
        <f t="shared" si="53"/>
        <v/>
      </c>
      <c r="V1178" s="400"/>
      <c r="W1178" s="410">
        <f t="shared" si="52"/>
        <v>30.1</v>
      </c>
      <c r="X1178" s="472">
        <f t="shared" si="54"/>
        <v>60</v>
      </c>
      <c r="AT1178" s="232"/>
      <c r="AV1178" s="198"/>
      <c r="AW1178" s="274"/>
    </row>
    <row r="1179" spans="2:49" x14ac:dyDescent="0.25">
      <c r="B1179" s="274">
        <v>20.6</v>
      </c>
      <c r="C1179" s="274">
        <v>63</v>
      </c>
      <c r="D1179" s="274">
        <v>20.6</v>
      </c>
      <c r="E1179" s="274">
        <v>3.2</v>
      </c>
      <c r="F1179" s="274">
        <v>5.4</v>
      </c>
      <c r="G1179" s="274">
        <v>255</v>
      </c>
      <c r="H1179" s="274">
        <v>1021.5</v>
      </c>
      <c r="I1179" s="274">
        <v>5921</v>
      </c>
      <c r="J1179" s="274">
        <v>0</v>
      </c>
      <c r="K1179" s="274">
        <v>0</v>
      </c>
      <c r="L1179" s="274">
        <v>0</v>
      </c>
      <c r="M1179" s="274">
        <v>65.3</v>
      </c>
      <c r="N1179" s="396">
        <v>599.79999999999995</v>
      </c>
      <c r="O1179" s="396">
        <v>29.9</v>
      </c>
      <c r="P1179" s="396">
        <v>24.8</v>
      </c>
      <c r="Q1179" s="397">
        <v>0.8125</v>
      </c>
      <c r="R1179" s="396"/>
      <c r="S1179" s="410"/>
      <c r="T1179" s="409"/>
      <c r="U1179" s="398" t="str">
        <f t="shared" si="53"/>
        <v/>
      </c>
      <c r="V1179" s="400"/>
      <c r="W1179" s="410">
        <f t="shared" si="52"/>
        <v>29.9</v>
      </c>
      <c r="X1179" s="472">
        <f t="shared" si="54"/>
        <v>60</v>
      </c>
      <c r="AT1179" s="232"/>
      <c r="AV1179" s="198"/>
      <c r="AW1179" s="274"/>
    </row>
    <row r="1180" spans="2:49" x14ac:dyDescent="0.25">
      <c r="B1180" s="274">
        <v>20.6</v>
      </c>
      <c r="C1180" s="274">
        <v>63</v>
      </c>
      <c r="D1180" s="274">
        <v>20.6</v>
      </c>
      <c r="E1180" s="274">
        <v>3.2</v>
      </c>
      <c r="F1180" s="274">
        <v>5.4</v>
      </c>
      <c r="G1180" s="274">
        <v>275</v>
      </c>
      <c r="H1180" s="274">
        <v>1021.5</v>
      </c>
      <c r="I1180" s="274">
        <v>6308</v>
      </c>
      <c r="J1180" s="274">
        <v>0</v>
      </c>
      <c r="K1180" s="274">
        <v>0</v>
      </c>
      <c r="L1180" s="274">
        <v>0</v>
      </c>
      <c r="M1180" s="274">
        <v>65.3</v>
      </c>
      <c r="N1180" s="396">
        <v>599.79999999999995</v>
      </c>
      <c r="O1180" s="396">
        <v>29.8</v>
      </c>
      <c r="P1180" s="396">
        <v>24.8</v>
      </c>
      <c r="Q1180" s="397">
        <v>0.813194444444444</v>
      </c>
      <c r="R1180" s="396"/>
      <c r="S1180" s="410"/>
      <c r="T1180" s="409"/>
      <c r="U1180" s="398" t="str">
        <f t="shared" si="53"/>
        <v/>
      </c>
      <c r="V1180" s="400"/>
      <c r="W1180" s="410">
        <f t="shared" si="52"/>
        <v>29.8</v>
      </c>
      <c r="X1180" s="472">
        <f t="shared" si="54"/>
        <v>60</v>
      </c>
      <c r="AT1180" s="232"/>
      <c r="AV1180" s="198"/>
      <c r="AW1180" s="274"/>
    </row>
    <row r="1181" spans="2:49" x14ac:dyDescent="0.25">
      <c r="B1181" s="274">
        <v>20.6</v>
      </c>
      <c r="C1181" s="274">
        <v>64</v>
      </c>
      <c r="D1181" s="274">
        <v>20.6</v>
      </c>
      <c r="E1181" s="274">
        <v>5</v>
      </c>
      <c r="F1181" s="274">
        <v>5.4</v>
      </c>
      <c r="G1181" s="274">
        <v>266</v>
      </c>
      <c r="H1181" s="274">
        <v>1021.4</v>
      </c>
      <c r="I1181" s="274">
        <v>6200</v>
      </c>
      <c r="J1181" s="274">
        <v>0</v>
      </c>
      <c r="K1181" s="274">
        <v>0</v>
      </c>
      <c r="L1181" s="274">
        <v>0</v>
      </c>
      <c r="M1181" s="274">
        <v>65.3</v>
      </c>
      <c r="N1181" s="396">
        <v>599.79999999999995</v>
      </c>
      <c r="O1181" s="396">
        <v>29.7</v>
      </c>
      <c r="P1181" s="396">
        <v>24.8</v>
      </c>
      <c r="Q1181" s="397">
        <v>0.81388888888888899</v>
      </c>
      <c r="R1181" s="396"/>
      <c r="S1181" s="410"/>
      <c r="T1181" s="409"/>
      <c r="U1181" s="398" t="str">
        <f t="shared" si="53"/>
        <v/>
      </c>
      <c r="V1181" s="400"/>
      <c r="W1181" s="410">
        <f t="shared" si="52"/>
        <v>29.7</v>
      </c>
      <c r="X1181" s="472">
        <f t="shared" si="54"/>
        <v>60</v>
      </c>
      <c r="AT1181" s="232"/>
      <c r="AV1181" s="198"/>
      <c r="AW1181" s="274"/>
    </row>
    <row r="1182" spans="2:49" x14ac:dyDescent="0.25">
      <c r="B1182" s="274">
        <v>20.5</v>
      </c>
      <c r="C1182" s="274">
        <v>63</v>
      </c>
      <c r="D1182" s="274">
        <v>20.5</v>
      </c>
      <c r="E1182" s="274">
        <v>3.6</v>
      </c>
      <c r="F1182" s="274">
        <v>5.4</v>
      </c>
      <c r="G1182" s="274">
        <v>253</v>
      </c>
      <c r="H1182" s="274">
        <v>1021.4</v>
      </c>
      <c r="I1182" s="274">
        <v>5874</v>
      </c>
      <c r="J1182" s="274">
        <v>0</v>
      </c>
      <c r="K1182" s="274">
        <v>0</v>
      </c>
      <c r="L1182" s="274">
        <v>0</v>
      </c>
      <c r="M1182" s="274">
        <v>65.3</v>
      </c>
      <c r="N1182" s="396">
        <v>599.79999999999995</v>
      </c>
      <c r="O1182" s="396">
        <v>29.5</v>
      </c>
      <c r="P1182" s="396">
        <v>24.8</v>
      </c>
      <c r="Q1182" s="397">
        <v>0.81458333333333299</v>
      </c>
      <c r="R1182" s="396"/>
      <c r="S1182" s="410"/>
      <c r="T1182" s="409"/>
      <c r="U1182" s="398" t="str">
        <f t="shared" si="53"/>
        <v/>
      </c>
      <c r="V1182" s="400"/>
      <c r="W1182" s="410">
        <f t="shared" si="52"/>
        <v>29.5</v>
      </c>
      <c r="X1182" s="472">
        <f t="shared" si="54"/>
        <v>60</v>
      </c>
      <c r="AT1182" s="232"/>
      <c r="AV1182" s="198"/>
      <c r="AW1182" s="274"/>
    </row>
    <row r="1183" spans="2:49" x14ac:dyDescent="0.25">
      <c r="B1183" s="274">
        <v>20.6</v>
      </c>
      <c r="C1183" s="274">
        <v>63</v>
      </c>
      <c r="D1183" s="274">
        <v>20.6</v>
      </c>
      <c r="E1183" s="274">
        <v>4</v>
      </c>
      <c r="F1183" s="274">
        <v>5.4</v>
      </c>
      <c r="G1183" s="274">
        <v>275</v>
      </c>
      <c r="H1183" s="274">
        <v>1021.3</v>
      </c>
      <c r="I1183" s="274">
        <v>6153</v>
      </c>
      <c r="J1183" s="274">
        <v>0</v>
      </c>
      <c r="K1183" s="274">
        <v>0</v>
      </c>
      <c r="L1183" s="274">
        <v>0</v>
      </c>
      <c r="M1183" s="274">
        <v>65.3</v>
      </c>
      <c r="N1183" s="396">
        <v>599.79999999999995</v>
      </c>
      <c r="O1183" s="396">
        <v>29.4</v>
      </c>
      <c r="P1183" s="396">
        <v>24.8</v>
      </c>
      <c r="Q1183" s="397">
        <v>0.81527777777777799</v>
      </c>
      <c r="R1183" s="396"/>
      <c r="S1183" s="410"/>
      <c r="T1183" s="409"/>
      <c r="U1183" s="398" t="str">
        <f t="shared" si="53"/>
        <v/>
      </c>
      <c r="V1183" s="400"/>
      <c r="W1183" s="410">
        <f t="shared" si="52"/>
        <v>29.4</v>
      </c>
      <c r="X1183" s="472">
        <f t="shared" si="54"/>
        <v>60</v>
      </c>
      <c r="AT1183" s="232"/>
      <c r="AV1183" s="198"/>
      <c r="AW1183" s="274"/>
    </row>
    <row r="1184" spans="2:49" x14ac:dyDescent="0.25">
      <c r="B1184" s="274">
        <v>20.6</v>
      </c>
      <c r="C1184" s="274">
        <v>63</v>
      </c>
      <c r="D1184" s="274">
        <v>20.6</v>
      </c>
      <c r="E1184" s="274">
        <v>1.1000000000000001</v>
      </c>
      <c r="F1184" s="274">
        <v>1.8</v>
      </c>
      <c r="G1184" s="274">
        <v>312</v>
      </c>
      <c r="H1184" s="274">
        <v>1021.5</v>
      </c>
      <c r="I1184" s="274">
        <v>5549</v>
      </c>
      <c r="J1184" s="274">
        <v>0</v>
      </c>
      <c r="K1184" s="274">
        <v>0</v>
      </c>
      <c r="L1184" s="274">
        <v>0</v>
      </c>
      <c r="M1184" s="274">
        <v>65.3</v>
      </c>
      <c r="N1184" s="396">
        <v>599.79999999999995</v>
      </c>
      <c r="O1184" s="396">
        <v>29.3</v>
      </c>
      <c r="P1184" s="396">
        <v>24.9</v>
      </c>
      <c r="Q1184" s="397">
        <v>0.81597222222222199</v>
      </c>
      <c r="R1184" s="396"/>
      <c r="S1184" s="410"/>
      <c r="T1184" s="409"/>
      <c r="U1184" s="398" t="str">
        <f t="shared" si="53"/>
        <v/>
      </c>
      <c r="V1184" s="400"/>
      <c r="W1184" s="410">
        <f t="shared" si="52"/>
        <v>29.3</v>
      </c>
      <c r="X1184" s="472">
        <f t="shared" si="54"/>
        <v>60</v>
      </c>
      <c r="AT1184" s="232"/>
      <c r="AV1184" s="198"/>
      <c r="AW1184" s="274"/>
    </row>
    <row r="1185" spans="2:49" x14ac:dyDescent="0.25">
      <c r="B1185" s="274">
        <v>20.7</v>
      </c>
      <c r="C1185" s="274">
        <v>63</v>
      </c>
      <c r="D1185" s="274">
        <v>20.7</v>
      </c>
      <c r="E1185" s="274">
        <v>5</v>
      </c>
      <c r="F1185" s="274">
        <v>5.4</v>
      </c>
      <c r="G1185" s="274">
        <v>282</v>
      </c>
      <c r="H1185" s="274">
        <v>1021.4</v>
      </c>
      <c r="I1185" s="274">
        <v>6308</v>
      </c>
      <c r="J1185" s="274">
        <v>0</v>
      </c>
      <c r="K1185" s="274">
        <v>0</v>
      </c>
      <c r="L1185" s="274">
        <v>0</v>
      </c>
      <c r="M1185" s="274">
        <v>65.3</v>
      </c>
      <c r="N1185" s="396">
        <v>599.79999999999995</v>
      </c>
      <c r="O1185" s="396">
        <v>29.3</v>
      </c>
      <c r="P1185" s="396">
        <v>24.8</v>
      </c>
      <c r="Q1185" s="397">
        <v>0.81666666666666698</v>
      </c>
      <c r="R1185" s="396"/>
      <c r="S1185" s="410"/>
      <c r="T1185" s="409"/>
      <c r="U1185" s="398" t="str">
        <f t="shared" si="53"/>
        <v/>
      </c>
      <c r="V1185" s="400"/>
      <c r="W1185" s="410">
        <f t="shared" si="52"/>
        <v>29.3</v>
      </c>
      <c r="X1185" s="472">
        <f t="shared" si="54"/>
        <v>60</v>
      </c>
      <c r="AT1185" s="232"/>
      <c r="AV1185" s="198"/>
      <c r="AW1185" s="274"/>
    </row>
    <row r="1186" spans="2:49" x14ac:dyDescent="0.25">
      <c r="B1186" s="274">
        <v>20.7</v>
      </c>
      <c r="C1186" s="274">
        <v>64</v>
      </c>
      <c r="D1186" s="274">
        <v>20.7</v>
      </c>
      <c r="E1186" s="274">
        <v>6.5</v>
      </c>
      <c r="F1186" s="274">
        <v>7.2</v>
      </c>
      <c r="G1186" s="274">
        <v>277</v>
      </c>
      <c r="H1186" s="274">
        <v>1021.4</v>
      </c>
      <c r="I1186" s="274">
        <v>5657</v>
      </c>
      <c r="J1186" s="274">
        <v>0</v>
      </c>
      <c r="K1186" s="274">
        <v>0</v>
      </c>
      <c r="L1186" s="274">
        <v>0</v>
      </c>
      <c r="M1186" s="274">
        <v>65.3</v>
      </c>
      <c r="N1186" s="396">
        <v>599.79999999999995</v>
      </c>
      <c r="O1186" s="396">
        <v>29.3</v>
      </c>
      <c r="P1186" s="396">
        <v>24.8</v>
      </c>
      <c r="Q1186" s="397">
        <v>0.81736111111111098</v>
      </c>
      <c r="R1186" s="396"/>
      <c r="S1186" s="410"/>
      <c r="T1186" s="409"/>
      <c r="U1186" s="398" t="str">
        <f t="shared" si="53"/>
        <v/>
      </c>
      <c r="V1186" s="400"/>
      <c r="W1186" s="410">
        <f t="shared" si="52"/>
        <v>29.3</v>
      </c>
      <c r="X1186" s="472">
        <f t="shared" si="54"/>
        <v>60</v>
      </c>
      <c r="AT1186" s="232"/>
      <c r="AV1186" s="198"/>
      <c r="AW1186" s="274"/>
    </row>
    <row r="1187" spans="2:49" x14ac:dyDescent="0.25">
      <c r="B1187" s="274">
        <v>20.7</v>
      </c>
      <c r="C1187" s="274">
        <v>64</v>
      </c>
      <c r="D1187" s="274">
        <v>20.7</v>
      </c>
      <c r="E1187" s="274">
        <v>5.4</v>
      </c>
      <c r="F1187" s="274">
        <v>7.2</v>
      </c>
      <c r="G1187" s="274">
        <v>280</v>
      </c>
      <c r="H1187" s="274">
        <v>1021.3</v>
      </c>
      <c r="I1187" s="274">
        <v>5487</v>
      </c>
      <c r="J1187" s="274">
        <v>0</v>
      </c>
      <c r="K1187" s="274">
        <v>0</v>
      </c>
      <c r="L1187" s="274">
        <v>0</v>
      </c>
      <c r="M1187" s="274">
        <v>65.3</v>
      </c>
      <c r="N1187" s="396">
        <v>599.79999999999995</v>
      </c>
      <c r="O1187" s="396">
        <v>29.2</v>
      </c>
      <c r="P1187" s="396">
        <v>24.8</v>
      </c>
      <c r="Q1187" s="397">
        <v>0.81805555555555598</v>
      </c>
      <c r="R1187" s="396"/>
      <c r="S1187" s="410"/>
      <c r="T1187" s="409"/>
      <c r="U1187" s="398" t="str">
        <f t="shared" si="53"/>
        <v/>
      </c>
      <c r="V1187" s="400"/>
      <c r="W1187" s="410">
        <f t="shared" si="52"/>
        <v>29.2</v>
      </c>
      <c r="X1187" s="472">
        <f t="shared" si="54"/>
        <v>60</v>
      </c>
      <c r="AT1187" s="232"/>
      <c r="AV1187" s="198"/>
      <c r="AW1187" s="274"/>
    </row>
    <row r="1188" spans="2:49" x14ac:dyDescent="0.25">
      <c r="B1188" s="274">
        <v>20.6</v>
      </c>
      <c r="C1188" s="274">
        <v>64</v>
      </c>
      <c r="D1188" s="274">
        <v>20.6</v>
      </c>
      <c r="E1188" s="274">
        <v>4.3</v>
      </c>
      <c r="F1188" s="274">
        <v>7.2</v>
      </c>
      <c r="G1188" s="274">
        <v>274</v>
      </c>
      <c r="H1188" s="274">
        <v>1021.1</v>
      </c>
      <c r="I1188" s="274">
        <v>5440</v>
      </c>
      <c r="J1188" s="274">
        <v>0</v>
      </c>
      <c r="K1188" s="274">
        <v>0</v>
      </c>
      <c r="L1188" s="274">
        <v>0</v>
      </c>
      <c r="M1188" s="274">
        <v>65.3</v>
      </c>
      <c r="N1188" s="396">
        <v>599.79999999999995</v>
      </c>
      <c r="O1188" s="396">
        <v>29.1</v>
      </c>
      <c r="P1188" s="396">
        <v>24.8</v>
      </c>
      <c r="Q1188" s="397">
        <v>0.81874999999999998</v>
      </c>
      <c r="R1188" s="396"/>
      <c r="S1188" s="410"/>
      <c r="T1188" s="409"/>
      <c r="U1188" s="398" t="str">
        <f t="shared" si="53"/>
        <v/>
      </c>
      <c r="V1188" s="400"/>
      <c r="W1188" s="410">
        <f t="shared" si="52"/>
        <v>29.1</v>
      </c>
      <c r="X1188" s="472">
        <f t="shared" si="54"/>
        <v>60</v>
      </c>
      <c r="AT1188" s="232"/>
      <c r="AV1188" s="198"/>
      <c r="AW1188" s="274"/>
    </row>
    <row r="1189" spans="2:49" x14ac:dyDescent="0.25">
      <c r="B1189" s="274">
        <v>20.6</v>
      </c>
      <c r="C1189" s="274">
        <v>64</v>
      </c>
      <c r="D1189" s="274">
        <v>20.6</v>
      </c>
      <c r="E1189" s="274">
        <v>1.1000000000000001</v>
      </c>
      <c r="F1189" s="274">
        <v>1.8</v>
      </c>
      <c r="G1189" s="274">
        <v>285</v>
      </c>
      <c r="H1189" s="274">
        <v>1021.5</v>
      </c>
      <c r="I1189" s="274">
        <v>5378</v>
      </c>
      <c r="J1189" s="274">
        <v>0</v>
      </c>
      <c r="K1189" s="274">
        <v>0</v>
      </c>
      <c r="L1189" s="274">
        <v>0</v>
      </c>
      <c r="M1189" s="274">
        <v>65.3</v>
      </c>
      <c r="N1189" s="396">
        <v>599.79999999999995</v>
      </c>
      <c r="O1189" s="396">
        <v>29</v>
      </c>
      <c r="P1189" s="396">
        <v>24.8</v>
      </c>
      <c r="Q1189" s="397">
        <v>0.81944444444444497</v>
      </c>
      <c r="R1189" s="396"/>
      <c r="S1189" s="410"/>
      <c r="T1189" s="409"/>
      <c r="U1189" s="398" t="str">
        <f t="shared" si="53"/>
        <v/>
      </c>
      <c r="V1189" s="400"/>
      <c r="W1189" s="410">
        <f t="shared" si="52"/>
        <v>29</v>
      </c>
      <c r="X1189" s="472">
        <f t="shared" si="54"/>
        <v>60</v>
      </c>
      <c r="AT1189" s="232"/>
      <c r="AV1189" s="198"/>
      <c r="AW1189" s="274"/>
    </row>
    <row r="1190" spans="2:49" x14ac:dyDescent="0.25">
      <c r="B1190" s="274">
        <v>20.7</v>
      </c>
      <c r="C1190" s="274">
        <v>64</v>
      </c>
      <c r="D1190" s="274">
        <v>20.7</v>
      </c>
      <c r="E1190" s="274">
        <v>4.7</v>
      </c>
      <c r="F1190" s="274">
        <v>5.4</v>
      </c>
      <c r="G1190" s="274">
        <v>247</v>
      </c>
      <c r="H1190" s="274">
        <v>1021.4</v>
      </c>
      <c r="I1190" s="274">
        <v>5208</v>
      </c>
      <c r="J1190" s="274">
        <v>0</v>
      </c>
      <c r="K1190" s="274">
        <v>0</v>
      </c>
      <c r="L1190" s="274">
        <v>0</v>
      </c>
      <c r="M1190" s="274">
        <v>65.3</v>
      </c>
      <c r="N1190" s="396">
        <v>599.79999999999995</v>
      </c>
      <c r="O1190" s="396">
        <v>29</v>
      </c>
      <c r="P1190" s="396">
        <v>24.7</v>
      </c>
      <c r="Q1190" s="397">
        <v>0.82013888888888897</v>
      </c>
      <c r="R1190" s="396"/>
      <c r="S1190" s="410"/>
      <c r="T1190" s="409"/>
      <c r="U1190" s="398" t="str">
        <f t="shared" si="53"/>
        <v/>
      </c>
      <c r="V1190" s="400"/>
      <c r="W1190" s="410">
        <f t="shared" si="52"/>
        <v>29</v>
      </c>
      <c r="X1190" s="472">
        <f t="shared" si="54"/>
        <v>60</v>
      </c>
      <c r="AT1190" s="232"/>
      <c r="AV1190" s="198"/>
      <c r="AW1190" s="274"/>
    </row>
    <row r="1191" spans="2:49" x14ac:dyDescent="0.25">
      <c r="B1191" s="274">
        <v>20.7</v>
      </c>
      <c r="C1191" s="274">
        <v>65</v>
      </c>
      <c r="D1191" s="274">
        <v>20.7</v>
      </c>
      <c r="E1191" s="274">
        <v>5.4</v>
      </c>
      <c r="F1191" s="274">
        <v>5.4</v>
      </c>
      <c r="G1191" s="274">
        <v>268</v>
      </c>
      <c r="H1191" s="274">
        <v>1021.2</v>
      </c>
      <c r="I1191" s="274">
        <v>5161</v>
      </c>
      <c r="J1191" s="274">
        <v>0</v>
      </c>
      <c r="K1191" s="274">
        <v>0</v>
      </c>
      <c r="L1191" s="274">
        <v>0</v>
      </c>
      <c r="M1191" s="274">
        <v>65.3</v>
      </c>
      <c r="N1191" s="396">
        <v>599.79999999999995</v>
      </c>
      <c r="O1191" s="396">
        <v>28.9</v>
      </c>
      <c r="P1191" s="396">
        <v>24.7</v>
      </c>
      <c r="Q1191" s="397">
        <v>0.82083333333333297</v>
      </c>
      <c r="R1191" s="396"/>
      <c r="S1191" s="410"/>
      <c r="T1191" s="409"/>
      <c r="U1191" s="398" t="str">
        <f t="shared" si="53"/>
        <v/>
      </c>
      <c r="V1191" s="400"/>
      <c r="W1191" s="410">
        <f t="shared" si="52"/>
        <v>28.9</v>
      </c>
      <c r="X1191" s="472">
        <f t="shared" si="54"/>
        <v>60</v>
      </c>
      <c r="AT1191" s="232"/>
      <c r="AV1191" s="198"/>
      <c r="AW1191" s="274"/>
    </row>
    <row r="1192" spans="2:49" x14ac:dyDescent="0.25">
      <c r="B1192" s="274">
        <v>20.7</v>
      </c>
      <c r="C1192" s="274">
        <v>65</v>
      </c>
      <c r="D1192" s="274">
        <v>20.7</v>
      </c>
      <c r="E1192" s="274">
        <v>1.8</v>
      </c>
      <c r="F1192" s="274">
        <v>3.6</v>
      </c>
      <c r="G1192" s="274">
        <v>287</v>
      </c>
      <c r="H1192" s="274">
        <v>1021.2</v>
      </c>
      <c r="I1192" s="274">
        <v>5208</v>
      </c>
      <c r="J1192" s="274">
        <v>0</v>
      </c>
      <c r="K1192" s="274">
        <v>0</v>
      </c>
      <c r="L1192" s="274">
        <v>0</v>
      </c>
      <c r="M1192" s="274">
        <v>65.3</v>
      </c>
      <c r="N1192" s="396">
        <v>599.79999999999995</v>
      </c>
      <c r="O1192" s="396">
        <v>28.8</v>
      </c>
      <c r="P1192" s="396">
        <v>24.7</v>
      </c>
      <c r="Q1192" s="397">
        <v>0.82152777777777797</v>
      </c>
      <c r="R1192" s="396"/>
      <c r="S1192" s="410"/>
      <c r="T1192" s="409"/>
      <c r="U1192" s="398" t="str">
        <f t="shared" si="53"/>
        <v/>
      </c>
      <c r="V1192" s="400"/>
      <c r="W1192" s="410">
        <f t="shared" si="52"/>
        <v>28.8</v>
      </c>
      <c r="X1192" s="472">
        <f t="shared" si="54"/>
        <v>60</v>
      </c>
      <c r="AT1192" s="232"/>
      <c r="AV1192" s="198"/>
      <c r="AW1192" s="274"/>
    </row>
    <row r="1193" spans="2:49" x14ac:dyDescent="0.25">
      <c r="B1193" s="274">
        <v>20.6</v>
      </c>
      <c r="C1193" s="274">
        <v>65</v>
      </c>
      <c r="D1193" s="274">
        <v>20.6</v>
      </c>
      <c r="E1193" s="274">
        <v>9.4</v>
      </c>
      <c r="F1193" s="274">
        <v>11.2</v>
      </c>
      <c r="G1193" s="274">
        <v>278</v>
      </c>
      <c r="H1193" s="274">
        <v>1021.2</v>
      </c>
      <c r="I1193" s="274">
        <v>5161</v>
      </c>
      <c r="J1193" s="274">
        <v>0</v>
      </c>
      <c r="K1193" s="274">
        <v>0</v>
      </c>
      <c r="L1193" s="274">
        <v>0</v>
      </c>
      <c r="M1193" s="274">
        <v>65.3</v>
      </c>
      <c r="N1193" s="396">
        <v>599.79999999999995</v>
      </c>
      <c r="O1193" s="396">
        <v>28.8</v>
      </c>
      <c r="P1193" s="396">
        <v>24.6</v>
      </c>
      <c r="Q1193" s="397">
        <v>0.82222222222222197</v>
      </c>
      <c r="R1193" s="396"/>
      <c r="S1193" s="410"/>
      <c r="T1193" s="409"/>
      <c r="U1193" s="398" t="str">
        <f t="shared" si="53"/>
        <v/>
      </c>
      <c r="V1193" s="400"/>
      <c r="W1193" s="410">
        <f t="shared" si="52"/>
        <v>28.8</v>
      </c>
      <c r="X1193" s="472">
        <f t="shared" si="54"/>
        <v>60</v>
      </c>
      <c r="AT1193" s="232"/>
      <c r="AV1193" s="198"/>
      <c r="AW1193" s="274"/>
    </row>
    <row r="1194" spans="2:49" x14ac:dyDescent="0.25">
      <c r="B1194" s="274">
        <v>20.6</v>
      </c>
      <c r="C1194" s="274">
        <v>65</v>
      </c>
      <c r="D1194" s="274">
        <v>20.6</v>
      </c>
      <c r="E1194" s="274">
        <v>6.1</v>
      </c>
      <c r="F1194" s="274">
        <v>7.2</v>
      </c>
      <c r="G1194" s="274">
        <v>259</v>
      </c>
      <c r="H1194" s="274">
        <v>1021.4</v>
      </c>
      <c r="I1194" s="274">
        <v>5099</v>
      </c>
      <c r="J1194" s="274">
        <v>0</v>
      </c>
      <c r="K1194" s="274">
        <v>0</v>
      </c>
      <c r="L1194" s="274">
        <v>0</v>
      </c>
      <c r="M1194" s="274">
        <v>65.3</v>
      </c>
      <c r="N1194" s="396">
        <v>599.79999999999995</v>
      </c>
      <c r="O1194" s="396">
        <v>28.7</v>
      </c>
      <c r="P1194" s="396">
        <v>24.6</v>
      </c>
      <c r="Q1194" s="397">
        <v>0.82291666666666696</v>
      </c>
      <c r="R1194" s="396"/>
      <c r="S1194" s="410"/>
      <c r="T1194" s="409"/>
      <c r="U1194" s="398" t="str">
        <f t="shared" si="53"/>
        <v/>
      </c>
      <c r="V1194" s="400"/>
      <c r="W1194" s="410">
        <f t="shared" si="52"/>
        <v>28.7</v>
      </c>
      <c r="X1194" s="472">
        <f t="shared" si="54"/>
        <v>60</v>
      </c>
      <c r="AT1194" s="232"/>
      <c r="AV1194" s="198"/>
      <c r="AW1194" s="274"/>
    </row>
    <row r="1195" spans="2:49" x14ac:dyDescent="0.25">
      <c r="B1195" s="274">
        <v>20.5</v>
      </c>
      <c r="C1195" s="274">
        <v>65</v>
      </c>
      <c r="D1195" s="274">
        <v>20.5</v>
      </c>
      <c r="E1195" s="274">
        <v>2.2000000000000002</v>
      </c>
      <c r="F1195" s="274">
        <v>3.6</v>
      </c>
      <c r="G1195" s="274">
        <v>255</v>
      </c>
      <c r="H1195" s="274">
        <v>1021.2</v>
      </c>
      <c r="I1195" s="274">
        <v>5053</v>
      </c>
      <c r="J1195" s="274">
        <v>0</v>
      </c>
      <c r="K1195" s="274">
        <v>0</v>
      </c>
      <c r="L1195" s="274">
        <v>0</v>
      </c>
      <c r="M1195" s="274">
        <v>65.3</v>
      </c>
      <c r="N1195" s="396">
        <v>599.79999999999995</v>
      </c>
      <c r="O1195" s="396">
        <v>28.7</v>
      </c>
      <c r="P1195" s="396">
        <v>24.6</v>
      </c>
      <c r="Q1195" s="397">
        <v>0.82361111111111096</v>
      </c>
      <c r="R1195" s="396"/>
      <c r="S1195" s="410"/>
      <c r="T1195" s="409"/>
      <c r="U1195" s="398" t="str">
        <f t="shared" si="53"/>
        <v/>
      </c>
      <c r="V1195" s="400"/>
      <c r="W1195" s="410">
        <f t="shared" si="52"/>
        <v>28.7</v>
      </c>
      <c r="X1195" s="472">
        <f t="shared" si="54"/>
        <v>60</v>
      </c>
      <c r="AT1195" s="232"/>
      <c r="AV1195" s="198"/>
      <c r="AW1195" s="274"/>
    </row>
    <row r="1196" spans="2:49" x14ac:dyDescent="0.25">
      <c r="B1196" s="274">
        <v>20.399999999999999</v>
      </c>
      <c r="C1196" s="274">
        <v>65</v>
      </c>
      <c r="D1196" s="274">
        <v>20.399999999999999</v>
      </c>
      <c r="E1196" s="274">
        <v>3.6</v>
      </c>
      <c r="F1196" s="274">
        <v>5.4</v>
      </c>
      <c r="G1196" s="274">
        <v>259</v>
      </c>
      <c r="H1196" s="274">
        <v>1021.4</v>
      </c>
      <c r="I1196" s="274">
        <v>4944</v>
      </c>
      <c r="J1196" s="274">
        <v>0</v>
      </c>
      <c r="K1196" s="274">
        <v>0</v>
      </c>
      <c r="L1196" s="274">
        <v>0</v>
      </c>
      <c r="M1196" s="274">
        <v>65.3</v>
      </c>
      <c r="N1196" s="396">
        <v>599.79999999999995</v>
      </c>
      <c r="O1196" s="396">
        <v>28.5</v>
      </c>
      <c r="P1196" s="396">
        <v>24.5</v>
      </c>
      <c r="Q1196" s="397">
        <v>0.82430555555555596</v>
      </c>
      <c r="R1196" s="396"/>
      <c r="S1196" s="410"/>
      <c r="T1196" s="409"/>
      <c r="U1196" s="398" t="str">
        <f t="shared" si="53"/>
        <v/>
      </c>
      <c r="V1196" s="400"/>
      <c r="W1196" s="410">
        <f t="shared" si="52"/>
        <v>28.5</v>
      </c>
      <c r="X1196" s="472">
        <f t="shared" si="54"/>
        <v>60</v>
      </c>
      <c r="AT1196" s="232"/>
      <c r="AV1196" s="198"/>
      <c r="AW1196" s="274"/>
    </row>
    <row r="1197" spans="2:49" x14ac:dyDescent="0.25">
      <c r="B1197" s="274">
        <v>20.399999999999999</v>
      </c>
      <c r="C1197" s="274">
        <v>64</v>
      </c>
      <c r="D1197" s="274">
        <v>20.399999999999999</v>
      </c>
      <c r="E1197" s="274">
        <v>7.2</v>
      </c>
      <c r="F1197" s="274">
        <v>9.4</v>
      </c>
      <c r="G1197" s="274">
        <v>287</v>
      </c>
      <c r="H1197" s="274">
        <v>1021.3</v>
      </c>
      <c r="I1197" s="274">
        <v>7471</v>
      </c>
      <c r="J1197" s="274">
        <v>0</v>
      </c>
      <c r="K1197" s="274">
        <v>0</v>
      </c>
      <c r="L1197" s="274">
        <v>0</v>
      </c>
      <c r="M1197" s="274">
        <v>65.3</v>
      </c>
      <c r="N1197" s="396">
        <v>599.79999999999995</v>
      </c>
      <c r="O1197" s="396">
        <v>28.4</v>
      </c>
      <c r="P1197" s="396">
        <v>24.4</v>
      </c>
      <c r="Q1197" s="397">
        <v>0.82499999999999996</v>
      </c>
      <c r="R1197" s="396"/>
      <c r="S1197" s="410"/>
      <c r="T1197" s="409"/>
      <c r="U1197" s="398" t="str">
        <f t="shared" si="53"/>
        <v/>
      </c>
      <c r="V1197" s="400"/>
      <c r="W1197" s="410">
        <f t="shared" si="52"/>
        <v>28.4</v>
      </c>
      <c r="X1197" s="472">
        <f t="shared" si="54"/>
        <v>60</v>
      </c>
      <c r="AT1197" s="232"/>
      <c r="AV1197" s="198"/>
      <c r="AW1197" s="274"/>
    </row>
    <row r="1198" spans="2:49" x14ac:dyDescent="0.25">
      <c r="B1198" s="274">
        <v>20.3</v>
      </c>
      <c r="C1198" s="274">
        <v>64</v>
      </c>
      <c r="D1198" s="274">
        <v>20.3</v>
      </c>
      <c r="E1198" s="274">
        <v>6.5</v>
      </c>
      <c r="F1198" s="274">
        <v>9.4</v>
      </c>
      <c r="G1198" s="274">
        <v>255</v>
      </c>
      <c r="H1198" s="274">
        <v>1021.3</v>
      </c>
      <c r="I1198" s="274">
        <v>4836</v>
      </c>
      <c r="J1198" s="274">
        <v>0</v>
      </c>
      <c r="K1198" s="274">
        <v>0</v>
      </c>
      <c r="L1198" s="274">
        <v>0</v>
      </c>
      <c r="M1198" s="274">
        <v>65.3</v>
      </c>
      <c r="N1198" s="396">
        <v>599.79999999999995</v>
      </c>
      <c r="O1198" s="396">
        <v>28.3</v>
      </c>
      <c r="P1198" s="396">
        <v>24.4</v>
      </c>
      <c r="Q1198" s="397">
        <v>0.82569444444444495</v>
      </c>
      <c r="R1198" s="396"/>
      <c r="S1198" s="410"/>
      <c r="T1198" s="409"/>
      <c r="U1198" s="398" t="str">
        <f t="shared" si="53"/>
        <v/>
      </c>
      <c r="V1198" s="400"/>
      <c r="W1198" s="410">
        <f t="shared" si="52"/>
        <v>28.3</v>
      </c>
      <c r="X1198" s="472">
        <f t="shared" si="54"/>
        <v>60</v>
      </c>
      <c r="AT1198" s="232"/>
      <c r="AV1198" s="198"/>
      <c r="AW1198" s="274"/>
    </row>
    <row r="1199" spans="2:49" x14ac:dyDescent="0.25">
      <c r="B1199" s="274">
        <v>20.3</v>
      </c>
      <c r="C1199" s="274">
        <v>65</v>
      </c>
      <c r="D1199" s="274">
        <v>20.3</v>
      </c>
      <c r="E1199" s="274">
        <v>4</v>
      </c>
      <c r="F1199" s="274">
        <v>5.4</v>
      </c>
      <c r="G1199" s="274">
        <v>277</v>
      </c>
      <c r="H1199" s="274">
        <v>1021.2</v>
      </c>
      <c r="I1199" s="274">
        <v>4603</v>
      </c>
      <c r="J1199" s="274">
        <v>0</v>
      </c>
      <c r="K1199" s="274">
        <v>0</v>
      </c>
      <c r="L1199" s="274">
        <v>0</v>
      </c>
      <c r="M1199" s="274">
        <v>65.3</v>
      </c>
      <c r="N1199" s="396">
        <v>599.79999999999995</v>
      </c>
      <c r="O1199" s="396">
        <v>28.1</v>
      </c>
      <c r="P1199" s="396">
        <v>24.4</v>
      </c>
      <c r="Q1199" s="397">
        <v>0.82638888888888895</v>
      </c>
      <c r="R1199" s="396"/>
      <c r="S1199" s="410"/>
      <c r="T1199" s="409"/>
      <c r="U1199" s="398" t="str">
        <f t="shared" si="53"/>
        <v/>
      </c>
      <c r="V1199" s="400"/>
      <c r="W1199" s="410">
        <f t="shared" si="52"/>
        <v>28.1</v>
      </c>
      <c r="X1199" s="472">
        <f t="shared" si="54"/>
        <v>60</v>
      </c>
      <c r="AT1199" s="232"/>
      <c r="AV1199" s="198"/>
      <c r="AW1199" s="274"/>
    </row>
    <row r="1200" spans="2:49" x14ac:dyDescent="0.25">
      <c r="B1200" s="274">
        <v>20.3</v>
      </c>
      <c r="C1200" s="274">
        <v>65</v>
      </c>
      <c r="D1200" s="274">
        <v>20.3</v>
      </c>
      <c r="E1200" s="274">
        <v>2.9</v>
      </c>
      <c r="F1200" s="274">
        <v>5.4</v>
      </c>
      <c r="G1200" s="274">
        <v>293</v>
      </c>
      <c r="H1200" s="274">
        <v>1021.2</v>
      </c>
      <c r="I1200" s="274">
        <v>4495</v>
      </c>
      <c r="J1200" s="274">
        <v>0</v>
      </c>
      <c r="K1200" s="274">
        <v>0</v>
      </c>
      <c r="L1200" s="274">
        <v>0</v>
      </c>
      <c r="M1200" s="274">
        <v>65.3</v>
      </c>
      <c r="N1200" s="396">
        <v>599.79999999999995</v>
      </c>
      <c r="O1200" s="396">
        <v>28</v>
      </c>
      <c r="P1200" s="396">
        <v>24.3</v>
      </c>
      <c r="Q1200" s="397">
        <v>0.82708333333333295</v>
      </c>
      <c r="R1200" s="396"/>
      <c r="S1200" s="410"/>
      <c r="T1200" s="409"/>
      <c r="U1200" s="398" t="str">
        <f t="shared" si="53"/>
        <v/>
      </c>
      <c r="V1200" s="400"/>
      <c r="W1200" s="410">
        <f t="shared" si="52"/>
        <v>28</v>
      </c>
      <c r="X1200" s="472">
        <f t="shared" si="54"/>
        <v>60</v>
      </c>
      <c r="AT1200" s="232"/>
      <c r="AV1200" s="198"/>
      <c r="AW1200" s="274"/>
    </row>
    <row r="1201" spans="2:49" x14ac:dyDescent="0.25">
      <c r="B1201" s="274">
        <v>20.3</v>
      </c>
      <c r="C1201" s="274">
        <v>64</v>
      </c>
      <c r="D1201" s="274">
        <v>20.3</v>
      </c>
      <c r="E1201" s="274">
        <v>5.4</v>
      </c>
      <c r="F1201" s="274">
        <v>5.4</v>
      </c>
      <c r="G1201" s="274">
        <v>264</v>
      </c>
      <c r="H1201" s="274">
        <v>1021.3</v>
      </c>
      <c r="I1201" s="274">
        <v>4448</v>
      </c>
      <c r="J1201" s="274">
        <v>0</v>
      </c>
      <c r="K1201" s="274">
        <v>0</v>
      </c>
      <c r="L1201" s="274">
        <v>0</v>
      </c>
      <c r="M1201" s="274">
        <v>65.3</v>
      </c>
      <c r="N1201" s="396">
        <v>599.79999999999995</v>
      </c>
      <c r="O1201" s="396">
        <v>27.8</v>
      </c>
      <c r="P1201" s="396">
        <v>24.3</v>
      </c>
      <c r="Q1201" s="397">
        <v>0.82777777777777795</v>
      </c>
      <c r="R1201" s="396"/>
      <c r="S1201" s="410"/>
      <c r="T1201" s="409"/>
      <c r="U1201" s="398" t="str">
        <f t="shared" si="53"/>
        <v/>
      </c>
      <c r="V1201" s="400"/>
      <c r="W1201" s="410">
        <f t="shared" si="52"/>
        <v>27.8</v>
      </c>
      <c r="X1201" s="472">
        <f t="shared" si="54"/>
        <v>60</v>
      </c>
      <c r="AT1201" s="232"/>
      <c r="AV1201" s="198"/>
      <c r="AW1201" s="274"/>
    </row>
    <row r="1202" spans="2:49" x14ac:dyDescent="0.25">
      <c r="B1202" s="274">
        <v>20.2</v>
      </c>
      <c r="C1202" s="274">
        <v>64</v>
      </c>
      <c r="D1202" s="274">
        <v>20.2</v>
      </c>
      <c r="E1202" s="274">
        <v>4.7</v>
      </c>
      <c r="F1202" s="274">
        <v>7.2</v>
      </c>
      <c r="G1202" s="274">
        <v>245</v>
      </c>
      <c r="H1202" s="274">
        <v>1021.1</v>
      </c>
      <c r="I1202" s="274">
        <v>4386</v>
      </c>
      <c r="J1202" s="274">
        <v>0</v>
      </c>
      <c r="K1202" s="274">
        <v>0</v>
      </c>
      <c r="L1202" s="274">
        <v>0</v>
      </c>
      <c r="M1202" s="274">
        <v>65.3</v>
      </c>
      <c r="N1202" s="396">
        <v>599.79999999999995</v>
      </c>
      <c r="O1202" s="396">
        <v>27.7</v>
      </c>
      <c r="P1202" s="396">
        <v>24.2</v>
      </c>
      <c r="Q1202" s="397">
        <v>0.82847222222222205</v>
      </c>
      <c r="R1202" s="396"/>
      <c r="S1202" s="410"/>
      <c r="T1202" s="409"/>
      <c r="U1202" s="398" t="str">
        <f t="shared" si="53"/>
        <v/>
      </c>
      <c r="V1202" s="400"/>
      <c r="W1202" s="410">
        <f t="shared" ref="W1202:W1265" si="55">MAX(O1202:P1202)</f>
        <v>27.7</v>
      </c>
      <c r="X1202" s="472">
        <f t="shared" si="54"/>
        <v>60</v>
      </c>
      <c r="AT1202" s="232"/>
      <c r="AV1202" s="198"/>
      <c r="AW1202" s="274"/>
    </row>
    <row r="1203" spans="2:49" x14ac:dyDescent="0.25">
      <c r="B1203" s="274">
        <v>20.100000000000001</v>
      </c>
      <c r="C1203" s="274">
        <v>65</v>
      </c>
      <c r="D1203" s="274">
        <v>20.100000000000001</v>
      </c>
      <c r="E1203" s="274">
        <v>6.8</v>
      </c>
      <c r="F1203" s="274">
        <v>9.4</v>
      </c>
      <c r="G1203" s="274">
        <v>269</v>
      </c>
      <c r="H1203" s="274">
        <v>1021.3</v>
      </c>
      <c r="I1203" s="274">
        <v>4340</v>
      </c>
      <c r="J1203" s="274">
        <v>0</v>
      </c>
      <c r="K1203" s="274">
        <v>0</v>
      </c>
      <c r="L1203" s="274">
        <v>0</v>
      </c>
      <c r="M1203" s="274">
        <v>65.3</v>
      </c>
      <c r="N1203" s="396">
        <v>599.79999999999995</v>
      </c>
      <c r="O1203" s="396">
        <v>27.5</v>
      </c>
      <c r="P1203" s="396">
        <v>24.2</v>
      </c>
      <c r="Q1203" s="397">
        <v>0.82916666666666705</v>
      </c>
      <c r="R1203" s="396"/>
      <c r="S1203" s="410"/>
      <c r="T1203" s="409"/>
      <c r="U1203" s="398" t="str">
        <f t="shared" si="53"/>
        <v/>
      </c>
      <c r="V1203" s="400"/>
      <c r="W1203" s="410">
        <f t="shared" si="55"/>
        <v>27.5</v>
      </c>
      <c r="X1203" s="472">
        <f t="shared" si="54"/>
        <v>60</v>
      </c>
      <c r="AT1203" s="232"/>
      <c r="AV1203" s="198"/>
      <c r="AW1203" s="274"/>
    </row>
    <row r="1204" spans="2:49" x14ac:dyDescent="0.25">
      <c r="B1204" s="274">
        <v>20.100000000000001</v>
      </c>
      <c r="C1204" s="274">
        <v>64</v>
      </c>
      <c r="D1204" s="274">
        <v>20.100000000000001</v>
      </c>
      <c r="E1204" s="274">
        <v>7.9</v>
      </c>
      <c r="F1204" s="274">
        <v>9.4</v>
      </c>
      <c r="G1204" s="274">
        <v>316</v>
      </c>
      <c r="H1204" s="274">
        <v>1021.3</v>
      </c>
      <c r="I1204" s="274">
        <v>4557</v>
      </c>
      <c r="J1204" s="274">
        <v>0</v>
      </c>
      <c r="K1204" s="274">
        <v>0</v>
      </c>
      <c r="L1204" s="274">
        <v>0</v>
      </c>
      <c r="M1204" s="274">
        <v>65.3</v>
      </c>
      <c r="N1204" s="396">
        <v>599.79999999999995</v>
      </c>
      <c r="O1204" s="396">
        <v>27.3</v>
      </c>
      <c r="P1204" s="396">
        <v>24.2</v>
      </c>
      <c r="Q1204" s="397">
        <v>0.82986111111111105</v>
      </c>
      <c r="R1204" s="396"/>
      <c r="S1204" s="410"/>
      <c r="T1204" s="409"/>
      <c r="U1204" s="398" t="str">
        <f t="shared" si="53"/>
        <v/>
      </c>
      <c r="V1204" s="400"/>
      <c r="W1204" s="410">
        <f t="shared" si="55"/>
        <v>27.3</v>
      </c>
      <c r="X1204" s="472">
        <f t="shared" si="54"/>
        <v>60</v>
      </c>
      <c r="AT1204" s="232"/>
      <c r="AV1204" s="198"/>
      <c r="AW1204" s="274"/>
    </row>
    <row r="1205" spans="2:49" x14ac:dyDescent="0.25">
      <c r="B1205" s="274">
        <v>20.100000000000001</v>
      </c>
      <c r="C1205" s="274">
        <v>65</v>
      </c>
      <c r="D1205" s="274">
        <v>20.100000000000001</v>
      </c>
      <c r="E1205" s="274">
        <v>4</v>
      </c>
      <c r="F1205" s="274">
        <v>5.4</v>
      </c>
      <c r="G1205" s="274">
        <v>260</v>
      </c>
      <c r="H1205" s="274">
        <v>1021.2</v>
      </c>
      <c r="I1205" s="274">
        <v>4231</v>
      </c>
      <c r="J1205" s="274">
        <v>0</v>
      </c>
      <c r="K1205" s="274">
        <v>0</v>
      </c>
      <c r="L1205" s="274">
        <v>0</v>
      </c>
      <c r="M1205" s="274">
        <v>65.3</v>
      </c>
      <c r="N1205" s="396">
        <v>599.79999999999995</v>
      </c>
      <c r="O1205" s="396">
        <v>27.1</v>
      </c>
      <c r="P1205" s="396">
        <v>24.1</v>
      </c>
      <c r="Q1205" s="397">
        <v>0.83055555555555605</v>
      </c>
      <c r="R1205" s="396"/>
      <c r="S1205" s="410"/>
      <c r="T1205" s="409"/>
      <c r="U1205" s="398" t="str">
        <f t="shared" si="53"/>
        <v/>
      </c>
      <c r="V1205" s="400"/>
      <c r="W1205" s="410">
        <f t="shared" si="55"/>
        <v>27.1</v>
      </c>
      <c r="X1205" s="472">
        <f t="shared" si="54"/>
        <v>60</v>
      </c>
      <c r="AT1205" s="232"/>
      <c r="AV1205" s="198"/>
      <c r="AW1205" s="274"/>
    </row>
    <row r="1206" spans="2:49" x14ac:dyDescent="0.25">
      <c r="B1206" s="274">
        <v>20</v>
      </c>
      <c r="C1206" s="274">
        <v>65</v>
      </c>
      <c r="D1206" s="274">
        <v>20</v>
      </c>
      <c r="E1206" s="274">
        <v>1.4</v>
      </c>
      <c r="F1206" s="274">
        <v>3.6</v>
      </c>
      <c r="G1206" s="274">
        <v>293</v>
      </c>
      <c r="H1206" s="274">
        <v>1021.2</v>
      </c>
      <c r="I1206" s="274">
        <v>3844</v>
      </c>
      <c r="J1206" s="274">
        <v>0</v>
      </c>
      <c r="K1206" s="274">
        <v>0</v>
      </c>
      <c r="L1206" s="274">
        <v>0</v>
      </c>
      <c r="M1206" s="274">
        <v>65.3</v>
      </c>
      <c r="N1206" s="396">
        <v>599.79999999999995</v>
      </c>
      <c r="O1206" s="396">
        <v>26.9</v>
      </c>
      <c r="P1206" s="396">
        <v>24</v>
      </c>
      <c r="Q1206" s="397">
        <v>0.83125000000000004</v>
      </c>
      <c r="R1206" s="396"/>
      <c r="S1206" s="410"/>
      <c r="T1206" s="409"/>
      <c r="U1206" s="398" t="str">
        <f t="shared" si="53"/>
        <v/>
      </c>
      <c r="V1206" s="400"/>
      <c r="W1206" s="410">
        <f t="shared" si="55"/>
        <v>26.9</v>
      </c>
      <c r="X1206" s="472">
        <f t="shared" si="54"/>
        <v>60</v>
      </c>
      <c r="AT1206" s="232"/>
      <c r="AV1206" s="198"/>
      <c r="AW1206" s="274"/>
    </row>
    <row r="1207" spans="2:49" x14ac:dyDescent="0.25">
      <c r="B1207" s="274">
        <v>20</v>
      </c>
      <c r="C1207" s="274">
        <v>65</v>
      </c>
      <c r="D1207" s="274">
        <v>20</v>
      </c>
      <c r="E1207" s="274">
        <v>1.8</v>
      </c>
      <c r="F1207" s="274">
        <v>1.8</v>
      </c>
      <c r="G1207" s="274">
        <v>312</v>
      </c>
      <c r="H1207" s="274">
        <v>1021.1</v>
      </c>
      <c r="I1207" s="274">
        <v>3673</v>
      </c>
      <c r="J1207" s="274">
        <v>0</v>
      </c>
      <c r="K1207" s="274">
        <v>0</v>
      </c>
      <c r="L1207" s="274">
        <v>0</v>
      </c>
      <c r="M1207" s="274">
        <v>65.3</v>
      </c>
      <c r="N1207" s="396">
        <v>599.79999999999995</v>
      </c>
      <c r="O1207" s="396">
        <v>26.6</v>
      </c>
      <c r="P1207" s="396">
        <v>23.8</v>
      </c>
      <c r="Q1207" s="397">
        <v>0.83194444444444404</v>
      </c>
      <c r="R1207" s="396"/>
      <c r="S1207" s="410"/>
      <c r="T1207" s="409"/>
      <c r="U1207" s="398" t="str">
        <f t="shared" si="53"/>
        <v/>
      </c>
      <c r="V1207" s="400"/>
      <c r="W1207" s="410">
        <f t="shared" si="55"/>
        <v>26.6</v>
      </c>
      <c r="X1207" s="472">
        <f t="shared" si="54"/>
        <v>60</v>
      </c>
      <c r="AT1207" s="232"/>
      <c r="AV1207" s="198"/>
      <c r="AW1207" s="274"/>
    </row>
    <row r="1208" spans="2:49" x14ac:dyDescent="0.25">
      <c r="B1208" s="274">
        <v>20</v>
      </c>
      <c r="C1208" s="274">
        <v>65</v>
      </c>
      <c r="D1208" s="274">
        <v>20</v>
      </c>
      <c r="E1208" s="274">
        <v>1.1000000000000001</v>
      </c>
      <c r="F1208" s="274">
        <v>1.8</v>
      </c>
      <c r="G1208" s="274">
        <v>311</v>
      </c>
      <c r="H1208" s="274">
        <v>1021.1</v>
      </c>
      <c r="I1208" s="274">
        <v>3565</v>
      </c>
      <c r="J1208" s="274">
        <v>0</v>
      </c>
      <c r="K1208" s="274">
        <v>0</v>
      </c>
      <c r="L1208" s="274">
        <v>0</v>
      </c>
      <c r="M1208" s="274">
        <v>65.3</v>
      </c>
      <c r="N1208" s="396">
        <v>599.79999999999995</v>
      </c>
      <c r="O1208" s="396">
        <v>26.3</v>
      </c>
      <c r="P1208" s="396">
        <v>23.6</v>
      </c>
      <c r="Q1208" s="397">
        <v>0.83263888888888904</v>
      </c>
      <c r="R1208" s="396"/>
      <c r="S1208" s="410"/>
      <c r="T1208" s="409"/>
      <c r="U1208" s="398" t="str">
        <f t="shared" si="53"/>
        <v/>
      </c>
      <c r="V1208" s="400"/>
      <c r="W1208" s="410">
        <f t="shared" si="55"/>
        <v>26.3</v>
      </c>
      <c r="X1208" s="472">
        <f t="shared" si="54"/>
        <v>60</v>
      </c>
      <c r="AT1208" s="232"/>
      <c r="AV1208" s="198"/>
      <c r="AW1208" s="274"/>
    </row>
    <row r="1209" spans="2:49" x14ac:dyDescent="0.25">
      <c r="B1209" s="274">
        <v>20</v>
      </c>
      <c r="C1209" s="274">
        <v>65</v>
      </c>
      <c r="D1209" s="274">
        <v>20</v>
      </c>
      <c r="E1209" s="274">
        <v>2.2000000000000002</v>
      </c>
      <c r="F1209" s="274">
        <v>3.6</v>
      </c>
      <c r="G1209" s="274">
        <v>311</v>
      </c>
      <c r="H1209" s="274">
        <v>1021.1</v>
      </c>
      <c r="I1209" s="274">
        <v>3394</v>
      </c>
      <c r="J1209" s="274">
        <v>0</v>
      </c>
      <c r="K1209" s="274">
        <v>0</v>
      </c>
      <c r="L1209" s="274">
        <v>0</v>
      </c>
      <c r="M1209" s="274">
        <v>65.3</v>
      </c>
      <c r="N1209" s="396">
        <v>599.79999999999995</v>
      </c>
      <c r="O1209" s="396">
        <v>26</v>
      </c>
      <c r="P1209" s="396">
        <v>23.4</v>
      </c>
      <c r="Q1209" s="397">
        <v>0.83333333333333304</v>
      </c>
      <c r="R1209" s="396"/>
      <c r="S1209" s="410"/>
      <c r="T1209" s="409"/>
      <c r="U1209" s="398" t="str">
        <f t="shared" si="53"/>
        <v/>
      </c>
      <c r="V1209" s="400"/>
      <c r="W1209" s="410">
        <f t="shared" si="55"/>
        <v>26</v>
      </c>
      <c r="X1209" s="472">
        <f t="shared" si="54"/>
        <v>60</v>
      </c>
      <c r="AT1209" s="232"/>
      <c r="AV1209" s="198"/>
      <c r="AW1209" s="274"/>
    </row>
    <row r="1210" spans="2:49" x14ac:dyDescent="0.25">
      <c r="B1210" s="274">
        <v>19.899999999999999</v>
      </c>
      <c r="C1210" s="274">
        <v>65</v>
      </c>
      <c r="D1210" s="274">
        <v>19.899999999999999</v>
      </c>
      <c r="E1210" s="274">
        <v>2.9</v>
      </c>
      <c r="F1210" s="274">
        <v>3.6</v>
      </c>
      <c r="G1210" s="274">
        <v>295</v>
      </c>
      <c r="H1210" s="274">
        <v>1021.4</v>
      </c>
      <c r="I1210" s="274">
        <v>3239</v>
      </c>
      <c r="J1210" s="274">
        <v>0</v>
      </c>
      <c r="K1210" s="274">
        <v>0</v>
      </c>
      <c r="L1210" s="274">
        <v>0</v>
      </c>
      <c r="M1210" s="274">
        <v>65.3</v>
      </c>
      <c r="N1210" s="396">
        <v>599.79999999999995</v>
      </c>
      <c r="O1210" s="396">
        <v>25.6</v>
      </c>
      <c r="P1210" s="396">
        <v>23.2</v>
      </c>
      <c r="Q1210" s="397">
        <v>0.83402777777777803</v>
      </c>
      <c r="R1210" s="396"/>
      <c r="S1210" s="410"/>
      <c r="T1210" s="409"/>
      <c r="U1210" s="398" t="str">
        <f t="shared" si="53"/>
        <v/>
      </c>
      <c r="V1210" s="400"/>
      <c r="W1210" s="410">
        <f t="shared" si="55"/>
        <v>25.6</v>
      </c>
      <c r="X1210" s="472">
        <f t="shared" si="54"/>
        <v>60</v>
      </c>
      <c r="AT1210" s="232"/>
      <c r="AV1210" s="198"/>
      <c r="AW1210" s="274"/>
    </row>
    <row r="1211" spans="2:49" x14ac:dyDescent="0.25">
      <c r="B1211" s="274">
        <v>19.899999999999999</v>
      </c>
      <c r="C1211" s="274">
        <v>65</v>
      </c>
      <c r="D1211" s="274">
        <v>19.899999999999999</v>
      </c>
      <c r="E1211" s="274">
        <v>3.6</v>
      </c>
      <c r="F1211" s="274">
        <v>3.6</v>
      </c>
      <c r="G1211" s="274">
        <v>245</v>
      </c>
      <c r="H1211" s="274">
        <v>1021.3</v>
      </c>
      <c r="I1211" s="274">
        <v>3503</v>
      </c>
      <c r="J1211" s="274">
        <v>0</v>
      </c>
      <c r="K1211" s="274">
        <v>0</v>
      </c>
      <c r="L1211" s="274">
        <v>0</v>
      </c>
      <c r="M1211" s="274">
        <v>65.3</v>
      </c>
      <c r="N1211" s="396">
        <v>599.79999999999995</v>
      </c>
      <c r="O1211" s="396">
        <v>25.3</v>
      </c>
      <c r="P1211" s="396">
        <v>23</v>
      </c>
      <c r="Q1211" s="397">
        <v>0.83472222222222203</v>
      </c>
      <c r="R1211" s="396"/>
      <c r="S1211" s="410"/>
      <c r="T1211" s="409"/>
      <c r="U1211" s="398" t="str">
        <f t="shared" si="53"/>
        <v/>
      </c>
      <c r="V1211" s="400"/>
      <c r="W1211" s="410">
        <f t="shared" si="55"/>
        <v>25.3</v>
      </c>
      <c r="X1211" s="472">
        <f t="shared" si="54"/>
        <v>60</v>
      </c>
      <c r="AT1211" s="232"/>
      <c r="AV1211" s="198"/>
      <c r="AW1211" s="274"/>
    </row>
    <row r="1212" spans="2:49" x14ac:dyDescent="0.25">
      <c r="B1212" s="274">
        <v>19.899999999999999</v>
      </c>
      <c r="C1212" s="274">
        <v>66</v>
      </c>
      <c r="D1212" s="274">
        <v>19.899999999999999</v>
      </c>
      <c r="E1212" s="274">
        <v>6.5</v>
      </c>
      <c r="F1212" s="274">
        <v>9.4</v>
      </c>
      <c r="G1212" s="274">
        <v>289</v>
      </c>
      <c r="H1212" s="274">
        <v>1021.4</v>
      </c>
      <c r="I1212" s="274">
        <v>3286</v>
      </c>
      <c r="J1212" s="274">
        <v>0</v>
      </c>
      <c r="K1212" s="274">
        <v>0</v>
      </c>
      <c r="L1212" s="274">
        <v>0</v>
      </c>
      <c r="M1212" s="274">
        <v>65.3</v>
      </c>
      <c r="N1212" s="396">
        <v>599.79999999999995</v>
      </c>
      <c r="O1212" s="396">
        <v>25.1</v>
      </c>
      <c r="P1212" s="396">
        <v>22.8</v>
      </c>
      <c r="Q1212" s="397">
        <v>0.83541666666666703</v>
      </c>
      <c r="R1212" s="396"/>
      <c r="S1212" s="410"/>
      <c r="T1212" s="409"/>
      <c r="U1212" s="398" t="str">
        <f t="shared" si="53"/>
        <v/>
      </c>
      <c r="V1212" s="400"/>
      <c r="W1212" s="410">
        <f t="shared" si="55"/>
        <v>25.1</v>
      </c>
      <c r="X1212" s="472">
        <f t="shared" si="54"/>
        <v>60</v>
      </c>
      <c r="AT1212" s="232"/>
      <c r="AV1212" s="198"/>
      <c r="AW1212" s="274"/>
    </row>
    <row r="1213" spans="2:49" x14ac:dyDescent="0.25">
      <c r="B1213" s="274">
        <v>19.8</v>
      </c>
      <c r="C1213" s="274">
        <v>66</v>
      </c>
      <c r="D1213" s="274">
        <v>19.8</v>
      </c>
      <c r="E1213" s="274">
        <v>4.7</v>
      </c>
      <c r="F1213" s="274">
        <v>5.4</v>
      </c>
      <c r="G1213" s="274">
        <v>269</v>
      </c>
      <c r="H1213" s="274">
        <v>1021.4</v>
      </c>
      <c r="I1213" s="274">
        <v>2960</v>
      </c>
      <c r="J1213" s="274">
        <v>0</v>
      </c>
      <c r="K1213" s="274">
        <v>0</v>
      </c>
      <c r="L1213" s="274">
        <v>0</v>
      </c>
      <c r="M1213" s="274">
        <v>65.3</v>
      </c>
      <c r="N1213" s="396">
        <v>599.79999999999995</v>
      </c>
      <c r="O1213" s="396">
        <v>24.8</v>
      </c>
      <c r="P1213" s="396">
        <v>22.6</v>
      </c>
      <c r="Q1213" s="397">
        <v>0.83611111111111103</v>
      </c>
      <c r="R1213" s="396"/>
      <c r="S1213" s="410"/>
      <c r="T1213" s="409"/>
      <c r="U1213" s="398" t="str">
        <f t="shared" si="53"/>
        <v/>
      </c>
      <c r="V1213" s="400"/>
      <c r="W1213" s="410">
        <f t="shared" si="55"/>
        <v>24.8</v>
      </c>
      <c r="X1213" s="472">
        <f t="shared" si="54"/>
        <v>60</v>
      </c>
      <c r="AT1213" s="232"/>
      <c r="AV1213" s="198"/>
      <c r="AW1213" s="274"/>
    </row>
    <row r="1214" spans="2:49" x14ac:dyDescent="0.25">
      <c r="B1214" s="274">
        <v>19.8</v>
      </c>
      <c r="C1214" s="274">
        <v>66</v>
      </c>
      <c r="D1214" s="274">
        <v>19.8</v>
      </c>
      <c r="E1214" s="274">
        <v>3.6</v>
      </c>
      <c r="F1214" s="274">
        <v>3.6</v>
      </c>
      <c r="G1214" s="274">
        <v>286</v>
      </c>
      <c r="H1214" s="274">
        <v>1021.3</v>
      </c>
      <c r="I1214" s="274">
        <v>3069</v>
      </c>
      <c r="J1214" s="274">
        <v>0</v>
      </c>
      <c r="K1214" s="274">
        <v>0</v>
      </c>
      <c r="L1214" s="274">
        <v>0</v>
      </c>
      <c r="M1214" s="274">
        <v>65.3</v>
      </c>
      <c r="N1214" s="396">
        <v>599.79999999999995</v>
      </c>
      <c r="O1214" s="396">
        <v>24.6</v>
      </c>
      <c r="P1214" s="396">
        <v>22.5</v>
      </c>
      <c r="Q1214" s="397">
        <v>0.83680555555555602</v>
      </c>
      <c r="R1214" s="396"/>
      <c r="S1214" s="410"/>
      <c r="T1214" s="409"/>
      <c r="U1214" s="398" t="str">
        <f t="shared" si="53"/>
        <v/>
      </c>
      <c r="V1214" s="400"/>
      <c r="W1214" s="410">
        <f t="shared" si="55"/>
        <v>24.6</v>
      </c>
      <c r="X1214" s="472">
        <f t="shared" si="54"/>
        <v>60</v>
      </c>
      <c r="AT1214" s="232"/>
      <c r="AV1214" s="198"/>
      <c r="AW1214" s="274"/>
    </row>
    <row r="1215" spans="2:49" x14ac:dyDescent="0.25">
      <c r="B1215" s="274">
        <v>19.8</v>
      </c>
      <c r="C1215" s="274">
        <v>67</v>
      </c>
      <c r="D1215" s="274">
        <v>19.8</v>
      </c>
      <c r="E1215" s="274">
        <v>2.2000000000000002</v>
      </c>
      <c r="F1215" s="274">
        <v>3.6</v>
      </c>
      <c r="G1215" s="274">
        <v>265</v>
      </c>
      <c r="H1215" s="274">
        <v>1021.3</v>
      </c>
      <c r="I1215" s="274">
        <v>2681</v>
      </c>
      <c r="J1215" s="274">
        <v>0</v>
      </c>
      <c r="K1215" s="274">
        <v>0</v>
      </c>
      <c r="L1215" s="274">
        <v>0</v>
      </c>
      <c r="M1215" s="274">
        <v>65.3</v>
      </c>
      <c r="N1215" s="396">
        <v>599.79999999999995</v>
      </c>
      <c r="O1215" s="396">
        <v>24.4</v>
      </c>
      <c r="P1215" s="396">
        <v>22.4</v>
      </c>
      <c r="Q1215" s="397">
        <v>0.83750000000000002</v>
      </c>
      <c r="R1215" s="396"/>
      <c r="S1215" s="410"/>
      <c r="T1215" s="409"/>
      <c r="U1215" s="398" t="str">
        <f t="shared" si="53"/>
        <v/>
      </c>
      <c r="V1215" s="400"/>
      <c r="W1215" s="410">
        <f t="shared" si="55"/>
        <v>24.4</v>
      </c>
      <c r="X1215" s="472">
        <f t="shared" si="54"/>
        <v>60</v>
      </c>
      <c r="AT1215" s="232"/>
      <c r="AV1215" s="198"/>
      <c r="AW1215" s="274"/>
    </row>
    <row r="1216" spans="2:49" x14ac:dyDescent="0.25">
      <c r="B1216" s="274">
        <v>19.8</v>
      </c>
      <c r="C1216" s="274">
        <v>67</v>
      </c>
      <c r="D1216" s="274">
        <v>19.8</v>
      </c>
      <c r="E1216" s="274">
        <v>2.9</v>
      </c>
      <c r="F1216" s="274">
        <v>3.6</v>
      </c>
      <c r="G1216" s="274">
        <v>279</v>
      </c>
      <c r="H1216" s="274">
        <v>1021.3</v>
      </c>
      <c r="I1216" s="274">
        <v>2681</v>
      </c>
      <c r="J1216" s="274">
        <v>0</v>
      </c>
      <c r="K1216" s="274">
        <v>0</v>
      </c>
      <c r="L1216" s="274">
        <v>0</v>
      </c>
      <c r="M1216" s="274">
        <v>65.3</v>
      </c>
      <c r="N1216" s="396">
        <v>599.79999999999995</v>
      </c>
      <c r="O1216" s="396">
        <v>24.3</v>
      </c>
      <c r="P1216" s="396">
        <v>22.3</v>
      </c>
      <c r="Q1216" s="397">
        <v>0.83819444444444402</v>
      </c>
      <c r="R1216" s="396"/>
      <c r="S1216" s="410"/>
      <c r="T1216" s="409"/>
      <c r="U1216" s="398" t="str">
        <f t="shared" si="53"/>
        <v/>
      </c>
      <c r="V1216" s="400"/>
      <c r="W1216" s="410">
        <f t="shared" si="55"/>
        <v>24.3</v>
      </c>
      <c r="X1216" s="472">
        <f t="shared" si="54"/>
        <v>60</v>
      </c>
      <c r="AT1216" s="232"/>
      <c r="AV1216" s="198"/>
      <c r="AW1216" s="274"/>
    </row>
    <row r="1217" spans="2:49" x14ac:dyDescent="0.25">
      <c r="B1217" s="274">
        <v>19.8</v>
      </c>
      <c r="C1217" s="274">
        <v>67</v>
      </c>
      <c r="D1217" s="274">
        <v>19.8</v>
      </c>
      <c r="E1217" s="274">
        <v>0</v>
      </c>
      <c r="F1217" s="274">
        <v>0</v>
      </c>
      <c r="G1217" s="274">
        <v>268</v>
      </c>
      <c r="H1217" s="274">
        <v>1021.2</v>
      </c>
      <c r="I1217" s="274">
        <v>2573</v>
      </c>
      <c r="J1217" s="274">
        <v>0</v>
      </c>
      <c r="K1217" s="274">
        <v>0</v>
      </c>
      <c r="L1217" s="274">
        <v>0</v>
      </c>
      <c r="M1217" s="274">
        <v>65.3</v>
      </c>
      <c r="N1217" s="396">
        <v>599.79999999999995</v>
      </c>
      <c r="O1217" s="396">
        <v>24.2</v>
      </c>
      <c r="P1217" s="396">
        <v>22.2</v>
      </c>
      <c r="Q1217" s="397">
        <v>0.83888888888888902</v>
      </c>
      <c r="R1217" s="396"/>
      <c r="S1217" s="410"/>
      <c r="T1217" s="409"/>
      <c r="U1217" s="398" t="str">
        <f t="shared" si="53"/>
        <v/>
      </c>
      <c r="V1217" s="400"/>
      <c r="W1217" s="410">
        <f t="shared" si="55"/>
        <v>24.2</v>
      </c>
      <c r="X1217" s="472">
        <f t="shared" si="54"/>
        <v>60</v>
      </c>
      <c r="AT1217" s="232"/>
      <c r="AV1217" s="198"/>
      <c r="AW1217" s="274"/>
    </row>
    <row r="1218" spans="2:49" x14ac:dyDescent="0.25">
      <c r="B1218" s="274">
        <v>19.8</v>
      </c>
      <c r="C1218" s="274">
        <v>66</v>
      </c>
      <c r="D1218" s="274">
        <v>19.8</v>
      </c>
      <c r="E1218" s="274">
        <v>5</v>
      </c>
      <c r="F1218" s="274">
        <v>5.4</v>
      </c>
      <c r="G1218" s="274">
        <v>269</v>
      </c>
      <c r="H1218" s="274">
        <v>1021.2</v>
      </c>
      <c r="I1218" s="274">
        <v>2464</v>
      </c>
      <c r="J1218" s="274">
        <v>0</v>
      </c>
      <c r="K1218" s="274">
        <v>0</v>
      </c>
      <c r="L1218" s="274">
        <v>0</v>
      </c>
      <c r="M1218" s="274">
        <v>65.3</v>
      </c>
      <c r="N1218" s="396">
        <v>599.79999999999995</v>
      </c>
      <c r="O1218" s="396">
        <v>24.1</v>
      </c>
      <c r="P1218" s="396">
        <v>22.2</v>
      </c>
      <c r="Q1218" s="397">
        <v>0.83958333333333302</v>
      </c>
      <c r="R1218" s="396"/>
      <c r="S1218" s="410"/>
      <c r="T1218" s="409"/>
      <c r="U1218" s="398" t="str">
        <f t="shared" si="53"/>
        <v/>
      </c>
      <c r="V1218" s="400"/>
      <c r="W1218" s="410">
        <f t="shared" si="55"/>
        <v>24.1</v>
      </c>
      <c r="X1218" s="472">
        <f t="shared" si="54"/>
        <v>60</v>
      </c>
      <c r="AT1218" s="232"/>
      <c r="AV1218" s="198"/>
      <c r="AW1218" s="274"/>
    </row>
    <row r="1219" spans="2:49" x14ac:dyDescent="0.25">
      <c r="B1219" s="274">
        <v>19.8</v>
      </c>
      <c r="C1219" s="274">
        <v>67</v>
      </c>
      <c r="D1219" s="274">
        <v>19.8</v>
      </c>
      <c r="E1219" s="274">
        <v>6.5</v>
      </c>
      <c r="F1219" s="274">
        <v>7.2</v>
      </c>
      <c r="G1219" s="274">
        <v>298</v>
      </c>
      <c r="H1219" s="274">
        <v>1021.3</v>
      </c>
      <c r="I1219" s="274">
        <v>2464</v>
      </c>
      <c r="J1219" s="274">
        <v>0</v>
      </c>
      <c r="K1219" s="274">
        <v>0</v>
      </c>
      <c r="L1219" s="274">
        <v>0</v>
      </c>
      <c r="M1219" s="274">
        <v>65.3</v>
      </c>
      <c r="N1219" s="396">
        <v>599.79999999999995</v>
      </c>
      <c r="O1219" s="396">
        <v>23.9</v>
      </c>
      <c r="P1219" s="396">
        <v>22.1</v>
      </c>
      <c r="Q1219" s="397">
        <v>0.84027777777777801</v>
      </c>
      <c r="R1219" s="396"/>
      <c r="S1219" s="410"/>
      <c r="T1219" s="409"/>
      <c r="U1219" s="398" t="str">
        <f t="shared" si="53"/>
        <v/>
      </c>
      <c r="V1219" s="400"/>
      <c r="W1219" s="410">
        <f t="shared" si="55"/>
        <v>23.9</v>
      </c>
      <c r="X1219" s="472">
        <f t="shared" si="54"/>
        <v>60</v>
      </c>
      <c r="AT1219" s="232"/>
      <c r="AV1219" s="198"/>
      <c r="AW1219" s="274"/>
    </row>
    <row r="1220" spans="2:49" x14ac:dyDescent="0.25">
      <c r="B1220" s="274">
        <v>19.8</v>
      </c>
      <c r="C1220" s="274">
        <v>67</v>
      </c>
      <c r="D1220" s="274">
        <v>19.8</v>
      </c>
      <c r="E1220" s="274">
        <v>3.6</v>
      </c>
      <c r="F1220" s="274">
        <v>7.2</v>
      </c>
      <c r="G1220" s="274">
        <v>289</v>
      </c>
      <c r="H1220" s="274">
        <v>1021.2</v>
      </c>
      <c r="I1220" s="274">
        <v>2573</v>
      </c>
      <c r="J1220" s="274">
        <v>0</v>
      </c>
      <c r="K1220" s="274">
        <v>0</v>
      </c>
      <c r="L1220" s="274">
        <v>0</v>
      </c>
      <c r="M1220" s="274">
        <v>65.3</v>
      </c>
      <c r="N1220" s="396">
        <v>599.79999999999995</v>
      </c>
      <c r="O1220" s="396">
        <v>23.8</v>
      </c>
      <c r="P1220" s="396">
        <v>22</v>
      </c>
      <c r="Q1220" s="397">
        <v>0.84097222222222201</v>
      </c>
      <c r="R1220" s="396"/>
      <c r="S1220" s="410"/>
      <c r="T1220" s="409"/>
      <c r="U1220" s="398" t="str">
        <f t="shared" si="53"/>
        <v/>
      </c>
      <c r="V1220" s="400"/>
      <c r="W1220" s="410">
        <f t="shared" si="55"/>
        <v>23.8</v>
      </c>
      <c r="X1220" s="472">
        <f t="shared" si="54"/>
        <v>60</v>
      </c>
      <c r="AT1220" s="232"/>
      <c r="AV1220" s="198"/>
      <c r="AW1220" s="274"/>
    </row>
    <row r="1221" spans="2:49" x14ac:dyDescent="0.25">
      <c r="B1221" s="274">
        <v>19.7</v>
      </c>
      <c r="C1221" s="274">
        <v>67</v>
      </c>
      <c r="D1221" s="274">
        <v>19.7</v>
      </c>
      <c r="E1221" s="274">
        <v>1.4</v>
      </c>
      <c r="F1221" s="274">
        <v>3.6</v>
      </c>
      <c r="G1221" s="274">
        <v>311</v>
      </c>
      <c r="H1221" s="274">
        <v>1021.4</v>
      </c>
      <c r="I1221" s="274">
        <v>2356</v>
      </c>
      <c r="J1221" s="274">
        <v>0</v>
      </c>
      <c r="K1221" s="274">
        <v>0</v>
      </c>
      <c r="L1221" s="274">
        <v>0</v>
      </c>
      <c r="M1221" s="274">
        <v>65.3</v>
      </c>
      <c r="N1221" s="396">
        <v>599.79999999999995</v>
      </c>
      <c r="O1221" s="396">
        <v>23.7</v>
      </c>
      <c r="P1221" s="396">
        <v>21.9</v>
      </c>
      <c r="Q1221" s="397">
        <v>0.84166666666666701</v>
      </c>
      <c r="R1221" s="396"/>
      <c r="S1221" s="410"/>
      <c r="T1221" s="409"/>
      <c r="U1221" s="398" t="str">
        <f t="shared" si="53"/>
        <v/>
      </c>
      <c r="V1221" s="400"/>
      <c r="W1221" s="410">
        <f t="shared" si="55"/>
        <v>23.7</v>
      </c>
      <c r="X1221" s="472">
        <f t="shared" si="54"/>
        <v>60</v>
      </c>
      <c r="AT1221" s="232"/>
      <c r="AV1221" s="198"/>
      <c r="AW1221" s="274"/>
    </row>
    <row r="1222" spans="2:49" x14ac:dyDescent="0.25">
      <c r="B1222" s="274">
        <v>19.7</v>
      </c>
      <c r="C1222" s="274">
        <v>67</v>
      </c>
      <c r="D1222" s="274">
        <v>19.7</v>
      </c>
      <c r="E1222" s="274">
        <v>3.2</v>
      </c>
      <c r="F1222" s="274">
        <v>3.6</v>
      </c>
      <c r="G1222" s="274">
        <v>278</v>
      </c>
      <c r="H1222" s="274">
        <v>1021.1</v>
      </c>
      <c r="I1222" s="274">
        <v>2356</v>
      </c>
      <c r="J1222" s="274">
        <v>0</v>
      </c>
      <c r="K1222" s="274">
        <v>0</v>
      </c>
      <c r="L1222" s="274">
        <v>0</v>
      </c>
      <c r="M1222" s="274">
        <v>65.3</v>
      </c>
      <c r="N1222" s="396">
        <v>599.79999999999995</v>
      </c>
      <c r="O1222" s="396">
        <v>23.5</v>
      </c>
      <c r="P1222" s="396">
        <v>21.8</v>
      </c>
      <c r="Q1222" s="397">
        <v>0.84236111111111101</v>
      </c>
      <c r="R1222" s="396"/>
      <c r="S1222" s="410"/>
      <c r="T1222" s="409"/>
      <c r="U1222" s="398" t="str">
        <f t="shared" si="53"/>
        <v/>
      </c>
      <c r="V1222" s="400"/>
      <c r="W1222" s="410">
        <f t="shared" si="55"/>
        <v>23.5</v>
      </c>
      <c r="X1222" s="472">
        <f t="shared" si="54"/>
        <v>60</v>
      </c>
      <c r="AT1222" s="232"/>
      <c r="AV1222" s="198"/>
      <c r="AW1222" s="274"/>
    </row>
    <row r="1223" spans="2:49" x14ac:dyDescent="0.25">
      <c r="B1223" s="274">
        <v>19.7</v>
      </c>
      <c r="C1223" s="274">
        <v>67</v>
      </c>
      <c r="D1223" s="274">
        <v>19.7</v>
      </c>
      <c r="E1223" s="274">
        <v>1.1000000000000001</v>
      </c>
      <c r="F1223" s="274">
        <v>1.8</v>
      </c>
      <c r="G1223" s="274">
        <v>269</v>
      </c>
      <c r="H1223" s="274">
        <v>1021.1</v>
      </c>
      <c r="I1223" s="274">
        <v>2077</v>
      </c>
      <c r="J1223" s="274">
        <v>0</v>
      </c>
      <c r="K1223" s="274">
        <v>0</v>
      </c>
      <c r="L1223" s="274">
        <v>0</v>
      </c>
      <c r="M1223" s="274">
        <v>65.3</v>
      </c>
      <c r="N1223" s="396">
        <v>599.79999999999995</v>
      </c>
      <c r="O1223" s="396">
        <v>23.4</v>
      </c>
      <c r="P1223" s="396">
        <v>21.7</v>
      </c>
      <c r="Q1223" s="397">
        <v>0.843055555555556</v>
      </c>
      <c r="R1223" s="396"/>
      <c r="S1223" s="410"/>
      <c r="T1223" s="409"/>
      <c r="U1223" s="398" t="str">
        <f t="shared" si="53"/>
        <v/>
      </c>
      <c r="V1223" s="400"/>
      <c r="W1223" s="410">
        <f t="shared" si="55"/>
        <v>23.4</v>
      </c>
      <c r="X1223" s="472">
        <f t="shared" si="54"/>
        <v>60</v>
      </c>
      <c r="AT1223" s="232"/>
      <c r="AV1223" s="198"/>
      <c r="AW1223" s="274"/>
    </row>
    <row r="1224" spans="2:49" x14ac:dyDescent="0.25">
      <c r="B1224" s="274">
        <v>19.7</v>
      </c>
      <c r="C1224" s="274">
        <v>68</v>
      </c>
      <c r="D1224" s="274">
        <v>19.7</v>
      </c>
      <c r="E1224" s="274">
        <v>4</v>
      </c>
      <c r="F1224" s="274">
        <v>5.4</v>
      </c>
      <c r="G1224" s="274">
        <v>280</v>
      </c>
      <c r="H1224" s="274">
        <v>1021.2</v>
      </c>
      <c r="I1224" s="274">
        <v>2185</v>
      </c>
      <c r="J1224" s="274">
        <v>0</v>
      </c>
      <c r="K1224" s="274">
        <v>0</v>
      </c>
      <c r="L1224" s="274">
        <v>0</v>
      </c>
      <c r="M1224" s="274">
        <v>65.3</v>
      </c>
      <c r="N1224" s="396">
        <v>599.79999999999995</v>
      </c>
      <c r="O1224" s="396">
        <v>23.2</v>
      </c>
      <c r="P1224" s="396">
        <v>21.6</v>
      </c>
      <c r="Q1224" s="397">
        <v>0.84375</v>
      </c>
      <c r="R1224" s="396"/>
      <c r="S1224" s="410"/>
      <c r="T1224" s="409"/>
      <c r="U1224" s="398" t="str">
        <f t="shared" si="53"/>
        <v/>
      </c>
      <c r="V1224" s="400"/>
      <c r="W1224" s="410">
        <f t="shared" si="55"/>
        <v>23.2</v>
      </c>
      <c r="X1224" s="472">
        <f t="shared" si="54"/>
        <v>60</v>
      </c>
      <c r="AT1224" s="232"/>
      <c r="AV1224" s="198"/>
      <c r="AW1224" s="274"/>
    </row>
    <row r="1225" spans="2:49" x14ac:dyDescent="0.25">
      <c r="B1225" s="274">
        <v>19.600000000000001</v>
      </c>
      <c r="C1225" s="274">
        <v>68</v>
      </c>
      <c r="D1225" s="274">
        <v>19.600000000000001</v>
      </c>
      <c r="E1225" s="274">
        <v>1.4</v>
      </c>
      <c r="F1225" s="274">
        <v>1.8</v>
      </c>
      <c r="G1225" s="274">
        <v>299</v>
      </c>
      <c r="H1225" s="274">
        <v>1021.2</v>
      </c>
      <c r="I1225" s="274">
        <v>2139</v>
      </c>
      <c r="J1225" s="274">
        <v>0</v>
      </c>
      <c r="K1225" s="274">
        <v>0</v>
      </c>
      <c r="L1225" s="274">
        <v>0</v>
      </c>
      <c r="M1225" s="274">
        <v>65.3</v>
      </c>
      <c r="N1225" s="396">
        <v>599.79999999999995</v>
      </c>
      <c r="O1225" s="396">
        <v>23.1</v>
      </c>
      <c r="P1225" s="396">
        <v>21.5</v>
      </c>
      <c r="Q1225" s="397">
        <v>0.844444444444444</v>
      </c>
      <c r="R1225" s="396"/>
      <c r="S1225" s="410"/>
      <c r="T1225" s="409"/>
      <c r="U1225" s="398" t="str">
        <f t="shared" si="53"/>
        <v/>
      </c>
      <c r="V1225" s="400"/>
      <c r="W1225" s="410">
        <f t="shared" si="55"/>
        <v>23.1</v>
      </c>
      <c r="X1225" s="472">
        <f t="shared" si="54"/>
        <v>60</v>
      </c>
      <c r="AT1225" s="232"/>
      <c r="AV1225" s="198"/>
      <c r="AW1225" s="274"/>
    </row>
    <row r="1226" spans="2:49" x14ac:dyDescent="0.25">
      <c r="B1226" s="274">
        <v>19.600000000000001</v>
      </c>
      <c r="C1226" s="274">
        <v>68</v>
      </c>
      <c r="D1226" s="274">
        <v>19.600000000000001</v>
      </c>
      <c r="E1226" s="274">
        <v>1.4</v>
      </c>
      <c r="F1226" s="274">
        <v>1.8</v>
      </c>
      <c r="G1226" s="274">
        <v>300</v>
      </c>
      <c r="H1226" s="274">
        <v>1021.3</v>
      </c>
      <c r="I1226" s="274">
        <v>2139</v>
      </c>
      <c r="J1226" s="274">
        <v>0</v>
      </c>
      <c r="K1226" s="274">
        <v>0</v>
      </c>
      <c r="L1226" s="274">
        <v>0</v>
      </c>
      <c r="M1226" s="274">
        <v>65.3</v>
      </c>
      <c r="N1226" s="396">
        <v>599.79999999999995</v>
      </c>
      <c r="O1226" s="396">
        <v>22.9</v>
      </c>
      <c r="P1226" s="396">
        <v>21.4</v>
      </c>
      <c r="Q1226" s="397">
        <v>0.84513888888888899</v>
      </c>
      <c r="R1226" s="396"/>
      <c r="S1226" s="410"/>
      <c r="T1226" s="409"/>
      <c r="U1226" s="398" t="str">
        <f t="shared" si="53"/>
        <v/>
      </c>
      <c r="V1226" s="400"/>
      <c r="W1226" s="410">
        <f t="shared" si="55"/>
        <v>22.9</v>
      </c>
      <c r="X1226" s="472">
        <f t="shared" si="54"/>
        <v>60</v>
      </c>
      <c r="AT1226" s="232"/>
      <c r="AV1226" s="198"/>
      <c r="AW1226" s="274"/>
    </row>
    <row r="1227" spans="2:49" x14ac:dyDescent="0.25">
      <c r="B1227" s="274">
        <v>19.600000000000001</v>
      </c>
      <c r="C1227" s="274">
        <v>68</v>
      </c>
      <c r="D1227" s="274">
        <v>19.600000000000001</v>
      </c>
      <c r="E1227" s="274">
        <v>2.2000000000000002</v>
      </c>
      <c r="F1227" s="274">
        <v>3.6</v>
      </c>
      <c r="G1227" s="274">
        <v>279</v>
      </c>
      <c r="H1227" s="274">
        <v>1021.3</v>
      </c>
      <c r="I1227" s="274">
        <v>2077</v>
      </c>
      <c r="J1227" s="274">
        <v>0</v>
      </c>
      <c r="K1227" s="274">
        <v>0</v>
      </c>
      <c r="L1227" s="274">
        <v>0</v>
      </c>
      <c r="M1227" s="274">
        <v>65.3</v>
      </c>
      <c r="N1227" s="396">
        <v>599.79999999999995</v>
      </c>
      <c r="O1227" s="396">
        <v>22.7</v>
      </c>
      <c r="P1227" s="396">
        <v>21.3</v>
      </c>
      <c r="Q1227" s="397">
        <v>0.84583333333333299</v>
      </c>
      <c r="R1227" s="396"/>
      <c r="S1227" s="410"/>
      <c r="T1227" s="409"/>
      <c r="U1227" s="398" t="str">
        <f t="shared" ref="U1227:U1290" si="56">IF(J1227&gt;0,60,"")</f>
        <v/>
      </c>
      <c r="V1227" s="400"/>
      <c r="W1227" s="410">
        <f t="shared" si="55"/>
        <v>22.7</v>
      </c>
      <c r="X1227" s="472">
        <f t="shared" si="54"/>
        <v>60</v>
      </c>
      <c r="AT1227" s="232"/>
      <c r="AV1227" s="198"/>
      <c r="AW1227" s="274"/>
    </row>
    <row r="1228" spans="2:49" x14ac:dyDescent="0.25">
      <c r="B1228" s="274">
        <v>19.600000000000001</v>
      </c>
      <c r="C1228" s="274">
        <v>68</v>
      </c>
      <c r="D1228" s="274">
        <v>19.600000000000001</v>
      </c>
      <c r="E1228" s="274">
        <v>4.7</v>
      </c>
      <c r="F1228" s="274">
        <v>7.2</v>
      </c>
      <c r="G1228" s="274">
        <v>300</v>
      </c>
      <c r="H1228" s="274">
        <v>1021.3</v>
      </c>
      <c r="I1228" s="274">
        <v>2030</v>
      </c>
      <c r="J1228" s="274">
        <v>0</v>
      </c>
      <c r="K1228" s="274">
        <v>0</v>
      </c>
      <c r="L1228" s="274">
        <v>0</v>
      </c>
      <c r="M1228" s="274">
        <v>65.3</v>
      </c>
      <c r="N1228" s="396">
        <v>599.79999999999995</v>
      </c>
      <c r="O1228" s="396">
        <v>22.6</v>
      </c>
      <c r="P1228" s="396">
        <v>21.2</v>
      </c>
      <c r="Q1228" s="397">
        <v>0.84652777777777799</v>
      </c>
      <c r="R1228" s="396"/>
      <c r="S1228" s="410"/>
      <c r="T1228" s="409"/>
      <c r="U1228" s="398" t="str">
        <f t="shared" si="56"/>
        <v/>
      </c>
      <c r="V1228" s="400"/>
      <c r="W1228" s="410">
        <f t="shared" si="55"/>
        <v>22.6</v>
      </c>
      <c r="X1228" s="472" t="str">
        <f t="shared" si="54"/>
        <v/>
      </c>
      <c r="AT1228" s="232"/>
      <c r="AV1228" s="198"/>
      <c r="AW1228" s="274"/>
    </row>
    <row r="1229" spans="2:49" x14ac:dyDescent="0.25">
      <c r="B1229" s="274">
        <v>19.600000000000001</v>
      </c>
      <c r="C1229" s="274">
        <v>68</v>
      </c>
      <c r="D1229" s="274">
        <v>19.600000000000001</v>
      </c>
      <c r="E1229" s="274">
        <v>4.7</v>
      </c>
      <c r="F1229" s="274">
        <v>5.4</v>
      </c>
      <c r="G1229" s="274">
        <v>263</v>
      </c>
      <c r="H1229" s="274">
        <v>1021.3</v>
      </c>
      <c r="I1229" s="274">
        <v>1860</v>
      </c>
      <c r="J1229" s="274">
        <v>0</v>
      </c>
      <c r="K1229" s="274">
        <v>0</v>
      </c>
      <c r="L1229" s="274">
        <v>0</v>
      </c>
      <c r="M1229" s="274">
        <v>65.3</v>
      </c>
      <c r="N1229" s="396">
        <v>599.79999999999995</v>
      </c>
      <c r="O1229" s="396">
        <v>22.5</v>
      </c>
      <c r="P1229" s="396">
        <v>21.2</v>
      </c>
      <c r="Q1229" s="397">
        <v>0.84722222222222199</v>
      </c>
      <c r="R1229" s="396"/>
      <c r="S1229" s="410"/>
      <c r="T1229" s="409"/>
      <c r="U1229" s="398" t="str">
        <f t="shared" si="56"/>
        <v/>
      </c>
      <c r="V1229" s="400"/>
      <c r="W1229" s="410">
        <f t="shared" si="55"/>
        <v>22.5</v>
      </c>
      <c r="X1229" s="472" t="str">
        <f t="shared" si="54"/>
        <v/>
      </c>
      <c r="AT1229" s="232"/>
      <c r="AV1229" s="198"/>
      <c r="AW1229" s="274"/>
    </row>
    <row r="1230" spans="2:49" x14ac:dyDescent="0.25">
      <c r="B1230" s="274">
        <v>19.5</v>
      </c>
      <c r="C1230" s="274">
        <v>68</v>
      </c>
      <c r="D1230" s="274">
        <v>19.5</v>
      </c>
      <c r="E1230" s="274">
        <v>2.9</v>
      </c>
      <c r="F1230" s="274">
        <v>3.6</v>
      </c>
      <c r="G1230" s="274">
        <v>293</v>
      </c>
      <c r="H1230" s="274">
        <v>1021.3</v>
      </c>
      <c r="I1230" s="274">
        <v>1643</v>
      </c>
      <c r="J1230" s="274">
        <v>0</v>
      </c>
      <c r="K1230" s="274">
        <v>0</v>
      </c>
      <c r="L1230" s="274">
        <v>0</v>
      </c>
      <c r="M1230" s="274">
        <v>65.3</v>
      </c>
      <c r="N1230" s="396">
        <v>599.79999999999995</v>
      </c>
      <c r="O1230" s="396">
        <v>22.3</v>
      </c>
      <c r="P1230" s="396">
        <v>21.2</v>
      </c>
      <c r="Q1230" s="397">
        <v>0.84791666666666698</v>
      </c>
      <c r="R1230" s="396"/>
      <c r="S1230" s="410"/>
      <c r="T1230" s="409"/>
      <c r="U1230" s="398" t="str">
        <f t="shared" si="56"/>
        <v/>
      </c>
      <c r="V1230" s="400"/>
      <c r="W1230" s="410">
        <f t="shared" si="55"/>
        <v>22.3</v>
      </c>
      <c r="X1230" s="472" t="str">
        <f t="shared" si="54"/>
        <v/>
      </c>
      <c r="AT1230" s="232"/>
      <c r="AV1230" s="198"/>
      <c r="AW1230" s="274"/>
    </row>
    <row r="1231" spans="2:49" x14ac:dyDescent="0.25">
      <c r="B1231" s="274">
        <v>19.5</v>
      </c>
      <c r="C1231" s="274">
        <v>68</v>
      </c>
      <c r="D1231" s="274">
        <v>19.5</v>
      </c>
      <c r="E1231" s="274">
        <v>1.4</v>
      </c>
      <c r="F1231" s="274">
        <v>1.8</v>
      </c>
      <c r="G1231" s="274">
        <v>294</v>
      </c>
      <c r="H1231" s="274">
        <v>1021.2</v>
      </c>
      <c r="I1231" s="274">
        <v>1581</v>
      </c>
      <c r="J1231" s="274">
        <v>0</v>
      </c>
      <c r="K1231" s="274">
        <v>0</v>
      </c>
      <c r="L1231" s="274">
        <v>0</v>
      </c>
      <c r="M1231" s="274">
        <v>65.3</v>
      </c>
      <c r="N1231" s="396">
        <v>599.79999999999995</v>
      </c>
      <c r="O1231" s="396">
        <v>22.2</v>
      </c>
      <c r="P1231" s="396">
        <v>21</v>
      </c>
      <c r="Q1231" s="397">
        <v>0.84861111111111098</v>
      </c>
      <c r="R1231" s="396"/>
      <c r="S1231" s="410"/>
      <c r="T1231" s="409"/>
      <c r="U1231" s="398" t="str">
        <f t="shared" si="56"/>
        <v/>
      </c>
      <c r="V1231" s="400"/>
      <c r="W1231" s="410">
        <f t="shared" si="55"/>
        <v>22.2</v>
      </c>
      <c r="X1231" s="472" t="str">
        <f t="shared" si="54"/>
        <v/>
      </c>
      <c r="AT1231" s="232"/>
      <c r="AV1231" s="198"/>
      <c r="AW1231" s="274"/>
    </row>
    <row r="1232" spans="2:49" x14ac:dyDescent="0.25">
      <c r="B1232" s="274">
        <v>19.5</v>
      </c>
      <c r="C1232" s="274">
        <v>68</v>
      </c>
      <c r="D1232" s="274">
        <v>19.5</v>
      </c>
      <c r="E1232" s="274">
        <v>1.1000000000000001</v>
      </c>
      <c r="F1232" s="274">
        <v>1.8</v>
      </c>
      <c r="G1232" s="274">
        <v>294</v>
      </c>
      <c r="H1232" s="274">
        <v>1021.3</v>
      </c>
      <c r="I1232" s="274">
        <v>1689</v>
      </c>
      <c r="J1232" s="274">
        <v>0</v>
      </c>
      <c r="K1232" s="274">
        <v>0</v>
      </c>
      <c r="L1232" s="274">
        <v>0</v>
      </c>
      <c r="M1232" s="274">
        <v>65.3</v>
      </c>
      <c r="N1232" s="396">
        <v>599.79999999999995</v>
      </c>
      <c r="O1232" s="396">
        <v>22</v>
      </c>
      <c r="P1232" s="396">
        <v>21</v>
      </c>
      <c r="Q1232" s="397">
        <v>0.84930555555555598</v>
      </c>
      <c r="R1232" s="396"/>
      <c r="S1232" s="410"/>
      <c r="T1232" s="409"/>
      <c r="U1232" s="398" t="str">
        <f t="shared" si="56"/>
        <v/>
      </c>
      <c r="V1232" s="400"/>
      <c r="W1232" s="410">
        <f t="shared" si="55"/>
        <v>22</v>
      </c>
      <c r="X1232" s="472" t="str">
        <f t="shared" si="54"/>
        <v/>
      </c>
      <c r="AT1232" s="232"/>
      <c r="AV1232" s="198"/>
      <c r="AW1232" s="274"/>
    </row>
    <row r="1233" spans="2:49" x14ac:dyDescent="0.25">
      <c r="B1233" s="274">
        <v>19.399999999999999</v>
      </c>
      <c r="C1233" s="274">
        <v>69</v>
      </c>
      <c r="D1233" s="274">
        <v>19.399999999999999</v>
      </c>
      <c r="E1233" s="274">
        <v>0.7</v>
      </c>
      <c r="F1233" s="274">
        <v>1.8</v>
      </c>
      <c r="G1233" s="274">
        <v>294</v>
      </c>
      <c r="H1233" s="274">
        <v>1021.3</v>
      </c>
      <c r="I1233" s="274">
        <v>1534</v>
      </c>
      <c r="J1233" s="274">
        <v>0</v>
      </c>
      <c r="K1233" s="274">
        <v>0</v>
      </c>
      <c r="L1233" s="274">
        <v>0</v>
      </c>
      <c r="M1233" s="274">
        <v>65.3</v>
      </c>
      <c r="N1233" s="396">
        <v>599.79999999999995</v>
      </c>
      <c r="O1233" s="396">
        <v>21.8</v>
      </c>
      <c r="P1233" s="396">
        <v>20.8</v>
      </c>
      <c r="Q1233" s="397">
        <v>0.85</v>
      </c>
      <c r="R1233" s="396"/>
      <c r="S1233" s="410"/>
      <c r="T1233" s="409"/>
      <c r="U1233" s="398" t="str">
        <f t="shared" si="56"/>
        <v/>
      </c>
      <c r="V1233" s="400"/>
      <c r="W1233" s="410">
        <f t="shared" si="55"/>
        <v>21.8</v>
      </c>
      <c r="X1233" s="472" t="str">
        <f t="shared" ref="X1233:X1296" si="57">IF(W1233&gt;B1233+3,60,"")</f>
        <v/>
      </c>
      <c r="AT1233" s="232"/>
      <c r="AV1233" s="198"/>
      <c r="AW1233" s="274"/>
    </row>
    <row r="1234" spans="2:49" x14ac:dyDescent="0.25">
      <c r="B1234" s="274">
        <v>19.399999999999999</v>
      </c>
      <c r="C1234" s="274">
        <v>69</v>
      </c>
      <c r="D1234" s="274">
        <v>19.399999999999999</v>
      </c>
      <c r="E1234" s="274">
        <v>1.8</v>
      </c>
      <c r="F1234" s="274">
        <v>1.8</v>
      </c>
      <c r="G1234" s="274">
        <v>294</v>
      </c>
      <c r="H1234" s="274">
        <v>1021.2</v>
      </c>
      <c r="I1234" s="274">
        <v>1426</v>
      </c>
      <c r="J1234" s="274">
        <v>0</v>
      </c>
      <c r="K1234" s="274">
        <v>0</v>
      </c>
      <c r="L1234" s="274">
        <v>0</v>
      </c>
      <c r="M1234" s="274">
        <v>65.3</v>
      </c>
      <c r="N1234" s="396">
        <v>599.79999999999995</v>
      </c>
      <c r="O1234" s="396">
        <v>21.6</v>
      </c>
      <c r="P1234" s="396">
        <v>20.7</v>
      </c>
      <c r="Q1234" s="397">
        <v>0.85069444444444497</v>
      </c>
      <c r="R1234" s="396"/>
      <c r="S1234" s="410"/>
      <c r="T1234" s="409"/>
      <c r="U1234" s="398" t="str">
        <f t="shared" si="56"/>
        <v/>
      </c>
      <c r="V1234" s="400"/>
      <c r="W1234" s="410">
        <f t="shared" si="55"/>
        <v>21.6</v>
      </c>
      <c r="X1234" s="472" t="str">
        <f t="shared" si="57"/>
        <v/>
      </c>
      <c r="AT1234" s="232"/>
      <c r="AV1234" s="198"/>
      <c r="AW1234" s="274"/>
    </row>
    <row r="1235" spans="2:49" x14ac:dyDescent="0.25">
      <c r="B1235" s="274">
        <v>19.399999999999999</v>
      </c>
      <c r="C1235" s="274">
        <v>69</v>
      </c>
      <c r="D1235" s="274">
        <v>19.399999999999999</v>
      </c>
      <c r="E1235" s="274">
        <v>1.4</v>
      </c>
      <c r="F1235" s="274">
        <v>1.8</v>
      </c>
      <c r="G1235" s="274">
        <v>302</v>
      </c>
      <c r="H1235" s="274">
        <v>1021.1</v>
      </c>
      <c r="I1235" s="274">
        <v>1317</v>
      </c>
      <c r="J1235" s="274">
        <v>0</v>
      </c>
      <c r="K1235" s="274">
        <v>0</v>
      </c>
      <c r="L1235" s="274">
        <v>0</v>
      </c>
      <c r="M1235" s="274">
        <v>65.3</v>
      </c>
      <c r="N1235" s="396">
        <v>599.79999999999995</v>
      </c>
      <c r="O1235" s="396">
        <v>21.5</v>
      </c>
      <c r="P1235" s="396">
        <v>20.6</v>
      </c>
      <c r="Q1235" s="397">
        <v>0.85138888888888897</v>
      </c>
      <c r="R1235" s="396"/>
      <c r="S1235" s="410"/>
      <c r="T1235" s="409"/>
      <c r="U1235" s="398" t="str">
        <f t="shared" si="56"/>
        <v/>
      </c>
      <c r="V1235" s="400"/>
      <c r="W1235" s="410">
        <f t="shared" si="55"/>
        <v>21.5</v>
      </c>
      <c r="X1235" s="472" t="str">
        <f t="shared" si="57"/>
        <v/>
      </c>
      <c r="AT1235" s="232"/>
      <c r="AV1235" s="198"/>
      <c r="AW1235" s="274"/>
    </row>
    <row r="1236" spans="2:49" x14ac:dyDescent="0.25">
      <c r="B1236" s="274">
        <v>19.3</v>
      </c>
      <c r="C1236" s="274">
        <v>69</v>
      </c>
      <c r="D1236" s="274">
        <v>19.3</v>
      </c>
      <c r="E1236" s="274">
        <v>1.8</v>
      </c>
      <c r="F1236" s="274">
        <v>1.8</v>
      </c>
      <c r="G1236" s="274">
        <v>302</v>
      </c>
      <c r="H1236" s="274">
        <v>1021.3</v>
      </c>
      <c r="I1236" s="274">
        <v>1209</v>
      </c>
      <c r="J1236" s="274">
        <v>0</v>
      </c>
      <c r="K1236" s="274">
        <v>0</v>
      </c>
      <c r="L1236" s="274">
        <v>0</v>
      </c>
      <c r="M1236" s="274">
        <v>65.3</v>
      </c>
      <c r="N1236" s="396">
        <v>599.79999999999995</v>
      </c>
      <c r="O1236" s="396">
        <v>21.2</v>
      </c>
      <c r="P1236" s="396">
        <v>20.5</v>
      </c>
      <c r="Q1236" s="397">
        <v>0.85208333333333297</v>
      </c>
      <c r="R1236" s="396"/>
      <c r="S1236" s="410"/>
      <c r="T1236" s="409"/>
      <c r="U1236" s="398" t="str">
        <f t="shared" si="56"/>
        <v/>
      </c>
      <c r="V1236" s="400"/>
      <c r="W1236" s="410">
        <f t="shared" si="55"/>
        <v>21.2</v>
      </c>
      <c r="X1236" s="472" t="str">
        <f t="shared" si="57"/>
        <v/>
      </c>
      <c r="AT1236" s="232"/>
      <c r="AV1236" s="198"/>
      <c r="AW1236" s="274"/>
    </row>
    <row r="1237" spans="2:49" x14ac:dyDescent="0.25">
      <c r="B1237" s="274">
        <v>19.3</v>
      </c>
      <c r="C1237" s="274">
        <v>69</v>
      </c>
      <c r="D1237" s="274">
        <v>19.3</v>
      </c>
      <c r="E1237" s="274">
        <v>0.4</v>
      </c>
      <c r="F1237" s="274">
        <v>1.8</v>
      </c>
      <c r="G1237" s="274">
        <v>289</v>
      </c>
      <c r="H1237" s="274">
        <v>1021.2</v>
      </c>
      <c r="I1237" s="274">
        <v>1038</v>
      </c>
      <c r="J1237" s="274">
        <v>0</v>
      </c>
      <c r="K1237" s="274">
        <v>0</v>
      </c>
      <c r="L1237" s="274">
        <v>0</v>
      </c>
      <c r="M1237" s="274">
        <v>65.3</v>
      </c>
      <c r="N1237" s="396">
        <v>599.79999999999995</v>
      </c>
      <c r="O1237" s="396">
        <v>21</v>
      </c>
      <c r="P1237" s="396">
        <v>20.3</v>
      </c>
      <c r="Q1237" s="397">
        <v>0.85277777777777797</v>
      </c>
      <c r="R1237" s="396"/>
      <c r="S1237" s="410"/>
      <c r="T1237" s="409"/>
      <c r="U1237" s="398" t="str">
        <f t="shared" si="56"/>
        <v/>
      </c>
      <c r="V1237" s="400"/>
      <c r="W1237" s="410">
        <f t="shared" si="55"/>
        <v>21</v>
      </c>
      <c r="X1237" s="472" t="str">
        <f t="shared" si="57"/>
        <v/>
      </c>
      <c r="AT1237" s="232"/>
      <c r="AV1237" s="198"/>
      <c r="AW1237" s="274"/>
    </row>
    <row r="1238" spans="2:49" x14ac:dyDescent="0.25">
      <c r="B1238" s="274">
        <v>19.2</v>
      </c>
      <c r="C1238" s="274">
        <v>69</v>
      </c>
      <c r="D1238" s="274">
        <v>19.2</v>
      </c>
      <c r="E1238" s="274">
        <v>1.8</v>
      </c>
      <c r="F1238" s="274">
        <v>1.8</v>
      </c>
      <c r="G1238" s="274">
        <v>289</v>
      </c>
      <c r="H1238" s="274">
        <v>1021.5</v>
      </c>
      <c r="I1238" s="274">
        <v>1038</v>
      </c>
      <c r="J1238" s="274">
        <v>0</v>
      </c>
      <c r="K1238" s="274">
        <v>0</v>
      </c>
      <c r="L1238" s="274">
        <v>0</v>
      </c>
      <c r="M1238" s="274">
        <v>65.3</v>
      </c>
      <c r="N1238" s="396">
        <v>599.79999999999995</v>
      </c>
      <c r="O1238" s="396">
        <v>20.8</v>
      </c>
      <c r="P1238" s="396">
        <v>20.2</v>
      </c>
      <c r="Q1238" s="397">
        <v>0.85347222222222197</v>
      </c>
      <c r="R1238" s="396"/>
      <c r="S1238" s="410"/>
      <c r="T1238" s="409"/>
      <c r="U1238" s="398" t="str">
        <f t="shared" si="56"/>
        <v/>
      </c>
      <c r="V1238" s="400"/>
      <c r="W1238" s="410">
        <f t="shared" si="55"/>
        <v>20.8</v>
      </c>
      <c r="X1238" s="472" t="str">
        <f t="shared" si="57"/>
        <v/>
      </c>
      <c r="AT1238" s="232"/>
      <c r="AV1238" s="198"/>
      <c r="AW1238" s="274"/>
    </row>
    <row r="1239" spans="2:49" x14ac:dyDescent="0.25">
      <c r="B1239" s="274">
        <v>19.2</v>
      </c>
      <c r="C1239" s="274">
        <v>69</v>
      </c>
      <c r="D1239" s="274">
        <v>19.2</v>
      </c>
      <c r="E1239" s="274">
        <v>2.5</v>
      </c>
      <c r="F1239" s="274">
        <v>3.6</v>
      </c>
      <c r="G1239" s="274">
        <v>305</v>
      </c>
      <c r="H1239" s="274">
        <v>1021.1</v>
      </c>
      <c r="I1239" s="274">
        <v>976</v>
      </c>
      <c r="J1239" s="274">
        <v>0</v>
      </c>
      <c r="K1239" s="274">
        <v>0</v>
      </c>
      <c r="L1239" s="274">
        <v>0</v>
      </c>
      <c r="M1239" s="274">
        <v>65.3</v>
      </c>
      <c r="N1239" s="396">
        <v>599.79999999999995</v>
      </c>
      <c r="O1239" s="396">
        <v>20.7</v>
      </c>
      <c r="P1239" s="396">
        <v>20</v>
      </c>
      <c r="Q1239" s="397">
        <v>0.85416666666666696</v>
      </c>
      <c r="R1239" s="396"/>
      <c r="S1239" s="410"/>
      <c r="T1239" s="409"/>
      <c r="U1239" s="398" t="str">
        <f t="shared" si="56"/>
        <v/>
      </c>
      <c r="V1239" s="400"/>
      <c r="W1239" s="410">
        <f t="shared" si="55"/>
        <v>20.7</v>
      </c>
      <c r="X1239" s="472" t="str">
        <f t="shared" si="57"/>
        <v/>
      </c>
      <c r="AT1239" s="232"/>
      <c r="AV1239" s="198"/>
      <c r="AW1239" s="274"/>
    </row>
    <row r="1240" spans="2:49" x14ac:dyDescent="0.25">
      <c r="B1240" s="274">
        <v>19.2</v>
      </c>
      <c r="C1240" s="274">
        <v>70</v>
      </c>
      <c r="D1240" s="274">
        <v>19.2</v>
      </c>
      <c r="E1240" s="274">
        <v>1.4</v>
      </c>
      <c r="F1240" s="274">
        <v>1.8</v>
      </c>
      <c r="G1240" s="274">
        <v>306</v>
      </c>
      <c r="H1240" s="274">
        <v>1021.2</v>
      </c>
      <c r="I1240" s="274">
        <v>868</v>
      </c>
      <c r="J1240" s="274">
        <v>0</v>
      </c>
      <c r="K1240" s="274">
        <v>0</v>
      </c>
      <c r="L1240" s="274">
        <v>0</v>
      </c>
      <c r="M1240" s="274">
        <v>65.3</v>
      </c>
      <c r="N1240" s="396">
        <v>599.79999999999995</v>
      </c>
      <c r="O1240" s="396">
        <v>20.5</v>
      </c>
      <c r="P1240" s="396">
        <v>19.899999999999999</v>
      </c>
      <c r="Q1240" s="397">
        <v>0.85486111111111096</v>
      </c>
      <c r="R1240" s="396"/>
      <c r="S1240" s="410"/>
      <c r="T1240" s="409"/>
      <c r="U1240" s="398" t="str">
        <f t="shared" si="56"/>
        <v/>
      </c>
      <c r="V1240" s="400"/>
      <c r="W1240" s="410">
        <f t="shared" si="55"/>
        <v>20.5</v>
      </c>
      <c r="X1240" s="472" t="str">
        <f t="shared" si="57"/>
        <v/>
      </c>
      <c r="AT1240" s="232"/>
      <c r="AV1240" s="198"/>
      <c r="AW1240" s="274"/>
    </row>
    <row r="1241" spans="2:49" x14ac:dyDescent="0.25">
      <c r="B1241" s="274">
        <v>19.2</v>
      </c>
      <c r="C1241" s="274">
        <v>70</v>
      </c>
      <c r="D1241" s="274">
        <v>19.2</v>
      </c>
      <c r="E1241" s="274">
        <v>0.4</v>
      </c>
      <c r="F1241" s="274">
        <v>1.8</v>
      </c>
      <c r="G1241" s="274">
        <v>301</v>
      </c>
      <c r="H1241" s="274">
        <v>1021.2</v>
      </c>
      <c r="I1241" s="274">
        <v>930</v>
      </c>
      <c r="J1241" s="274">
        <v>0</v>
      </c>
      <c r="K1241" s="274">
        <v>0</v>
      </c>
      <c r="L1241" s="274">
        <v>0</v>
      </c>
      <c r="M1241" s="274">
        <v>65.3</v>
      </c>
      <c r="N1241" s="396">
        <v>599.79999999999995</v>
      </c>
      <c r="O1241" s="396">
        <v>20.3</v>
      </c>
      <c r="P1241" s="396">
        <v>19.8</v>
      </c>
      <c r="Q1241" s="397">
        <v>0.85555555555555596</v>
      </c>
      <c r="R1241" s="396"/>
      <c r="S1241" s="410"/>
      <c r="T1241" s="409"/>
      <c r="U1241" s="398" t="str">
        <f t="shared" si="56"/>
        <v/>
      </c>
      <c r="V1241" s="400"/>
      <c r="W1241" s="410">
        <f t="shared" si="55"/>
        <v>20.3</v>
      </c>
      <c r="X1241" s="472" t="str">
        <f t="shared" si="57"/>
        <v/>
      </c>
      <c r="AT1241" s="232"/>
      <c r="AV1241" s="198"/>
      <c r="AW1241" s="274"/>
    </row>
    <row r="1242" spans="2:49" x14ac:dyDescent="0.25">
      <c r="B1242" s="274">
        <v>19.100000000000001</v>
      </c>
      <c r="C1242" s="274">
        <v>70</v>
      </c>
      <c r="D1242" s="274">
        <v>19.100000000000001</v>
      </c>
      <c r="E1242" s="274">
        <v>1.8</v>
      </c>
      <c r="F1242" s="274">
        <v>1.8</v>
      </c>
      <c r="G1242" s="274">
        <v>302</v>
      </c>
      <c r="H1242" s="274">
        <v>1021.1</v>
      </c>
      <c r="I1242" s="274">
        <v>930</v>
      </c>
      <c r="J1242" s="274">
        <v>0</v>
      </c>
      <c r="K1242" s="274">
        <v>0</v>
      </c>
      <c r="L1242" s="274">
        <v>0</v>
      </c>
      <c r="M1242" s="274">
        <v>65.3</v>
      </c>
      <c r="N1242" s="396">
        <v>599.79999999999995</v>
      </c>
      <c r="O1242" s="396">
        <v>20.2</v>
      </c>
      <c r="P1242" s="396">
        <v>19.600000000000001</v>
      </c>
      <c r="Q1242" s="397">
        <v>0.85624999999999996</v>
      </c>
      <c r="R1242" s="396"/>
      <c r="S1242" s="410"/>
      <c r="T1242" s="409"/>
      <c r="U1242" s="398" t="str">
        <f t="shared" si="56"/>
        <v/>
      </c>
      <c r="V1242" s="400"/>
      <c r="W1242" s="410">
        <f t="shared" si="55"/>
        <v>20.2</v>
      </c>
      <c r="X1242" s="472" t="str">
        <f t="shared" si="57"/>
        <v/>
      </c>
      <c r="AT1242" s="232"/>
      <c r="AV1242" s="198"/>
      <c r="AW1242" s="274"/>
    </row>
    <row r="1243" spans="2:49" x14ac:dyDescent="0.25">
      <c r="B1243" s="274">
        <v>19.100000000000001</v>
      </c>
      <c r="C1243" s="274">
        <v>70</v>
      </c>
      <c r="D1243" s="274">
        <v>19.100000000000001</v>
      </c>
      <c r="E1243" s="274">
        <v>1.4</v>
      </c>
      <c r="F1243" s="274">
        <v>1.8</v>
      </c>
      <c r="G1243" s="274">
        <v>301</v>
      </c>
      <c r="H1243" s="274">
        <v>1021.2</v>
      </c>
      <c r="I1243" s="274">
        <v>713</v>
      </c>
      <c r="J1243" s="274">
        <v>0</v>
      </c>
      <c r="K1243" s="274">
        <v>0</v>
      </c>
      <c r="L1243" s="274">
        <v>0</v>
      </c>
      <c r="M1243" s="274">
        <v>65.3</v>
      </c>
      <c r="N1243" s="396">
        <v>599.79999999999995</v>
      </c>
      <c r="O1243" s="396">
        <v>20</v>
      </c>
      <c r="P1243" s="396">
        <v>19.5</v>
      </c>
      <c r="Q1243" s="397">
        <v>0.85694444444444495</v>
      </c>
      <c r="R1243" s="396"/>
      <c r="S1243" s="410"/>
      <c r="T1243" s="409"/>
      <c r="U1243" s="398" t="str">
        <f t="shared" si="56"/>
        <v/>
      </c>
      <c r="V1243" s="400"/>
      <c r="W1243" s="410">
        <f t="shared" si="55"/>
        <v>20</v>
      </c>
      <c r="X1243" s="472" t="str">
        <f t="shared" si="57"/>
        <v/>
      </c>
      <c r="AT1243" s="232"/>
      <c r="AV1243" s="198"/>
      <c r="AW1243" s="274"/>
    </row>
    <row r="1244" spans="2:49" x14ac:dyDescent="0.25">
      <c r="B1244" s="274">
        <v>19.100000000000001</v>
      </c>
      <c r="C1244" s="274">
        <v>70</v>
      </c>
      <c r="D1244" s="274">
        <v>19.100000000000001</v>
      </c>
      <c r="E1244" s="274">
        <v>1.8</v>
      </c>
      <c r="F1244" s="274">
        <v>1.8</v>
      </c>
      <c r="G1244" s="274">
        <v>286</v>
      </c>
      <c r="H1244" s="274">
        <v>1021</v>
      </c>
      <c r="I1244" s="274">
        <v>713</v>
      </c>
      <c r="J1244" s="274">
        <v>0</v>
      </c>
      <c r="K1244" s="274">
        <v>0</v>
      </c>
      <c r="L1244" s="274">
        <v>0</v>
      </c>
      <c r="M1244" s="274">
        <v>65.3</v>
      </c>
      <c r="N1244" s="396">
        <v>599.79999999999995</v>
      </c>
      <c r="O1244" s="396">
        <v>19.899999999999999</v>
      </c>
      <c r="P1244" s="396">
        <v>19.399999999999999</v>
      </c>
      <c r="Q1244" s="397">
        <v>0.85763888888888895</v>
      </c>
      <c r="R1244" s="396"/>
      <c r="S1244" s="410"/>
      <c r="T1244" s="409"/>
      <c r="U1244" s="398" t="str">
        <f t="shared" si="56"/>
        <v/>
      </c>
      <c r="V1244" s="400"/>
      <c r="W1244" s="410">
        <f t="shared" si="55"/>
        <v>19.899999999999999</v>
      </c>
      <c r="X1244" s="472" t="str">
        <f t="shared" si="57"/>
        <v/>
      </c>
      <c r="AT1244" s="232"/>
      <c r="AV1244" s="198"/>
      <c r="AW1244" s="274"/>
    </row>
    <row r="1245" spans="2:49" x14ac:dyDescent="0.25">
      <c r="B1245" s="274">
        <v>19</v>
      </c>
      <c r="C1245" s="274">
        <v>70</v>
      </c>
      <c r="D1245" s="274">
        <v>19</v>
      </c>
      <c r="E1245" s="274">
        <v>0</v>
      </c>
      <c r="F1245" s="274">
        <v>0</v>
      </c>
      <c r="G1245" s="274">
        <v>286</v>
      </c>
      <c r="H1245" s="274">
        <v>1021.3</v>
      </c>
      <c r="I1245" s="274">
        <v>651</v>
      </c>
      <c r="J1245" s="274">
        <v>0</v>
      </c>
      <c r="K1245" s="274">
        <v>0</v>
      </c>
      <c r="L1245" s="274">
        <v>0</v>
      </c>
      <c r="M1245" s="274">
        <v>65.3</v>
      </c>
      <c r="N1245" s="396">
        <v>599.79999999999995</v>
      </c>
      <c r="O1245" s="396">
        <v>19.7</v>
      </c>
      <c r="P1245" s="396">
        <v>19.3</v>
      </c>
      <c r="Q1245" s="397">
        <v>0.85833333333333295</v>
      </c>
      <c r="R1245" s="396"/>
      <c r="S1245" s="410"/>
      <c r="T1245" s="409"/>
      <c r="U1245" s="398" t="str">
        <f t="shared" si="56"/>
        <v/>
      </c>
      <c r="V1245" s="400"/>
      <c r="W1245" s="410">
        <f t="shared" si="55"/>
        <v>19.7</v>
      </c>
      <c r="X1245" s="472" t="str">
        <f t="shared" si="57"/>
        <v/>
      </c>
      <c r="AT1245" s="232"/>
      <c r="AV1245" s="198"/>
      <c r="AW1245" s="274"/>
    </row>
    <row r="1246" spans="2:49" x14ac:dyDescent="0.25">
      <c r="B1246" s="274">
        <v>19</v>
      </c>
      <c r="C1246" s="274">
        <v>70</v>
      </c>
      <c r="D1246" s="274">
        <v>19</v>
      </c>
      <c r="E1246" s="274">
        <v>1.1000000000000001</v>
      </c>
      <c r="F1246" s="274">
        <v>1.8</v>
      </c>
      <c r="G1246" s="274">
        <v>286</v>
      </c>
      <c r="H1246" s="274">
        <v>1021.4</v>
      </c>
      <c r="I1246" s="274">
        <v>542</v>
      </c>
      <c r="J1246" s="274">
        <v>0</v>
      </c>
      <c r="K1246" s="274">
        <v>0</v>
      </c>
      <c r="L1246" s="274">
        <v>0</v>
      </c>
      <c r="M1246" s="274">
        <v>65.3</v>
      </c>
      <c r="N1246" s="396">
        <v>599.79999999999995</v>
      </c>
      <c r="O1246" s="396">
        <v>19.7</v>
      </c>
      <c r="P1246" s="396">
        <v>19.2</v>
      </c>
      <c r="Q1246" s="397">
        <v>0.85902777777777795</v>
      </c>
      <c r="R1246" s="396"/>
      <c r="S1246" s="410"/>
      <c r="T1246" s="409"/>
      <c r="U1246" s="398" t="str">
        <f t="shared" si="56"/>
        <v/>
      </c>
      <c r="V1246" s="400"/>
      <c r="W1246" s="410">
        <f t="shared" si="55"/>
        <v>19.7</v>
      </c>
      <c r="X1246" s="472" t="str">
        <f t="shared" si="57"/>
        <v/>
      </c>
      <c r="AT1246" s="232"/>
      <c r="AV1246" s="198"/>
      <c r="AW1246" s="274"/>
    </row>
    <row r="1247" spans="2:49" x14ac:dyDescent="0.25">
      <c r="B1247" s="274">
        <v>19</v>
      </c>
      <c r="C1247" s="274">
        <v>70</v>
      </c>
      <c r="D1247" s="274">
        <v>19</v>
      </c>
      <c r="E1247" s="274">
        <v>1.1000000000000001</v>
      </c>
      <c r="F1247" s="274">
        <v>1.8</v>
      </c>
      <c r="G1247" s="274">
        <v>291</v>
      </c>
      <c r="H1247" s="274">
        <v>1021.1</v>
      </c>
      <c r="I1247" s="274">
        <v>604</v>
      </c>
      <c r="J1247" s="274">
        <v>0</v>
      </c>
      <c r="K1247" s="274">
        <v>0</v>
      </c>
      <c r="L1247" s="274">
        <v>0</v>
      </c>
      <c r="M1247" s="274">
        <v>65.3</v>
      </c>
      <c r="N1247" s="396">
        <v>599.79999999999995</v>
      </c>
      <c r="O1247" s="396">
        <v>19.600000000000001</v>
      </c>
      <c r="P1247" s="396">
        <v>19.100000000000001</v>
      </c>
      <c r="Q1247" s="397">
        <v>0.85972222222222205</v>
      </c>
      <c r="R1247" s="396"/>
      <c r="S1247" s="410"/>
      <c r="T1247" s="409"/>
      <c r="U1247" s="398" t="str">
        <f t="shared" si="56"/>
        <v/>
      </c>
      <c r="V1247" s="400"/>
      <c r="W1247" s="410">
        <f t="shared" si="55"/>
        <v>19.600000000000001</v>
      </c>
      <c r="X1247" s="472" t="str">
        <f t="shared" si="57"/>
        <v/>
      </c>
      <c r="AT1247" s="232"/>
      <c r="AV1247" s="198"/>
      <c r="AW1247" s="274"/>
    </row>
    <row r="1248" spans="2:49" x14ac:dyDescent="0.25">
      <c r="B1248" s="274">
        <v>18.899999999999999</v>
      </c>
      <c r="C1248" s="274">
        <v>70</v>
      </c>
      <c r="D1248" s="274">
        <v>18.899999999999999</v>
      </c>
      <c r="E1248" s="274">
        <v>1.8</v>
      </c>
      <c r="F1248" s="274">
        <v>1.8</v>
      </c>
      <c r="G1248" s="274">
        <v>296</v>
      </c>
      <c r="H1248" s="274">
        <v>1021.2</v>
      </c>
      <c r="I1248" s="274">
        <v>480</v>
      </c>
      <c r="J1248" s="274">
        <v>0</v>
      </c>
      <c r="K1248" s="274">
        <v>0</v>
      </c>
      <c r="L1248" s="274">
        <v>0</v>
      </c>
      <c r="M1248" s="274">
        <v>65.3</v>
      </c>
      <c r="N1248" s="396">
        <v>599.79999999999995</v>
      </c>
      <c r="O1248" s="396">
        <v>19.399999999999999</v>
      </c>
      <c r="P1248" s="396">
        <v>19</v>
      </c>
      <c r="Q1248" s="397">
        <v>0.86041666666666705</v>
      </c>
      <c r="R1248" s="396"/>
      <c r="S1248" s="410"/>
      <c r="T1248" s="409"/>
      <c r="U1248" s="398" t="str">
        <f t="shared" si="56"/>
        <v/>
      </c>
      <c r="V1248" s="400"/>
      <c r="W1248" s="410">
        <f t="shared" si="55"/>
        <v>19.399999999999999</v>
      </c>
      <c r="X1248" s="472" t="str">
        <f t="shared" si="57"/>
        <v/>
      </c>
      <c r="AT1248" s="232"/>
      <c r="AV1248" s="198"/>
      <c r="AW1248" s="274"/>
    </row>
    <row r="1249" spans="2:49" x14ac:dyDescent="0.25">
      <c r="B1249" s="274">
        <v>18.899999999999999</v>
      </c>
      <c r="C1249" s="274">
        <v>70</v>
      </c>
      <c r="D1249" s="274">
        <v>18.899999999999999</v>
      </c>
      <c r="E1249" s="274">
        <v>2.2000000000000002</v>
      </c>
      <c r="F1249" s="274">
        <v>3.6</v>
      </c>
      <c r="G1249" s="274">
        <v>298</v>
      </c>
      <c r="H1249" s="274">
        <v>1021.2</v>
      </c>
      <c r="I1249" s="274">
        <v>434</v>
      </c>
      <c r="J1249" s="274">
        <v>0</v>
      </c>
      <c r="K1249" s="274">
        <v>0</v>
      </c>
      <c r="L1249" s="274">
        <v>0</v>
      </c>
      <c r="M1249" s="274">
        <v>65.3</v>
      </c>
      <c r="N1249" s="396">
        <v>599.79999999999995</v>
      </c>
      <c r="O1249" s="396">
        <v>19.3</v>
      </c>
      <c r="P1249" s="396">
        <v>18.899999999999999</v>
      </c>
      <c r="Q1249" s="397">
        <v>0.86111111111111105</v>
      </c>
      <c r="R1249" s="396"/>
      <c r="S1249" s="410"/>
      <c r="T1249" s="409"/>
      <c r="U1249" s="398" t="str">
        <f t="shared" si="56"/>
        <v/>
      </c>
      <c r="V1249" s="400"/>
      <c r="W1249" s="410">
        <f t="shared" si="55"/>
        <v>19.3</v>
      </c>
      <c r="X1249" s="472" t="str">
        <f t="shared" si="57"/>
        <v/>
      </c>
      <c r="AT1249" s="232"/>
      <c r="AV1249" s="198"/>
      <c r="AW1249" s="274"/>
    </row>
    <row r="1250" spans="2:49" x14ac:dyDescent="0.25">
      <c r="B1250" s="274">
        <v>18.899999999999999</v>
      </c>
      <c r="C1250" s="274">
        <v>70</v>
      </c>
      <c r="D1250" s="274">
        <v>18.899999999999999</v>
      </c>
      <c r="E1250" s="274">
        <v>1.8</v>
      </c>
      <c r="F1250" s="274">
        <v>1.8</v>
      </c>
      <c r="G1250" s="274">
        <v>298</v>
      </c>
      <c r="H1250" s="274">
        <v>1021.3</v>
      </c>
      <c r="I1250" s="274">
        <v>325</v>
      </c>
      <c r="J1250" s="274">
        <v>0</v>
      </c>
      <c r="K1250" s="274">
        <v>0</v>
      </c>
      <c r="L1250" s="274">
        <v>0</v>
      </c>
      <c r="M1250" s="274">
        <v>65.3</v>
      </c>
      <c r="N1250" s="396">
        <v>599.79999999999995</v>
      </c>
      <c r="O1250" s="396">
        <v>19.2</v>
      </c>
      <c r="P1250" s="396">
        <v>18.8</v>
      </c>
      <c r="Q1250" s="397">
        <v>0.86180555555555605</v>
      </c>
      <c r="R1250" s="396"/>
      <c r="S1250" s="410"/>
      <c r="T1250" s="409"/>
      <c r="U1250" s="398" t="str">
        <f t="shared" si="56"/>
        <v/>
      </c>
      <c r="V1250" s="400"/>
      <c r="W1250" s="410">
        <f t="shared" si="55"/>
        <v>19.2</v>
      </c>
      <c r="X1250" s="472" t="str">
        <f t="shared" si="57"/>
        <v/>
      </c>
      <c r="AT1250" s="232"/>
      <c r="AV1250" s="198"/>
      <c r="AW1250" s="274"/>
    </row>
    <row r="1251" spans="2:49" x14ac:dyDescent="0.25">
      <c r="B1251" s="274">
        <v>18.899999999999999</v>
      </c>
      <c r="C1251" s="274">
        <v>70</v>
      </c>
      <c r="D1251" s="274">
        <v>18.899999999999999</v>
      </c>
      <c r="E1251" s="274">
        <v>0</v>
      </c>
      <c r="F1251" s="274">
        <v>0</v>
      </c>
      <c r="G1251" s="274">
        <v>302</v>
      </c>
      <c r="H1251" s="274">
        <v>1021.2</v>
      </c>
      <c r="I1251" s="274">
        <v>372</v>
      </c>
      <c r="J1251" s="274">
        <v>0</v>
      </c>
      <c r="K1251" s="274">
        <v>0</v>
      </c>
      <c r="L1251" s="274">
        <v>0</v>
      </c>
      <c r="M1251" s="274">
        <v>65.3</v>
      </c>
      <c r="N1251" s="396">
        <v>599.79999999999995</v>
      </c>
      <c r="O1251" s="396">
        <v>19.100000000000001</v>
      </c>
      <c r="P1251" s="396">
        <v>18.8</v>
      </c>
      <c r="Q1251" s="397">
        <v>0.86250000000000004</v>
      </c>
      <c r="R1251" s="396"/>
      <c r="S1251" s="410"/>
      <c r="T1251" s="409"/>
      <c r="U1251" s="398" t="str">
        <f t="shared" si="56"/>
        <v/>
      </c>
      <c r="V1251" s="400"/>
      <c r="W1251" s="410">
        <f t="shared" si="55"/>
        <v>19.100000000000001</v>
      </c>
      <c r="X1251" s="472" t="str">
        <f t="shared" si="57"/>
        <v/>
      </c>
      <c r="AT1251" s="232"/>
      <c r="AV1251" s="198"/>
      <c r="AW1251" s="274"/>
    </row>
    <row r="1252" spans="2:49" x14ac:dyDescent="0.25">
      <c r="B1252" s="274">
        <v>18.8</v>
      </c>
      <c r="C1252" s="274">
        <v>70</v>
      </c>
      <c r="D1252" s="274">
        <v>18.8</v>
      </c>
      <c r="E1252" s="274">
        <v>3.2</v>
      </c>
      <c r="F1252" s="274">
        <v>5.4</v>
      </c>
      <c r="G1252" s="274">
        <v>280</v>
      </c>
      <c r="H1252" s="274">
        <v>1021.2</v>
      </c>
      <c r="I1252" s="274">
        <v>325</v>
      </c>
      <c r="J1252" s="274">
        <v>0</v>
      </c>
      <c r="K1252" s="274">
        <v>0</v>
      </c>
      <c r="L1252" s="274">
        <v>0</v>
      </c>
      <c r="M1252" s="274">
        <v>65.3</v>
      </c>
      <c r="N1252" s="396">
        <v>599.79999999999995</v>
      </c>
      <c r="O1252" s="396">
        <v>19</v>
      </c>
      <c r="P1252" s="396">
        <v>18.7</v>
      </c>
      <c r="Q1252" s="397">
        <v>0.86319444444444404</v>
      </c>
      <c r="R1252" s="396"/>
      <c r="S1252" s="410"/>
      <c r="T1252" s="409"/>
      <c r="U1252" s="398" t="str">
        <f t="shared" si="56"/>
        <v/>
      </c>
      <c r="V1252" s="400"/>
      <c r="W1252" s="410">
        <f t="shared" si="55"/>
        <v>19</v>
      </c>
      <c r="X1252" s="472" t="str">
        <f t="shared" si="57"/>
        <v/>
      </c>
      <c r="AT1252" s="232"/>
      <c r="AV1252" s="198"/>
      <c r="AW1252" s="274"/>
    </row>
    <row r="1253" spans="2:49" x14ac:dyDescent="0.25">
      <c r="B1253" s="274">
        <v>18.8</v>
      </c>
      <c r="C1253" s="274">
        <v>70</v>
      </c>
      <c r="D1253" s="274">
        <v>18.8</v>
      </c>
      <c r="E1253" s="274">
        <v>1.1000000000000001</v>
      </c>
      <c r="F1253" s="274">
        <v>1.8</v>
      </c>
      <c r="G1253" s="274">
        <v>300</v>
      </c>
      <c r="H1253" s="274">
        <v>1021.2</v>
      </c>
      <c r="I1253" s="274">
        <v>155</v>
      </c>
      <c r="J1253" s="274">
        <v>0</v>
      </c>
      <c r="K1253" s="274">
        <v>0</v>
      </c>
      <c r="L1253" s="274">
        <v>0</v>
      </c>
      <c r="M1253" s="274">
        <v>65.3</v>
      </c>
      <c r="N1253" s="396">
        <v>599.79999999999995</v>
      </c>
      <c r="O1253" s="396">
        <v>18.899999999999999</v>
      </c>
      <c r="P1253" s="396">
        <v>18.600000000000001</v>
      </c>
      <c r="Q1253" s="397">
        <v>0.86388888888888904</v>
      </c>
      <c r="R1253" s="396"/>
      <c r="S1253" s="410"/>
      <c r="T1253" s="409"/>
      <c r="U1253" s="398" t="str">
        <f t="shared" si="56"/>
        <v/>
      </c>
      <c r="V1253" s="400"/>
      <c r="W1253" s="410">
        <f t="shared" si="55"/>
        <v>18.899999999999999</v>
      </c>
      <c r="X1253" s="472" t="str">
        <f t="shared" si="57"/>
        <v/>
      </c>
      <c r="AT1253" s="232"/>
      <c r="AV1253" s="198"/>
      <c r="AW1253" s="274"/>
    </row>
    <row r="1254" spans="2:49" x14ac:dyDescent="0.25">
      <c r="B1254" s="274">
        <v>18.8</v>
      </c>
      <c r="C1254" s="274">
        <v>70</v>
      </c>
      <c r="D1254" s="274">
        <v>18.8</v>
      </c>
      <c r="E1254" s="274">
        <v>0.4</v>
      </c>
      <c r="F1254" s="274">
        <v>1.8</v>
      </c>
      <c r="G1254" s="274">
        <v>304</v>
      </c>
      <c r="H1254" s="274">
        <v>1021.1</v>
      </c>
      <c r="I1254" s="274">
        <v>217</v>
      </c>
      <c r="J1254" s="274">
        <v>0</v>
      </c>
      <c r="K1254" s="274">
        <v>0</v>
      </c>
      <c r="L1254" s="274">
        <v>0</v>
      </c>
      <c r="M1254" s="274">
        <v>65.3</v>
      </c>
      <c r="N1254" s="396">
        <v>599.79999999999995</v>
      </c>
      <c r="O1254" s="396">
        <v>18.8</v>
      </c>
      <c r="P1254" s="396">
        <v>18.5</v>
      </c>
      <c r="Q1254" s="397">
        <v>0.86458333333333304</v>
      </c>
      <c r="R1254" s="396"/>
      <c r="S1254" s="410"/>
      <c r="T1254" s="409"/>
      <c r="U1254" s="398" t="str">
        <f t="shared" si="56"/>
        <v/>
      </c>
      <c r="V1254" s="400"/>
      <c r="W1254" s="410">
        <f t="shared" si="55"/>
        <v>18.8</v>
      </c>
      <c r="X1254" s="472" t="str">
        <f t="shared" si="57"/>
        <v/>
      </c>
      <c r="AT1254" s="232"/>
      <c r="AV1254" s="198"/>
      <c r="AW1254" s="274"/>
    </row>
    <row r="1255" spans="2:49" x14ac:dyDescent="0.25">
      <c r="B1255" s="274">
        <v>18.8</v>
      </c>
      <c r="C1255" s="274">
        <v>70</v>
      </c>
      <c r="D1255" s="274">
        <v>18.8</v>
      </c>
      <c r="E1255" s="274">
        <v>0.4</v>
      </c>
      <c r="F1255" s="274">
        <v>1.8</v>
      </c>
      <c r="G1255" s="274">
        <v>304</v>
      </c>
      <c r="H1255" s="274">
        <v>1021.2</v>
      </c>
      <c r="I1255" s="274">
        <v>155</v>
      </c>
      <c r="J1255" s="274">
        <v>0</v>
      </c>
      <c r="K1255" s="274">
        <v>0</v>
      </c>
      <c r="L1255" s="274">
        <v>0</v>
      </c>
      <c r="M1255" s="274">
        <v>65.3</v>
      </c>
      <c r="N1255" s="396">
        <v>599.79999999999995</v>
      </c>
      <c r="O1255" s="396">
        <v>18.600000000000001</v>
      </c>
      <c r="P1255" s="396">
        <v>18.5</v>
      </c>
      <c r="Q1255" s="397">
        <v>0.86527777777777803</v>
      </c>
      <c r="R1255" s="396"/>
      <c r="S1255" s="410"/>
      <c r="T1255" s="409"/>
      <c r="U1255" s="398" t="str">
        <f t="shared" si="56"/>
        <v/>
      </c>
      <c r="V1255" s="400"/>
      <c r="W1255" s="410">
        <f t="shared" si="55"/>
        <v>18.600000000000001</v>
      </c>
      <c r="X1255" s="472" t="str">
        <f t="shared" si="57"/>
        <v/>
      </c>
      <c r="AT1255" s="232"/>
      <c r="AV1255" s="198"/>
      <c r="AW1255" s="274"/>
    </row>
    <row r="1256" spans="2:49" x14ac:dyDescent="0.25">
      <c r="B1256" s="274">
        <v>18.8</v>
      </c>
      <c r="C1256" s="274">
        <v>69</v>
      </c>
      <c r="D1256" s="274">
        <v>18.8</v>
      </c>
      <c r="E1256" s="274">
        <v>2.9</v>
      </c>
      <c r="F1256" s="274">
        <v>5.4</v>
      </c>
      <c r="G1256" s="274">
        <v>318</v>
      </c>
      <c r="H1256" s="274">
        <v>1021.2</v>
      </c>
      <c r="I1256" s="274">
        <v>155</v>
      </c>
      <c r="J1256" s="274">
        <v>0</v>
      </c>
      <c r="K1256" s="274">
        <v>0</v>
      </c>
      <c r="L1256" s="274">
        <v>0</v>
      </c>
      <c r="M1256" s="274">
        <v>65.3</v>
      </c>
      <c r="N1256" s="396">
        <v>599.79999999999995</v>
      </c>
      <c r="O1256" s="396">
        <v>18.5</v>
      </c>
      <c r="P1256" s="396">
        <v>18.399999999999999</v>
      </c>
      <c r="Q1256" s="397">
        <v>0.86597222222222203</v>
      </c>
      <c r="R1256" s="396"/>
      <c r="S1256" s="410"/>
      <c r="T1256" s="409"/>
      <c r="U1256" s="398" t="str">
        <f t="shared" si="56"/>
        <v/>
      </c>
      <c r="V1256" s="400"/>
      <c r="W1256" s="410">
        <f t="shared" si="55"/>
        <v>18.5</v>
      </c>
      <c r="X1256" s="472" t="str">
        <f t="shared" si="57"/>
        <v/>
      </c>
      <c r="AT1256" s="232"/>
      <c r="AV1256" s="198"/>
      <c r="AW1256" s="274"/>
    </row>
    <row r="1257" spans="2:49" x14ac:dyDescent="0.25">
      <c r="B1257" s="274">
        <v>18.8</v>
      </c>
      <c r="C1257" s="274">
        <v>69</v>
      </c>
      <c r="D1257" s="274">
        <v>18.8</v>
      </c>
      <c r="E1257" s="274">
        <v>3.2</v>
      </c>
      <c r="F1257" s="274">
        <v>5.4</v>
      </c>
      <c r="G1257" s="274">
        <v>311</v>
      </c>
      <c r="H1257" s="274">
        <v>1021.3</v>
      </c>
      <c r="I1257" s="274">
        <v>46</v>
      </c>
      <c r="J1257" s="274">
        <v>0</v>
      </c>
      <c r="K1257" s="274">
        <v>0</v>
      </c>
      <c r="L1257" s="274">
        <v>0</v>
      </c>
      <c r="M1257" s="274">
        <v>65.3</v>
      </c>
      <c r="N1257" s="396">
        <v>599.79999999999995</v>
      </c>
      <c r="O1257" s="396">
        <v>18.399999999999999</v>
      </c>
      <c r="P1257" s="396">
        <v>18.3</v>
      </c>
      <c r="Q1257" s="397">
        <v>0.86666666666666703</v>
      </c>
      <c r="R1257" s="396"/>
      <c r="S1257" s="410"/>
      <c r="T1257" s="409"/>
      <c r="U1257" s="398" t="str">
        <f t="shared" si="56"/>
        <v/>
      </c>
      <c r="V1257" s="400"/>
      <c r="W1257" s="410">
        <f t="shared" si="55"/>
        <v>18.399999999999999</v>
      </c>
      <c r="X1257" s="472" t="str">
        <f t="shared" si="57"/>
        <v/>
      </c>
      <c r="AT1257" s="232"/>
      <c r="AV1257" s="198"/>
      <c r="AW1257" s="274"/>
    </row>
    <row r="1258" spans="2:49" x14ac:dyDescent="0.25">
      <c r="B1258" s="274">
        <v>18.7</v>
      </c>
      <c r="C1258" s="274">
        <v>69</v>
      </c>
      <c r="D1258" s="274">
        <v>18.7</v>
      </c>
      <c r="E1258" s="274">
        <v>1.8</v>
      </c>
      <c r="F1258" s="274">
        <v>1.8</v>
      </c>
      <c r="G1258" s="274">
        <v>305</v>
      </c>
      <c r="H1258" s="274">
        <v>1021.2</v>
      </c>
      <c r="I1258" s="274">
        <v>0</v>
      </c>
      <c r="J1258" s="274">
        <v>0</v>
      </c>
      <c r="K1258" s="274">
        <v>0</v>
      </c>
      <c r="L1258" s="274">
        <v>0</v>
      </c>
      <c r="M1258" s="274">
        <v>65.3</v>
      </c>
      <c r="N1258" s="396">
        <v>599.79999999999995</v>
      </c>
      <c r="O1258" s="396">
        <v>18.3</v>
      </c>
      <c r="P1258" s="396">
        <v>18.3</v>
      </c>
      <c r="Q1258" s="397">
        <v>0.86736111111111103</v>
      </c>
      <c r="R1258" s="396"/>
      <c r="S1258" s="410"/>
      <c r="T1258" s="409"/>
      <c r="U1258" s="398" t="str">
        <f t="shared" si="56"/>
        <v/>
      </c>
      <c r="V1258" s="400"/>
      <c r="W1258" s="410">
        <f t="shared" si="55"/>
        <v>18.3</v>
      </c>
      <c r="X1258" s="472" t="str">
        <f t="shared" si="57"/>
        <v/>
      </c>
      <c r="AT1258" s="232"/>
      <c r="AV1258" s="198"/>
      <c r="AW1258" s="274"/>
    </row>
    <row r="1259" spans="2:49" x14ac:dyDescent="0.25">
      <c r="B1259" s="274">
        <v>18.7</v>
      </c>
      <c r="C1259" s="274">
        <v>69</v>
      </c>
      <c r="D1259" s="274">
        <v>18.7</v>
      </c>
      <c r="E1259" s="274">
        <v>2.9</v>
      </c>
      <c r="F1259" s="274">
        <v>3.6</v>
      </c>
      <c r="G1259" s="274">
        <v>335</v>
      </c>
      <c r="H1259" s="274">
        <v>1021.3</v>
      </c>
      <c r="I1259" s="274">
        <v>108</v>
      </c>
      <c r="J1259" s="274">
        <v>0</v>
      </c>
      <c r="K1259" s="274">
        <v>0</v>
      </c>
      <c r="L1259" s="274">
        <v>0</v>
      </c>
      <c r="M1259" s="274">
        <v>65.3</v>
      </c>
      <c r="N1259" s="396">
        <v>599.79999999999995</v>
      </c>
      <c r="O1259" s="396">
        <v>18.3</v>
      </c>
      <c r="P1259" s="396">
        <v>18.2</v>
      </c>
      <c r="Q1259" s="397">
        <v>0.86805555555555602</v>
      </c>
      <c r="R1259" s="396"/>
      <c r="S1259" s="410"/>
      <c r="T1259" s="409"/>
      <c r="U1259" s="398" t="str">
        <f t="shared" si="56"/>
        <v/>
      </c>
      <c r="V1259" s="400"/>
      <c r="W1259" s="410">
        <f t="shared" si="55"/>
        <v>18.3</v>
      </c>
      <c r="X1259" s="472" t="str">
        <f t="shared" si="57"/>
        <v/>
      </c>
      <c r="AT1259" s="232"/>
      <c r="AV1259" s="198"/>
      <c r="AW1259" s="274"/>
    </row>
    <row r="1260" spans="2:49" x14ac:dyDescent="0.25">
      <c r="B1260" s="274">
        <v>18.7</v>
      </c>
      <c r="C1260" s="274">
        <v>69</v>
      </c>
      <c r="D1260" s="274">
        <v>18.7</v>
      </c>
      <c r="E1260" s="274">
        <v>0.7</v>
      </c>
      <c r="F1260" s="274">
        <v>1.8</v>
      </c>
      <c r="G1260" s="274">
        <v>335</v>
      </c>
      <c r="H1260" s="274">
        <v>1021.3</v>
      </c>
      <c r="I1260" s="274">
        <v>0</v>
      </c>
      <c r="J1260" s="274">
        <v>0</v>
      </c>
      <c r="K1260" s="274">
        <v>0</v>
      </c>
      <c r="L1260" s="274">
        <v>0</v>
      </c>
      <c r="M1260" s="274">
        <v>65.3</v>
      </c>
      <c r="N1260" s="396">
        <v>599.79999999999995</v>
      </c>
      <c r="O1260" s="396">
        <v>18.2</v>
      </c>
      <c r="P1260" s="396">
        <v>18.100000000000001</v>
      </c>
      <c r="Q1260" s="397">
        <v>0.86875000000000002</v>
      </c>
      <c r="R1260" s="396"/>
      <c r="S1260" s="410"/>
      <c r="T1260" s="409"/>
      <c r="U1260" s="398" t="str">
        <f t="shared" si="56"/>
        <v/>
      </c>
      <c r="V1260" s="400"/>
      <c r="W1260" s="410">
        <f t="shared" si="55"/>
        <v>18.2</v>
      </c>
      <c r="X1260" s="472" t="str">
        <f t="shared" si="57"/>
        <v/>
      </c>
      <c r="AT1260" s="232"/>
      <c r="AV1260" s="198"/>
      <c r="AW1260" s="274"/>
    </row>
    <row r="1261" spans="2:49" x14ac:dyDescent="0.25">
      <c r="B1261" s="274">
        <v>18.7</v>
      </c>
      <c r="C1261" s="274">
        <v>69</v>
      </c>
      <c r="D1261" s="274">
        <v>18.7</v>
      </c>
      <c r="E1261" s="274">
        <v>4.3</v>
      </c>
      <c r="F1261" s="274">
        <v>5.4</v>
      </c>
      <c r="G1261" s="274">
        <v>346</v>
      </c>
      <c r="H1261" s="274">
        <v>1021.4</v>
      </c>
      <c r="I1261" s="274">
        <v>0</v>
      </c>
      <c r="J1261" s="274">
        <v>0</v>
      </c>
      <c r="K1261" s="274">
        <v>0</v>
      </c>
      <c r="L1261" s="274">
        <v>0</v>
      </c>
      <c r="M1261" s="274">
        <v>65.3</v>
      </c>
      <c r="N1261" s="396">
        <v>599.79999999999995</v>
      </c>
      <c r="O1261" s="396">
        <v>18.100000000000001</v>
      </c>
      <c r="P1261" s="396">
        <v>18.100000000000001</v>
      </c>
      <c r="Q1261" s="397">
        <v>0.86944444444444402</v>
      </c>
      <c r="R1261" s="396"/>
      <c r="S1261" s="410"/>
      <c r="T1261" s="409"/>
      <c r="U1261" s="398" t="str">
        <f t="shared" si="56"/>
        <v/>
      </c>
      <c r="V1261" s="400"/>
      <c r="W1261" s="410">
        <f t="shared" si="55"/>
        <v>18.100000000000001</v>
      </c>
      <c r="X1261" s="472" t="str">
        <f t="shared" si="57"/>
        <v/>
      </c>
      <c r="AT1261" s="232"/>
      <c r="AV1261" s="198"/>
      <c r="AW1261" s="274"/>
    </row>
    <row r="1262" spans="2:49" x14ac:dyDescent="0.25">
      <c r="B1262" s="274">
        <v>18.7</v>
      </c>
      <c r="C1262" s="274">
        <v>69</v>
      </c>
      <c r="D1262" s="274">
        <v>18.7</v>
      </c>
      <c r="E1262" s="274">
        <v>2.9</v>
      </c>
      <c r="F1262" s="274">
        <v>5.4</v>
      </c>
      <c r="G1262" s="274">
        <v>356</v>
      </c>
      <c r="H1262" s="274">
        <v>1021.2</v>
      </c>
      <c r="I1262" s="274">
        <v>0</v>
      </c>
      <c r="J1262" s="274">
        <v>0</v>
      </c>
      <c r="K1262" s="274">
        <v>0</v>
      </c>
      <c r="L1262" s="274">
        <v>0</v>
      </c>
      <c r="M1262" s="274">
        <v>65.3</v>
      </c>
      <c r="N1262" s="396">
        <v>599.79999999999995</v>
      </c>
      <c r="O1262" s="396">
        <v>18.100000000000001</v>
      </c>
      <c r="P1262" s="396">
        <v>18.100000000000001</v>
      </c>
      <c r="Q1262" s="397">
        <v>0.87013888888888902</v>
      </c>
      <c r="R1262" s="396"/>
      <c r="S1262" s="410"/>
      <c r="T1262" s="409"/>
      <c r="U1262" s="398" t="str">
        <f t="shared" si="56"/>
        <v/>
      </c>
      <c r="V1262" s="400"/>
      <c r="W1262" s="410">
        <f t="shared" si="55"/>
        <v>18.100000000000001</v>
      </c>
      <c r="X1262" s="472" t="str">
        <f t="shared" si="57"/>
        <v/>
      </c>
      <c r="AT1262" s="232"/>
      <c r="AV1262" s="198"/>
      <c r="AW1262" s="274"/>
    </row>
    <row r="1263" spans="2:49" x14ac:dyDescent="0.25">
      <c r="B1263" s="274">
        <v>18.7</v>
      </c>
      <c r="C1263" s="274">
        <v>69</v>
      </c>
      <c r="D1263" s="274">
        <v>18.7</v>
      </c>
      <c r="E1263" s="274">
        <v>2.2000000000000002</v>
      </c>
      <c r="F1263" s="274">
        <v>3.6</v>
      </c>
      <c r="G1263" s="274">
        <v>359</v>
      </c>
      <c r="H1263" s="274">
        <v>1021.3</v>
      </c>
      <c r="I1263" s="274">
        <v>0</v>
      </c>
      <c r="J1263" s="274">
        <v>0</v>
      </c>
      <c r="K1263" s="274">
        <v>0</v>
      </c>
      <c r="L1263" s="274">
        <v>0</v>
      </c>
      <c r="M1263" s="274">
        <v>65.3</v>
      </c>
      <c r="N1263" s="396">
        <v>599.79999999999995</v>
      </c>
      <c r="O1263" s="396">
        <v>18</v>
      </c>
      <c r="P1263" s="396">
        <v>18</v>
      </c>
      <c r="Q1263" s="397">
        <v>0.87083333333333302</v>
      </c>
      <c r="R1263" s="396"/>
      <c r="S1263" s="410"/>
      <c r="T1263" s="409"/>
      <c r="U1263" s="398" t="str">
        <f t="shared" si="56"/>
        <v/>
      </c>
      <c r="V1263" s="400"/>
      <c r="W1263" s="410">
        <f t="shared" si="55"/>
        <v>18</v>
      </c>
      <c r="X1263" s="472" t="str">
        <f t="shared" si="57"/>
        <v/>
      </c>
      <c r="AT1263" s="232"/>
      <c r="AV1263" s="198"/>
      <c r="AW1263" s="274"/>
    </row>
    <row r="1264" spans="2:49" x14ac:dyDescent="0.25">
      <c r="B1264" s="274">
        <v>18.600000000000001</v>
      </c>
      <c r="C1264" s="274">
        <v>70</v>
      </c>
      <c r="D1264" s="274">
        <v>18.600000000000001</v>
      </c>
      <c r="E1264" s="274">
        <v>2.2000000000000002</v>
      </c>
      <c r="F1264" s="274">
        <v>3.6</v>
      </c>
      <c r="G1264" s="274">
        <v>359</v>
      </c>
      <c r="H1264" s="274">
        <v>1021.2</v>
      </c>
      <c r="I1264" s="274">
        <v>0</v>
      </c>
      <c r="J1264" s="274">
        <v>0</v>
      </c>
      <c r="K1264" s="274">
        <v>0</v>
      </c>
      <c r="L1264" s="274">
        <v>0</v>
      </c>
      <c r="M1264" s="274">
        <v>65.3</v>
      </c>
      <c r="N1264" s="396">
        <v>599.79999999999995</v>
      </c>
      <c r="O1264" s="396">
        <v>17.899999999999999</v>
      </c>
      <c r="P1264" s="396">
        <v>18</v>
      </c>
      <c r="Q1264" s="397">
        <v>0.87152777777777801</v>
      </c>
      <c r="R1264" s="396"/>
      <c r="S1264" s="410"/>
      <c r="T1264" s="409"/>
      <c r="U1264" s="398" t="str">
        <f t="shared" si="56"/>
        <v/>
      </c>
      <c r="V1264" s="400"/>
      <c r="W1264" s="410">
        <f t="shared" si="55"/>
        <v>18</v>
      </c>
      <c r="X1264" s="472" t="str">
        <f t="shared" si="57"/>
        <v/>
      </c>
      <c r="AT1264" s="232"/>
      <c r="AV1264" s="198"/>
      <c r="AW1264" s="274"/>
    </row>
    <row r="1265" spans="2:49" x14ac:dyDescent="0.25">
      <c r="B1265" s="274">
        <v>18.600000000000001</v>
      </c>
      <c r="C1265" s="274">
        <v>70</v>
      </c>
      <c r="D1265" s="274">
        <v>18.600000000000001</v>
      </c>
      <c r="E1265" s="274">
        <v>2.2000000000000002</v>
      </c>
      <c r="F1265" s="274">
        <v>3.6</v>
      </c>
      <c r="G1265" s="274">
        <v>338</v>
      </c>
      <c r="H1265" s="274">
        <v>1021.3</v>
      </c>
      <c r="I1265" s="274">
        <v>0</v>
      </c>
      <c r="J1265" s="274">
        <v>0</v>
      </c>
      <c r="K1265" s="274">
        <v>0</v>
      </c>
      <c r="L1265" s="274">
        <v>0</v>
      </c>
      <c r="M1265" s="274">
        <v>65.3</v>
      </c>
      <c r="N1265" s="396">
        <v>599.79999999999995</v>
      </c>
      <c r="O1265" s="396">
        <v>17.899999999999999</v>
      </c>
      <c r="P1265" s="396">
        <v>18</v>
      </c>
      <c r="Q1265" s="397">
        <v>0.87222222222222201</v>
      </c>
      <c r="R1265" s="396"/>
      <c r="S1265" s="410"/>
      <c r="T1265" s="409"/>
      <c r="U1265" s="398" t="str">
        <f t="shared" si="56"/>
        <v/>
      </c>
      <c r="V1265" s="400"/>
      <c r="W1265" s="410">
        <f t="shared" si="55"/>
        <v>18</v>
      </c>
      <c r="X1265" s="472" t="str">
        <f t="shared" si="57"/>
        <v/>
      </c>
      <c r="AT1265" s="232"/>
      <c r="AV1265" s="198"/>
      <c r="AW1265" s="274"/>
    </row>
    <row r="1266" spans="2:49" x14ac:dyDescent="0.25">
      <c r="B1266" s="274">
        <v>18.600000000000001</v>
      </c>
      <c r="C1266" s="274">
        <v>70</v>
      </c>
      <c r="D1266" s="274">
        <v>18.600000000000001</v>
      </c>
      <c r="E1266" s="274">
        <v>3.2</v>
      </c>
      <c r="F1266" s="274">
        <v>5.4</v>
      </c>
      <c r="G1266" s="274">
        <v>338</v>
      </c>
      <c r="H1266" s="274">
        <v>1021.2</v>
      </c>
      <c r="I1266" s="274">
        <v>0</v>
      </c>
      <c r="J1266" s="274">
        <v>0</v>
      </c>
      <c r="K1266" s="274">
        <v>0</v>
      </c>
      <c r="L1266" s="274">
        <v>0</v>
      </c>
      <c r="M1266" s="274">
        <v>65.3</v>
      </c>
      <c r="N1266" s="396">
        <v>599.79999999999995</v>
      </c>
      <c r="O1266" s="396">
        <v>17.8</v>
      </c>
      <c r="P1266" s="396">
        <v>17.899999999999999</v>
      </c>
      <c r="Q1266" s="397">
        <v>0.87291666666666701</v>
      </c>
      <c r="R1266" s="396"/>
      <c r="S1266" s="410"/>
      <c r="T1266" s="409"/>
      <c r="U1266" s="398" t="str">
        <f t="shared" si="56"/>
        <v/>
      </c>
      <c r="V1266" s="400"/>
      <c r="W1266" s="410">
        <f t="shared" ref="W1266:W1330" si="58">MAX(O1266:P1266)</f>
        <v>17.899999999999999</v>
      </c>
      <c r="X1266" s="472" t="str">
        <f t="shared" si="57"/>
        <v/>
      </c>
      <c r="AT1266" s="232"/>
      <c r="AV1266" s="198"/>
      <c r="AW1266" s="274"/>
    </row>
    <row r="1267" spans="2:49" x14ac:dyDescent="0.25">
      <c r="B1267" s="274">
        <v>18.5</v>
      </c>
      <c r="C1267" s="274">
        <v>70</v>
      </c>
      <c r="D1267" s="274">
        <v>18.5</v>
      </c>
      <c r="E1267" s="274">
        <v>1.8</v>
      </c>
      <c r="F1267" s="274">
        <v>3.6</v>
      </c>
      <c r="G1267" s="274">
        <v>333</v>
      </c>
      <c r="H1267" s="274">
        <v>1021.4</v>
      </c>
      <c r="I1267" s="274">
        <v>0</v>
      </c>
      <c r="J1267" s="274">
        <v>0</v>
      </c>
      <c r="K1267" s="274">
        <v>0</v>
      </c>
      <c r="L1267" s="274">
        <v>0</v>
      </c>
      <c r="M1267" s="274">
        <v>65.3</v>
      </c>
      <c r="N1267" s="396">
        <v>599.79999999999995</v>
      </c>
      <c r="O1267" s="396">
        <v>17.8</v>
      </c>
      <c r="P1267" s="396">
        <v>17.899999999999999</v>
      </c>
      <c r="Q1267" s="397">
        <v>0.87361111111111101</v>
      </c>
      <c r="R1267" s="396"/>
      <c r="S1267" s="410"/>
      <c r="T1267" s="409"/>
      <c r="U1267" s="398" t="str">
        <f t="shared" si="56"/>
        <v/>
      </c>
      <c r="V1267" s="400"/>
      <c r="W1267" s="410">
        <f t="shared" si="58"/>
        <v>17.899999999999999</v>
      </c>
      <c r="X1267" s="472" t="str">
        <f t="shared" si="57"/>
        <v/>
      </c>
      <c r="AT1267" s="232"/>
      <c r="AV1267" s="198"/>
      <c r="AW1267" s="274"/>
    </row>
    <row r="1268" spans="2:49" x14ac:dyDescent="0.25">
      <c r="B1268" s="274">
        <v>18.5</v>
      </c>
      <c r="C1268" s="274">
        <v>70</v>
      </c>
      <c r="D1268" s="274">
        <v>18.5</v>
      </c>
      <c r="E1268" s="274">
        <v>2.2000000000000002</v>
      </c>
      <c r="F1268" s="274">
        <v>3.6</v>
      </c>
      <c r="G1268" s="274">
        <v>317</v>
      </c>
      <c r="H1268" s="274">
        <v>1021.2</v>
      </c>
      <c r="I1268" s="274">
        <v>0</v>
      </c>
      <c r="J1268" s="274">
        <v>0</v>
      </c>
      <c r="K1268" s="274">
        <v>0</v>
      </c>
      <c r="L1268" s="274">
        <v>0</v>
      </c>
      <c r="M1268" s="274">
        <v>65.3</v>
      </c>
      <c r="N1268" s="396">
        <v>599.79999999999995</v>
      </c>
      <c r="O1268" s="396">
        <v>17.7</v>
      </c>
      <c r="P1268" s="396">
        <v>17.8</v>
      </c>
      <c r="Q1268" s="397">
        <v>0.874305555555556</v>
      </c>
      <c r="R1268" s="396"/>
      <c r="S1268" s="410"/>
      <c r="T1268" s="409"/>
      <c r="U1268" s="398" t="str">
        <f t="shared" si="56"/>
        <v/>
      </c>
      <c r="V1268" s="400"/>
      <c r="W1268" s="410">
        <f t="shared" si="58"/>
        <v>17.8</v>
      </c>
      <c r="X1268" s="472" t="str">
        <f t="shared" si="57"/>
        <v/>
      </c>
      <c r="AT1268" s="232"/>
      <c r="AV1268" s="198"/>
      <c r="AW1268" s="274"/>
    </row>
    <row r="1269" spans="2:49" x14ac:dyDescent="0.25">
      <c r="B1269" s="274">
        <v>18.5</v>
      </c>
      <c r="C1269" s="274">
        <v>70</v>
      </c>
      <c r="D1269" s="274">
        <v>18.5</v>
      </c>
      <c r="E1269" s="274">
        <v>0.4</v>
      </c>
      <c r="F1269" s="274">
        <v>1.8</v>
      </c>
      <c r="G1269" s="274">
        <v>302</v>
      </c>
      <c r="H1269" s="274">
        <v>1021.2</v>
      </c>
      <c r="I1269" s="274">
        <v>0</v>
      </c>
      <c r="J1269" s="274">
        <v>0</v>
      </c>
      <c r="K1269" s="274">
        <v>0</v>
      </c>
      <c r="L1269" s="274">
        <v>0</v>
      </c>
      <c r="M1269" s="274">
        <v>65.3</v>
      </c>
      <c r="N1269" s="396">
        <v>599.79999999999995</v>
      </c>
      <c r="O1269" s="396">
        <v>17.600000000000001</v>
      </c>
      <c r="P1269" s="396">
        <v>17.8</v>
      </c>
      <c r="Q1269" s="397">
        <v>0.875</v>
      </c>
      <c r="R1269" s="396"/>
      <c r="S1269" s="410"/>
      <c r="T1269" s="409"/>
      <c r="U1269" s="398" t="str">
        <f t="shared" si="56"/>
        <v/>
      </c>
      <c r="V1269" s="400"/>
      <c r="W1269" s="410">
        <f t="shared" si="58"/>
        <v>17.8</v>
      </c>
      <c r="X1269" s="472" t="str">
        <f t="shared" si="57"/>
        <v/>
      </c>
      <c r="AT1269" s="232"/>
      <c r="AV1269" s="198"/>
      <c r="AW1269" s="274"/>
    </row>
    <row r="1270" spans="2:49" x14ac:dyDescent="0.25">
      <c r="B1270" s="274">
        <v>18.399999999999999</v>
      </c>
      <c r="C1270" s="274">
        <v>70</v>
      </c>
      <c r="D1270" s="274">
        <v>18.399999999999999</v>
      </c>
      <c r="E1270" s="274">
        <v>2.2000000000000002</v>
      </c>
      <c r="F1270" s="274">
        <v>3.6</v>
      </c>
      <c r="G1270" s="274">
        <v>321</v>
      </c>
      <c r="H1270" s="274">
        <v>1021.2</v>
      </c>
      <c r="I1270" s="274">
        <v>0</v>
      </c>
      <c r="J1270" s="274">
        <v>0</v>
      </c>
      <c r="K1270" s="274">
        <v>0</v>
      </c>
      <c r="L1270" s="274">
        <v>0</v>
      </c>
      <c r="M1270" s="274">
        <v>65.3</v>
      </c>
      <c r="N1270" s="396">
        <v>599.79999999999995</v>
      </c>
      <c r="O1270" s="396">
        <v>17.600000000000001</v>
      </c>
      <c r="P1270" s="396">
        <v>17.7</v>
      </c>
      <c r="Q1270" s="397">
        <v>0.875694444444444</v>
      </c>
      <c r="R1270" s="396"/>
      <c r="S1270" s="410"/>
      <c r="T1270" s="409"/>
      <c r="U1270" s="398" t="str">
        <f t="shared" si="56"/>
        <v/>
      </c>
      <c r="V1270" s="400"/>
      <c r="W1270" s="410">
        <f t="shared" si="58"/>
        <v>17.7</v>
      </c>
      <c r="X1270" s="472" t="str">
        <f t="shared" si="57"/>
        <v/>
      </c>
      <c r="AT1270" s="232"/>
      <c r="AV1270" s="198"/>
      <c r="AW1270" s="274"/>
    </row>
    <row r="1271" spans="2:49" x14ac:dyDescent="0.25">
      <c r="B1271" s="274">
        <v>18.399999999999999</v>
      </c>
      <c r="C1271" s="274">
        <v>70</v>
      </c>
      <c r="D1271" s="274">
        <v>18.399999999999999</v>
      </c>
      <c r="E1271" s="274">
        <v>1.8</v>
      </c>
      <c r="F1271" s="274">
        <v>3.6</v>
      </c>
      <c r="G1271" s="274">
        <v>345</v>
      </c>
      <c r="H1271" s="274">
        <v>1021.1</v>
      </c>
      <c r="I1271" s="274">
        <v>0</v>
      </c>
      <c r="J1271" s="274">
        <v>0</v>
      </c>
      <c r="K1271" s="274">
        <v>0</v>
      </c>
      <c r="L1271" s="274">
        <v>0</v>
      </c>
      <c r="M1271" s="274">
        <v>65.3</v>
      </c>
      <c r="N1271" s="396">
        <v>599.79999999999995</v>
      </c>
      <c r="O1271" s="396">
        <v>17.5</v>
      </c>
      <c r="P1271" s="396">
        <v>17.7</v>
      </c>
      <c r="Q1271" s="397">
        <v>0.87638888888888899</v>
      </c>
      <c r="R1271" s="396"/>
      <c r="S1271" s="410"/>
      <c r="T1271" s="409"/>
      <c r="U1271" s="398" t="str">
        <f t="shared" si="56"/>
        <v/>
      </c>
      <c r="V1271" s="400"/>
      <c r="W1271" s="410">
        <f t="shared" si="58"/>
        <v>17.7</v>
      </c>
      <c r="X1271" s="472" t="str">
        <f t="shared" si="57"/>
        <v/>
      </c>
      <c r="AT1271" s="232"/>
      <c r="AV1271" s="198"/>
      <c r="AW1271" s="274"/>
    </row>
    <row r="1272" spans="2:49" x14ac:dyDescent="0.25">
      <c r="B1272" s="274">
        <v>18.399999999999999</v>
      </c>
      <c r="C1272" s="274">
        <v>70</v>
      </c>
      <c r="D1272" s="274">
        <v>18.399999999999999</v>
      </c>
      <c r="E1272" s="274">
        <v>0</v>
      </c>
      <c r="F1272" s="274">
        <v>0</v>
      </c>
      <c r="G1272" s="274">
        <v>346</v>
      </c>
      <c r="H1272" s="274">
        <v>1021.1</v>
      </c>
      <c r="I1272" s="274">
        <v>0</v>
      </c>
      <c r="J1272" s="274">
        <v>0</v>
      </c>
      <c r="K1272" s="274">
        <v>0</v>
      </c>
      <c r="L1272" s="274">
        <v>0</v>
      </c>
      <c r="M1272" s="274">
        <v>65.3</v>
      </c>
      <c r="N1272" s="396">
        <v>599.79999999999995</v>
      </c>
      <c r="O1272" s="396">
        <v>17.5</v>
      </c>
      <c r="P1272" s="396">
        <v>17.600000000000001</v>
      </c>
      <c r="Q1272" s="397">
        <v>0.87708333333333299</v>
      </c>
      <c r="R1272" s="396"/>
      <c r="S1272" s="410"/>
      <c r="T1272" s="409"/>
      <c r="U1272" s="398" t="str">
        <f t="shared" si="56"/>
        <v/>
      </c>
      <c r="V1272" s="400"/>
      <c r="W1272" s="410">
        <f t="shared" si="58"/>
        <v>17.600000000000001</v>
      </c>
      <c r="X1272" s="472" t="str">
        <f t="shared" si="57"/>
        <v/>
      </c>
      <c r="AT1272" s="232"/>
      <c r="AV1272" s="198"/>
      <c r="AW1272" s="274"/>
    </row>
    <row r="1273" spans="2:49" x14ac:dyDescent="0.25">
      <c r="B1273" s="274">
        <v>18.3</v>
      </c>
      <c r="C1273" s="274">
        <v>71</v>
      </c>
      <c r="D1273" s="274">
        <v>18.3</v>
      </c>
      <c r="E1273" s="274">
        <v>1.1000000000000001</v>
      </c>
      <c r="F1273" s="274">
        <v>1.8</v>
      </c>
      <c r="G1273" s="274">
        <v>309</v>
      </c>
      <c r="H1273" s="274">
        <v>1021.3</v>
      </c>
      <c r="I1273" s="274">
        <v>0</v>
      </c>
      <c r="J1273" s="274">
        <v>0</v>
      </c>
      <c r="K1273" s="274">
        <v>0</v>
      </c>
      <c r="L1273" s="274">
        <v>0</v>
      </c>
      <c r="M1273" s="274">
        <v>65.3</v>
      </c>
      <c r="N1273" s="396">
        <v>599.79999999999995</v>
      </c>
      <c r="O1273" s="396">
        <v>17.5</v>
      </c>
      <c r="P1273" s="396">
        <v>17.5</v>
      </c>
      <c r="Q1273" s="397">
        <v>0.87777777777777799</v>
      </c>
      <c r="R1273" s="396"/>
      <c r="S1273" s="410"/>
      <c r="T1273" s="409"/>
      <c r="U1273" s="398" t="str">
        <f t="shared" si="56"/>
        <v/>
      </c>
      <c r="V1273" s="400"/>
      <c r="W1273" s="410">
        <f t="shared" si="58"/>
        <v>17.5</v>
      </c>
      <c r="X1273" s="472" t="str">
        <f t="shared" si="57"/>
        <v/>
      </c>
      <c r="AT1273" s="232"/>
      <c r="AV1273" s="198"/>
      <c r="AW1273" s="274"/>
    </row>
    <row r="1274" spans="2:49" x14ac:dyDescent="0.25">
      <c r="B1274" s="274">
        <v>18.3</v>
      </c>
      <c r="C1274" s="274">
        <v>71</v>
      </c>
      <c r="D1274" s="274">
        <v>18.3</v>
      </c>
      <c r="E1274" s="274">
        <v>2.9</v>
      </c>
      <c r="F1274" s="274">
        <v>7.2</v>
      </c>
      <c r="G1274" s="274">
        <v>329</v>
      </c>
      <c r="H1274" s="274">
        <v>1021.3</v>
      </c>
      <c r="I1274" s="274">
        <v>0</v>
      </c>
      <c r="J1274" s="274">
        <v>0</v>
      </c>
      <c r="K1274" s="274">
        <v>0</v>
      </c>
      <c r="L1274" s="274">
        <v>0</v>
      </c>
      <c r="M1274" s="274">
        <v>65.3</v>
      </c>
      <c r="N1274" s="396">
        <v>599.79999999999995</v>
      </c>
      <c r="O1274" s="396">
        <v>17.399999999999999</v>
      </c>
      <c r="P1274" s="396">
        <v>17.5</v>
      </c>
      <c r="Q1274" s="397">
        <v>0.87847222222222199</v>
      </c>
      <c r="R1274" s="396"/>
      <c r="S1274" s="410"/>
      <c r="T1274" s="409"/>
      <c r="U1274" s="398" t="str">
        <f t="shared" si="56"/>
        <v/>
      </c>
      <c r="V1274" s="400"/>
      <c r="W1274" s="410">
        <f t="shared" si="58"/>
        <v>17.5</v>
      </c>
      <c r="X1274" s="472" t="str">
        <f t="shared" si="57"/>
        <v/>
      </c>
      <c r="AT1274" s="232"/>
      <c r="AV1274" s="198"/>
      <c r="AW1274" s="274"/>
    </row>
    <row r="1275" spans="2:49" x14ac:dyDescent="0.25">
      <c r="B1275" s="274">
        <v>18.3</v>
      </c>
      <c r="C1275" s="274">
        <v>71</v>
      </c>
      <c r="D1275" s="274">
        <v>18.3</v>
      </c>
      <c r="E1275" s="274">
        <v>0.7</v>
      </c>
      <c r="F1275" s="274">
        <v>1.8</v>
      </c>
      <c r="G1275" s="274">
        <v>282</v>
      </c>
      <c r="H1275" s="274">
        <v>1021.3</v>
      </c>
      <c r="I1275" s="274">
        <v>0</v>
      </c>
      <c r="J1275" s="274">
        <v>0</v>
      </c>
      <c r="K1275" s="274">
        <v>0</v>
      </c>
      <c r="L1275" s="274">
        <v>0</v>
      </c>
      <c r="M1275" s="274">
        <v>65.3</v>
      </c>
      <c r="N1275" s="396">
        <v>599.79999999999995</v>
      </c>
      <c r="O1275" s="396">
        <v>17.3</v>
      </c>
      <c r="P1275" s="396">
        <v>17.399999999999999</v>
      </c>
      <c r="Q1275" s="397">
        <v>0.87916666666666698</v>
      </c>
      <c r="R1275" s="396"/>
      <c r="S1275" s="410"/>
      <c r="T1275" s="409"/>
      <c r="U1275" s="398" t="str">
        <f t="shared" si="56"/>
        <v/>
      </c>
      <c r="V1275" s="400"/>
      <c r="W1275" s="410">
        <f t="shared" si="58"/>
        <v>17.399999999999999</v>
      </c>
      <c r="X1275" s="472" t="str">
        <f t="shared" si="57"/>
        <v/>
      </c>
      <c r="AT1275" s="232"/>
      <c r="AV1275" s="198"/>
      <c r="AW1275" s="274"/>
    </row>
    <row r="1276" spans="2:49" x14ac:dyDescent="0.25">
      <c r="B1276" s="274">
        <v>18.2</v>
      </c>
      <c r="C1276" s="274">
        <v>71</v>
      </c>
      <c r="D1276" s="274">
        <v>18.2</v>
      </c>
      <c r="E1276" s="274">
        <v>0</v>
      </c>
      <c r="F1276" s="274">
        <v>0</v>
      </c>
      <c r="G1276" s="274">
        <v>340</v>
      </c>
      <c r="H1276" s="274">
        <v>1021.3</v>
      </c>
      <c r="I1276" s="274">
        <v>0</v>
      </c>
      <c r="J1276" s="274">
        <v>0</v>
      </c>
      <c r="K1276" s="274">
        <v>0</v>
      </c>
      <c r="L1276" s="274">
        <v>0</v>
      </c>
      <c r="M1276" s="274">
        <v>65.3</v>
      </c>
      <c r="N1276" s="396">
        <v>599.79999999999995</v>
      </c>
      <c r="O1276" s="396">
        <v>17.3</v>
      </c>
      <c r="P1276" s="396">
        <v>17.399999999999999</v>
      </c>
      <c r="Q1276" s="397">
        <v>0.87986111111111098</v>
      </c>
      <c r="R1276" s="396"/>
      <c r="S1276" s="410"/>
      <c r="T1276" s="409"/>
      <c r="U1276" s="398" t="str">
        <f t="shared" si="56"/>
        <v/>
      </c>
      <c r="V1276" s="400"/>
      <c r="W1276" s="410">
        <f t="shared" si="58"/>
        <v>17.399999999999999</v>
      </c>
      <c r="X1276" s="472" t="str">
        <f t="shared" si="57"/>
        <v/>
      </c>
      <c r="AT1276" s="232"/>
      <c r="AV1276" s="198"/>
      <c r="AW1276" s="274"/>
    </row>
    <row r="1277" spans="2:49" x14ac:dyDescent="0.25">
      <c r="B1277" s="274">
        <v>18.2</v>
      </c>
      <c r="C1277" s="274">
        <v>71</v>
      </c>
      <c r="D1277" s="274">
        <v>18.2</v>
      </c>
      <c r="E1277" s="274">
        <v>2.9</v>
      </c>
      <c r="F1277" s="274">
        <v>5.4</v>
      </c>
      <c r="G1277" s="274">
        <v>325</v>
      </c>
      <c r="H1277" s="274">
        <v>1021.3</v>
      </c>
      <c r="I1277" s="274">
        <v>0</v>
      </c>
      <c r="J1277" s="274">
        <v>0</v>
      </c>
      <c r="K1277" s="274">
        <v>0</v>
      </c>
      <c r="L1277" s="274">
        <v>0</v>
      </c>
      <c r="M1277" s="274">
        <v>65.3</v>
      </c>
      <c r="N1277" s="396">
        <v>599.79999999999995</v>
      </c>
      <c r="O1277" s="396">
        <v>17.2</v>
      </c>
      <c r="P1277" s="396">
        <v>17.3</v>
      </c>
      <c r="Q1277" s="397">
        <v>0.88055555555555598</v>
      </c>
      <c r="R1277" s="396"/>
      <c r="S1277" s="410"/>
      <c r="T1277" s="409"/>
      <c r="U1277" s="398" t="str">
        <f t="shared" si="56"/>
        <v/>
      </c>
      <c r="V1277" s="400"/>
      <c r="W1277" s="410">
        <f t="shared" si="58"/>
        <v>17.3</v>
      </c>
      <c r="X1277" s="472" t="str">
        <f t="shared" si="57"/>
        <v/>
      </c>
      <c r="AT1277" s="232"/>
      <c r="AV1277" s="198"/>
      <c r="AW1277" s="274"/>
    </row>
    <row r="1278" spans="2:49" x14ac:dyDescent="0.25">
      <c r="B1278" s="274">
        <v>18.2</v>
      </c>
      <c r="C1278" s="274">
        <v>71</v>
      </c>
      <c r="D1278" s="274">
        <v>18.2</v>
      </c>
      <c r="E1278" s="274">
        <v>0.7</v>
      </c>
      <c r="F1278" s="274">
        <v>1.8</v>
      </c>
      <c r="G1278" s="274">
        <v>345</v>
      </c>
      <c r="H1278" s="274">
        <v>1021.3</v>
      </c>
      <c r="I1278" s="274">
        <v>0</v>
      </c>
      <c r="J1278" s="274">
        <v>0</v>
      </c>
      <c r="K1278" s="274">
        <v>0</v>
      </c>
      <c r="L1278" s="274">
        <v>0</v>
      </c>
      <c r="M1278" s="274">
        <v>65.3</v>
      </c>
      <c r="N1278" s="396">
        <v>599.79999999999995</v>
      </c>
      <c r="O1278" s="396">
        <v>17.2</v>
      </c>
      <c r="P1278" s="396">
        <v>17.2</v>
      </c>
      <c r="Q1278" s="397">
        <v>0.88124999999999998</v>
      </c>
      <c r="R1278" s="396"/>
      <c r="S1278" s="410"/>
      <c r="T1278" s="409"/>
      <c r="U1278" s="398" t="str">
        <f t="shared" si="56"/>
        <v/>
      </c>
      <c r="V1278" s="400"/>
      <c r="W1278" s="410">
        <f t="shared" si="58"/>
        <v>17.2</v>
      </c>
      <c r="X1278" s="472" t="str">
        <f t="shared" si="57"/>
        <v/>
      </c>
      <c r="AT1278" s="232"/>
      <c r="AV1278" s="198"/>
      <c r="AW1278" s="274"/>
    </row>
    <row r="1279" spans="2:49" x14ac:dyDescent="0.25">
      <c r="B1279" s="274">
        <v>18.100000000000001</v>
      </c>
      <c r="C1279" s="274">
        <v>72</v>
      </c>
      <c r="D1279" s="274">
        <v>18.100000000000001</v>
      </c>
      <c r="E1279" s="274">
        <v>1.4</v>
      </c>
      <c r="F1279" s="274">
        <v>3.6</v>
      </c>
      <c r="G1279" s="274">
        <v>345</v>
      </c>
      <c r="H1279" s="274">
        <v>1021.3</v>
      </c>
      <c r="I1279" s="274">
        <v>0</v>
      </c>
      <c r="J1279" s="274">
        <v>0</v>
      </c>
      <c r="K1279" s="274">
        <v>0</v>
      </c>
      <c r="L1279" s="274">
        <v>0</v>
      </c>
      <c r="M1279" s="274">
        <v>65.3</v>
      </c>
      <c r="N1279" s="396">
        <v>599.79999999999995</v>
      </c>
      <c r="O1279" s="396">
        <v>17.100000000000001</v>
      </c>
      <c r="P1279" s="396">
        <v>17.2</v>
      </c>
      <c r="Q1279" s="397">
        <v>0.88194444444444497</v>
      </c>
      <c r="R1279" s="396"/>
      <c r="S1279" s="410"/>
      <c r="T1279" s="409"/>
      <c r="U1279" s="398" t="str">
        <f t="shared" si="56"/>
        <v/>
      </c>
      <c r="V1279" s="400"/>
      <c r="W1279" s="410">
        <f t="shared" si="58"/>
        <v>17.2</v>
      </c>
      <c r="X1279" s="472" t="str">
        <f t="shared" si="57"/>
        <v/>
      </c>
      <c r="AT1279" s="232"/>
      <c r="AV1279" s="198"/>
      <c r="AW1279" s="274"/>
    </row>
    <row r="1280" spans="2:49" x14ac:dyDescent="0.25">
      <c r="B1280" s="274">
        <v>18.100000000000001</v>
      </c>
      <c r="C1280" s="274">
        <v>72</v>
      </c>
      <c r="D1280" s="274">
        <v>18.100000000000001</v>
      </c>
      <c r="E1280" s="274">
        <v>0</v>
      </c>
      <c r="F1280" s="274">
        <v>0</v>
      </c>
      <c r="G1280" s="274">
        <v>344</v>
      </c>
      <c r="H1280" s="274">
        <v>1021.2</v>
      </c>
      <c r="I1280" s="274">
        <v>0</v>
      </c>
      <c r="J1280" s="274">
        <v>0</v>
      </c>
      <c r="K1280" s="274">
        <v>0</v>
      </c>
      <c r="L1280" s="274">
        <v>0</v>
      </c>
      <c r="M1280" s="274">
        <v>65.3</v>
      </c>
      <c r="N1280" s="396">
        <v>599.79999999999995</v>
      </c>
      <c r="O1280" s="396">
        <v>17.100000000000001</v>
      </c>
      <c r="P1280" s="396">
        <v>17.100000000000001</v>
      </c>
      <c r="Q1280" s="397">
        <v>0.88263888888888897</v>
      </c>
      <c r="R1280" s="396"/>
      <c r="S1280" s="410"/>
      <c r="T1280" s="409"/>
      <c r="U1280" s="398" t="str">
        <f t="shared" si="56"/>
        <v/>
      </c>
      <c r="V1280" s="400"/>
      <c r="W1280" s="410">
        <f t="shared" si="58"/>
        <v>17.100000000000001</v>
      </c>
      <c r="X1280" s="472" t="str">
        <f t="shared" si="57"/>
        <v/>
      </c>
      <c r="AT1280" s="232"/>
      <c r="AV1280" s="198"/>
      <c r="AW1280" s="274"/>
    </row>
    <row r="1281" spans="2:49" x14ac:dyDescent="0.25">
      <c r="B1281" s="274">
        <v>18.100000000000001</v>
      </c>
      <c r="C1281" s="274">
        <v>72</v>
      </c>
      <c r="D1281" s="274">
        <v>18.100000000000001</v>
      </c>
      <c r="E1281" s="274">
        <v>1.8</v>
      </c>
      <c r="F1281" s="274">
        <v>1.8</v>
      </c>
      <c r="G1281" s="274">
        <v>344</v>
      </c>
      <c r="H1281" s="274">
        <v>1021.1</v>
      </c>
      <c r="I1281" s="274">
        <v>0</v>
      </c>
      <c r="J1281" s="274">
        <v>0</v>
      </c>
      <c r="K1281" s="274">
        <v>0</v>
      </c>
      <c r="L1281" s="274">
        <v>0</v>
      </c>
      <c r="M1281" s="274">
        <v>65.3</v>
      </c>
      <c r="N1281" s="396">
        <v>599.79999999999995</v>
      </c>
      <c r="O1281" s="396">
        <v>17</v>
      </c>
      <c r="P1281" s="396">
        <v>17.100000000000001</v>
      </c>
      <c r="Q1281" s="397">
        <v>0.88333333333333297</v>
      </c>
      <c r="R1281" s="396"/>
      <c r="S1281" s="410"/>
      <c r="T1281" s="409"/>
      <c r="U1281" s="398" t="str">
        <f t="shared" si="56"/>
        <v/>
      </c>
      <c r="V1281" s="400"/>
      <c r="W1281" s="410">
        <f t="shared" si="58"/>
        <v>17.100000000000001</v>
      </c>
      <c r="X1281" s="472" t="str">
        <f t="shared" si="57"/>
        <v/>
      </c>
      <c r="AT1281" s="232"/>
      <c r="AV1281" s="198"/>
      <c r="AW1281" s="274"/>
    </row>
    <row r="1282" spans="2:49" x14ac:dyDescent="0.25">
      <c r="B1282" s="274">
        <v>18</v>
      </c>
      <c r="C1282" s="274">
        <v>72</v>
      </c>
      <c r="D1282" s="274">
        <v>18</v>
      </c>
      <c r="E1282" s="274">
        <v>1.8</v>
      </c>
      <c r="F1282" s="274">
        <v>1.8</v>
      </c>
      <c r="G1282" s="274">
        <v>344</v>
      </c>
      <c r="H1282" s="274">
        <v>1021.4</v>
      </c>
      <c r="I1282" s="274">
        <v>0</v>
      </c>
      <c r="J1282" s="274">
        <v>0</v>
      </c>
      <c r="K1282" s="274">
        <v>0</v>
      </c>
      <c r="L1282" s="274">
        <v>0</v>
      </c>
      <c r="M1282" s="274">
        <v>65.3</v>
      </c>
      <c r="N1282" s="396">
        <v>599.79999999999995</v>
      </c>
      <c r="O1282" s="396">
        <v>17</v>
      </c>
      <c r="P1282" s="396">
        <v>17</v>
      </c>
      <c r="Q1282" s="397">
        <v>0.88402777777777797</v>
      </c>
      <c r="R1282" s="396"/>
      <c r="S1282" s="410"/>
      <c r="T1282" s="409"/>
      <c r="U1282" s="398" t="str">
        <f t="shared" si="56"/>
        <v/>
      </c>
      <c r="V1282" s="400"/>
      <c r="W1282" s="410">
        <f t="shared" si="58"/>
        <v>17</v>
      </c>
      <c r="X1282" s="472" t="str">
        <f t="shared" si="57"/>
        <v/>
      </c>
      <c r="AT1282" s="232"/>
      <c r="AV1282" s="198"/>
      <c r="AW1282" s="274"/>
    </row>
    <row r="1283" spans="2:49" x14ac:dyDescent="0.25">
      <c r="B1283" s="274">
        <v>18</v>
      </c>
      <c r="C1283" s="274">
        <v>72</v>
      </c>
      <c r="D1283" s="274">
        <v>18</v>
      </c>
      <c r="E1283" s="274">
        <v>0.4</v>
      </c>
      <c r="F1283" s="274">
        <v>1.8</v>
      </c>
      <c r="G1283" s="274">
        <v>345</v>
      </c>
      <c r="H1283" s="274">
        <v>1021.2</v>
      </c>
      <c r="I1283" s="274">
        <v>0</v>
      </c>
      <c r="J1283" s="274">
        <v>0</v>
      </c>
      <c r="K1283" s="274">
        <v>0</v>
      </c>
      <c r="L1283" s="274">
        <v>0</v>
      </c>
      <c r="M1283" s="274">
        <v>65.3</v>
      </c>
      <c r="N1283" s="396">
        <v>599.79999999999995</v>
      </c>
      <c r="O1283" s="396">
        <v>16.899999999999999</v>
      </c>
      <c r="P1283" s="396">
        <v>17</v>
      </c>
      <c r="Q1283" s="397">
        <v>0.88472222222222197</v>
      </c>
      <c r="R1283" s="396"/>
      <c r="S1283" s="410"/>
      <c r="T1283" s="409"/>
      <c r="U1283" s="398" t="str">
        <f t="shared" si="56"/>
        <v/>
      </c>
      <c r="V1283" s="400"/>
      <c r="W1283" s="410">
        <f t="shared" si="58"/>
        <v>17</v>
      </c>
      <c r="X1283" s="472" t="str">
        <f t="shared" si="57"/>
        <v/>
      </c>
      <c r="AT1283" s="232"/>
      <c r="AV1283" s="198"/>
      <c r="AW1283" s="274"/>
    </row>
    <row r="1284" spans="2:49" x14ac:dyDescent="0.25">
      <c r="B1284" s="274">
        <v>18</v>
      </c>
      <c r="C1284" s="274">
        <v>72</v>
      </c>
      <c r="D1284" s="274">
        <v>18</v>
      </c>
      <c r="E1284" s="274">
        <v>0</v>
      </c>
      <c r="F1284" s="274">
        <v>0</v>
      </c>
      <c r="G1284" s="274">
        <v>345</v>
      </c>
      <c r="H1284" s="274">
        <v>1021.4</v>
      </c>
      <c r="I1284" s="274">
        <v>0</v>
      </c>
      <c r="J1284" s="274">
        <v>0</v>
      </c>
      <c r="K1284" s="274">
        <v>0</v>
      </c>
      <c r="L1284" s="274">
        <v>0</v>
      </c>
      <c r="M1284" s="274">
        <v>65.3</v>
      </c>
      <c r="N1284" s="396">
        <v>599.79999999999995</v>
      </c>
      <c r="O1284" s="396">
        <v>16.899999999999999</v>
      </c>
      <c r="P1284" s="396">
        <v>16.899999999999999</v>
      </c>
      <c r="Q1284" s="397">
        <v>0.88541666666666696</v>
      </c>
      <c r="R1284" s="396"/>
      <c r="S1284" s="410"/>
      <c r="T1284" s="409"/>
      <c r="U1284" s="398" t="str">
        <f t="shared" si="56"/>
        <v/>
      </c>
      <c r="V1284" s="400"/>
      <c r="W1284" s="410">
        <f t="shared" si="58"/>
        <v>16.899999999999999</v>
      </c>
      <c r="X1284" s="472" t="str">
        <f t="shared" si="57"/>
        <v/>
      </c>
      <c r="AT1284" s="232"/>
      <c r="AV1284" s="198"/>
      <c r="AW1284" s="274"/>
    </row>
    <row r="1285" spans="2:49" x14ac:dyDescent="0.25">
      <c r="B1285" s="274">
        <v>18</v>
      </c>
      <c r="C1285" s="274">
        <v>72</v>
      </c>
      <c r="D1285" s="274">
        <v>18</v>
      </c>
      <c r="E1285" s="274">
        <v>1.1000000000000001</v>
      </c>
      <c r="F1285" s="274">
        <v>1.8</v>
      </c>
      <c r="G1285" s="274">
        <v>339</v>
      </c>
      <c r="H1285" s="274">
        <v>1021.3</v>
      </c>
      <c r="I1285" s="274">
        <v>0</v>
      </c>
      <c r="J1285" s="274">
        <v>0</v>
      </c>
      <c r="K1285" s="274">
        <v>0</v>
      </c>
      <c r="L1285" s="274">
        <v>0</v>
      </c>
      <c r="M1285" s="274">
        <v>65.3</v>
      </c>
      <c r="N1285" s="396">
        <v>599.79999999999995</v>
      </c>
      <c r="O1285" s="396">
        <v>16.8</v>
      </c>
      <c r="P1285" s="396">
        <v>16.899999999999999</v>
      </c>
      <c r="Q1285" s="397">
        <v>0.88611111111111096</v>
      </c>
      <c r="R1285" s="396"/>
      <c r="S1285" s="410"/>
      <c r="T1285" s="409"/>
      <c r="U1285" s="398" t="str">
        <f t="shared" si="56"/>
        <v/>
      </c>
      <c r="V1285" s="400"/>
      <c r="W1285" s="410">
        <f t="shared" si="58"/>
        <v>16.899999999999999</v>
      </c>
      <c r="X1285" s="472" t="str">
        <f t="shared" si="57"/>
        <v/>
      </c>
      <c r="AT1285" s="232"/>
      <c r="AV1285" s="198"/>
      <c r="AW1285" s="274"/>
    </row>
    <row r="1286" spans="2:49" x14ac:dyDescent="0.25">
      <c r="B1286" s="274">
        <v>17.899999999999999</v>
      </c>
      <c r="C1286" s="274">
        <v>73</v>
      </c>
      <c r="D1286" s="274">
        <v>17.899999999999999</v>
      </c>
      <c r="E1286" s="274">
        <v>1.8</v>
      </c>
      <c r="F1286" s="274">
        <v>1.8</v>
      </c>
      <c r="G1286" s="274">
        <v>346</v>
      </c>
      <c r="H1286" s="274">
        <v>1021.3</v>
      </c>
      <c r="I1286" s="274">
        <v>0</v>
      </c>
      <c r="J1286" s="274">
        <v>0</v>
      </c>
      <c r="K1286" s="274">
        <v>0</v>
      </c>
      <c r="L1286" s="274">
        <v>0</v>
      </c>
      <c r="M1286" s="274">
        <v>65.3</v>
      </c>
      <c r="N1286" s="396">
        <v>599.79999999999995</v>
      </c>
      <c r="O1286" s="396">
        <v>16.8</v>
      </c>
      <c r="P1286" s="396">
        <v>16.8</v>
      </c>
      <c r="Q1286" s="397">
        <v>0.88680555555555596</v>
      </c>
      <c r="R1286" s="396"/>
      <c r="S1286" s="410"/>
      <c r="T1286" s="409"/>
      <c r="U1286" s="398" t="str">
        <f t="shared" si="56"/>
        <v/>
      </c>
      <c r="V1286" s="400"/>
      <c r="W1286" s="410">
        <f t="shared" si="58"/>
        <v>16.8</v>
      </c>
      <c r="X1286" s="472" t="str">
        <f t="shared" si="57"/>
        <v/>
      </c>
      <c r="AT1286" s="232"/>
      <c r="AV1286" s="198"/>
      <c r="AW1286" s="274"/>
    </row>
    <row r="1287" spans="2:49" x14ac:dyDescent="0.25">
      <c r="B1287" s="274">
        <v>17.899999999999999</v>
      </c>
      <c r="C1287" s="274">
        <v>73</v>
      </c>
      <c r="D1287" s="274">
        <v>17.899999999999999</v>
      </c>
      <c r="E1287" s="274">
        <v>1.8</v>
      </c>
      <c r="F1287" s="274">
        <v>1.8</v>
      </c>
      <c r="G1287" s="274">
        <v>347</v>
      </c>
      <c r="H1287" s="274">
        <v>1021.2</v>
      </c>
      <c r="I1287" s="274">
        <v>0</v>
      </c>
      <c r="J1287" s="274">
        <v>0</v>
      </c>
      <c r="K1287" s="274">
        <v>0</v>
      </c>
      <c r="L1287" s="274">
        <v>0</v>
      </c>
      <c r="M1287" s="274">
        <v>65.3</v>
      </c>
      <c r="N1287" s="396">
        <v>599.79999999999995</v>
      </c>
      <c r="O1287" s="396">
        <v>16.7</v>
      </c>
      <c r="P1287" s="396">
        <v>16.8</v>
      </c>
      <c r="Q1287" s="397">
        <v>0.88749999999999996</v>
      </c>
      <c r="R1287" s="396"/>
      <c r="S1287" s="410"/>
      <c r="T1287" s="409"/>
      <c r="U1287" s="398" t="str">
        <f t="shared" si="56"/>
        <v/>
      </c>
      <c r="V1287" s="400"/>
      <c r="W1287" s="410">
        <f t="shared" si="58"/>
        <v>16.8</v>
      </c>
      <c r="X1287" s="472" t="str">
        <f t="shared" si="57"/>
        <v/>
      </c>
      <c r="AT1287" s="232"/>
      <c r="AV1287" s="198"/>
      <c r="AW1287" s="274"/>
    </row>
    <row r="1288" spans="2:49" x14ac:dyDescent="0.25">
      <c r="B1288" s="274">
        <v>17.899999999999999</v>
      </c>
      <c r="C1288" s="274">
        <v>73</v>
      </c>
      <c r="D1288" s="274">
        <v>17.899999999999999</v>
      </c>
      <c r="E1288" s="274">
        <v>0.4</v>
      </c>
      <c r="F1288" s="274">
        <v>1.8</v>
      </c>
      <c r="G1288" s="274">
        <v>346</v>
      </c>
      <c r="H1288" s="274">
        <v>1021.2</v>
      </c>
      <c r="I1288" s="274">
        <v>0</v>
      </c>
      <c r="J1288" s="274">
        <v>0</v>
      </c>
      <c r="K1288" s="274">
        <v>0</v>
      </c>
      <c r="L1288" s="274">
        <v>0</v>
      </c>
      <c r="M1288" s="274">
        <v>65.3</v>
      </c>
      <c r="N1288" s="396">
        <v>599.79999999999995</v>
      </c>
      <c r="O1288" s="396">
        <v>16.7</v>
      </c>
      <c r="P1288" s="396">
        <v>16.7</v>
      </c>
      <c r="Q1288" s="397">
        <v>0.88819444444444495</v>
      </c>
      <c r="R1288" s="396"/>
      <c r="S1288" s="410"/>
      <c r="T1288" s="409"/>
      <c r="U1288" s="398" t="str">
        <f t="shared" si="56"/>
        <v/>
      </c>
      <c r="V1288" s="400"/>
      <c r="W1288" s="410">
        <f t="shared" si="58"/>
        <v>16.7</v>
      </c>
      <c r="X1288" s="472" t="str">
        <f t="shared" si="57"/>
        <v/>
      </c>
      <c r="AT1288" s="232"/>
      <c r="AV1288" s="198"/>
      <c r="AW1288" s="274"/>
    </row>
    <row r="1289" spans="2:49" x14ac:dyDescent="0.25">
      <c r="B1289" s="274">
        <v>17.899999999999999</v>
      </c>
      <c r="C1289" s="274">
        <v>73</v>
      </c>
      <c r="D1289" s="274">
        <v>17.899999999999999</v>
      </c>
      <c r="E1289" s="274">
        <v>1.1000000000000001</v>
      </c>
      <c r="F1289" s="274">
        <v>1.8</v>
      </c>
      <c r="G1289" s="274">
        <v>346</v>
      </c>
      <c r="H1289" s="274">
        <v>1021.4</v>
      </c>
      <c r="I1289" s="274">
        <v>0</v>
      </c>
      <c r="J1289" s="274">
        <v>0</v>
      </c>
      <c r="K1289" s="274">
        <v>0</v>
      </c>
      <c r="L1289" s="274">
        <v>0</v>
      </c>
      <c r="M1289" s="274">
        <v>65.3</v>
      </c>
      <c r="N1289" s="396">
        <v>599.79999999999995</v>
      </c>
      <c r="O1289" s="396">
        <v>16.600000000000001</v>
      </c>
      <c r="P1289" s="396">
        <v>16.7</v>
      </c>
      <c r="Q1289" s="397">
        <v>0.88888888888888895</v>
      </c>
      <c r="R1289" s="396"/>
      <c r="S1289" s="410"/>
      <c r="T1289" s="409"/>
      <c r="U1289" s="398" t="str">
        <f t="shared" si="56"/>
        <v/>
      </c>
      <c r="V1289" s="400"/>
      <c r="W1289" s="410">
        <f t="shared" si="58"/>
        <v>16.7</v>
      </c>
      <c r="X1289" s="472" t="str">
        <f t="shared" si="57"/>
        <v/>
      </c>
      <c r="AT1289" s="232"/>
      <c r="AV1289" s="198"/>
      <c r="AW1289" s="274"/>
    </row>
    <row r="1290" spans="2:49" x14ac:dyDescent="0.25">
      <c r="B1290" s="274">
        <v>17.899999999999999</v>
      </c>
      <c r="C1290" s="274">
        <v>73</v>
      </c>
      <c r="D1290" s="274">
        <v>17.899999999999999</v>
      </c>
      <c r="E1290" s="274">
        <v>2.2000000000000002</v>
      </c>
      <c r="F1290" s="274">
        <v>3.6</v>
      </c>
      <c r="G1290" s="274">
        <v>295</v>
      </c>
      <c r="H1290" s="274">
        <v>1021.2</v>
      </c>
      <c r="I1290" s="274">
        <v>0</v>
      </c>
      <c r="J1290" s="274">
        <v>0</v>
      </c>
      <c r="K1290" s="274">
        <v>0</v>
      </c>
      <c r="L1290" s="274">
        <v>0</v>
      </c>
      <c r="M1290" s="274">
        <v>65.3</v>
      </c>
      <c r="N1290" s="396">
        <v>599.79999999999995</v>
      </c>
      <c r="O1290" s="396">
        <v>16.600000000000001</v>
      </c>
      <c r="P1290" s="396">
        <v>16.7</v>
      </c>
      <c r="Q1290" s="397">
        <v>0.88958333333333295</v>
      </c>
      <c r="R1290" s="396"/>
      <c r="S1290" s="410"/>
      <c r="T1290" s="409"/>
      <c r="U1290" s="398" t="str">
        <f t="shared" si="56"/>
        <v/>
      </c>
      <c r="V1290" s="400"/>
      <c r="W1290" s="410">
        <f t="shared" si="58"/>
        <v>16.7</v>
      </c>
      <c r="X1290" s="472" t="str">
        <f t="shared" si="57"/>
        <v/>
      </c>
      <c r="AT1290" s="232"/>
      <c r="AV1290" s="198"/>
      <c r="AW1290" s="274"/>
    </row>
    <row r="1291" spans="2:49" x14ac:dyDescent="0.25">
      <c r="B1291" s="274">
        <v>17.899999999999999</v>
      </c>
      <c r="C1291" s="274">
        <v>73</v>
      </c>
      <c r="D1291" s="274">
        <v>17.899999999999999</v>
      </c>
      <c r="E1291" s="274">
        <v>2.5</v>
      </c>
      <c r="F1291" s="274">
        <v>3.6</v>
      </c>
      <c r="G1291" s="274">
        <v>301</v>
      </c>
      <c r="H1291" s="274">
        <v>1021.2</v>
      </c>
      <c r="I1291" s="274">
        <v>0</v>
      </c>
      <c r="J1291" s="274">
        <v>0</v>
      </c>
      <c r="K1291" s="274">
        <v>0</v>
      </c>
      <c r="L1291" s="274">
        <v>0</v>
      </c>
      <c r="M1291" s="274">
        <v>65.3</v>
      </c>
      <c r="N1291" s="396">
        <v>599.79999999999995</v>
      </c>
      <c r="O1291" s="396">
        <v>16.600000000000001</v>
      </c>
      <c r="P1291" s="396">
        <v>16.7</v>
      </c>
      <c r="Q1291" s="397">
        <v>0.89027777777777795</v>
      </c>
      <c r="R1291" s="396"/>
      <c r="S1291" s="410"/>
      <c r="T1291" s="409"/>
      <c r="U1291" s="398" t="str">
        <f t="shared" ref="U1291:U1354" si="59">IF(J1291&gt;0,60,"")</f>
        <v/>
      </c>
      <c r="V1291" s="400"/>
      <c r="W1291" s="410">
        <f t="shared" si="58"/>
        <v>16.7</v>
      </c>
      <c r="X1291" s="472" t="str">
        <f t="shared" si="57"/>
        <v/>
      </c>
      <c r="AT1291" s="232"/>
      <c r="AV1291" s="198"/>
      <c r="AW1291" s="274"/>
    </row>
    <row r="1292" spans="2:49" x14ac:dyDescent="0.25">
      <c r="B1292" s="274">
        <v>17.899999999999999</v>
      </c>
      <c r="C1292" s="274">
        <v>73</v>
      </c>
      <c r="D1292" s="274">
        <v>17.899999999999999</v>
      </c>
      <c r="E1292" s="274">
        <v>2.9</v>
      </c>
      <c r="F1292" s="274">
        <v>3.6</v>
      </c>
      <c r="G1292" s="274">
        <v>273</v>
      </c>
      <c r="H1292" s="274">
        <v>1021.3</v>
      </c>
      <c r="I1292" s="274">
        <v>0</v>
      </c>
      <c r="J1292" s="274">
        <v>0</v>
      </c>
      <c r="K1292" s="274">
        <v>0</v>
      </c>
      <c r="L1292" s="274">
        <v>0</v>
      </c>
      <c r="M1292" s="274">
        <v>65.3</v>
      </c>
      <c r="N1292" s="396">
        <v>599.79999999999995</v>
      </c>
      <c r="O1292" s="396">
        <v>16.5</v>
      </c>
      <c r="P1292" s="396">
        <v>16.7</v>
      </c>
      <c r="Q1292" s="397">
        <v>0.89097222222222205</v>
      </c>
      <c r="R1292" s="396"/>
      <c r="S1292" s="410"/>
      <c r="T1292" s="409"/>
      <c r="U1292" s="398" t="str">
        <f t="shared" si="59"/>
        <v/>
      </c>
      <c r="V1292" s="400"/>
      <c r="W1292" s="410">
        <f t="shared" si="58"/>
        <v>16.7</v>
      </c>
      <c r="X1292" s="472" t="str">
        <f t="shared" si="57"/>
        <v/>
      </c>
      <c r="AT1292" s="232"/>
      <c r="AV1292" s="198"/>
      <c r="AW1292" s="274"/>
    </row>
    <row r="1293" spans="2:49" x14ac:dyDescent="0.25">
      <c r="B1293" s="274">
        <v>17.899999999999999</v>
      </c>
      <c r="C1293" s="274">
        <v>73</v>
      </c>
      <c r="D1293" s="274">
        <v>17.899999999999999</v>
      </c>
      <c r="E1293" s="274">
        <v>1.4</v>
      </c>
      <c r="F1293" s="274">
        <v>1.8</v>
      </c>
      <c r="G1293" s="274">
        <v>335</v>
      </c>
      <c r="H1293" s="274">
        <v>1021.3</v>
      </c>
      <c r="I1293" s="274">
        <v>0</v>
      </c>
      <c r="J1293" s="274">
        <v>0</v>
      </c>
      <c r="K1293" s="274">
        <v>0</v>
      </c>
      <c r="L1293" s="274">
        <v>0</v>
      </c>
      <c r="M1293" s="274">
        <v>65.3</v>
      </c>
      <c r="N1293" s="396">
        <v>599.79999999999995</v>
      </c>
      <c r="O1293" s="396">
        <v>16.5</v>
      </c>
      <c r="P1293" s="396">
        <v>16.7</v>
      </c>
      <c r="Q1293" s="397">
        <v>0.89166666666666705</v>
      </c>
      <c r="R1293" s="396"/>
      <c r="S1293" s="410"/>
      <c r="T1293" s="409"/>
      <c r="U1293" s="398" t="str">
        <f t="shared" si="59"/>
        <v/>
      </c>
      <c r="V1293" s="400"/>
      <c r="W1293" s="410">
        <f t="shared" si="58"/>
        <v>16.7</v>
      </c>
      <c r="X1293" s="472" t="str">
        <f t="shared" si="57"/>
        <v/>
      </c>
      <c r="AT1293" s="232"/>
      <c r="AV1293" s="198"/>
      <c r="AW1293" s="274"/>
    </row>
    <row r="1294" spans="2:49" x14ac:dyDescent="0.25">
      <c r="B1294" s="274">
        <v>17.899999999999999</v>
      </c>
      <c r="C1294" s="274">
        <v>73</v>
      </c>
      <c r="D1294" s="274">
        <v>17.899999999999999</v>
      </c>
      <c r="E1294" s="274">
        <v>1.1000000000000001</v>
      </c>
      <c r="F1294" s="274">
        <v>1.8</v>
      </c>
      <c r="G1294" s="274">
        <v>335</v>
      </c>
      <c r="H1294" s="274">
        <v>1021.3</v>
      </c>
      <c r="I1294" s="274">
        <v>0</v>
      </c>
      <c r="J1294" s="274">
        <v>0</v>
      </c>
      <c r="K1294" s="274">
        <v>0</v>
      </c>
      <c r="L1294" s="274">
        <v>0</v>
      </c>
      <c r="M1294" s="274">
        <v>65.3</v>
      </c>
      <c r="N1294" s="396">
        <v>599.79999999999995</v>
      </c>
      <c r="O1294" s="396">
        <v>16.5</v>
      </c>
      <c r="P1294" s="396">
        <v>16.600000000000001</v>
      </c>
      <c r="Q1294" s="397">
        <v>0.89236111111111105</v>
      </c>
      <c r="R1294" s="396"/>
      <c r="S1294" s="410"/>
      <c r="T1294" s="409"/>
      <c r="U1294" s="398" t="str">
        <f t="shared" si="59"/>
        <v/>
      </c>
      <c r="V1294" s="400"/>
      <c r="W1294" s="410">
        <f t="shared" si="58"/>
        <v>16.600000000000001</v>
      </c>
      <c r="X1294" s="472" t="str">
        <f t="shared" si="57"/>
        <v/>
      </c>
      <c r="AT1294" s="232"/>
      <c r="AV1294" s="198"/>
      <c r="AW1294" s="274"/>
    </row>
    <row r="1295" spans="2:49" x14ac:dyDescent="0.25">
      <c r="B1295" s="274">
        <v>17.899999999999999</v>
      </c>
      <c r="C1295" s="274">
        <v>73</v>
      </c>
      <c r="D1295" s="274">
        <v>17.899999999999999</v>
      </c>
      <c r="E1295" s="274">
        <v>0.7</v>
      </c>
      <c r="F1295" s="274">
        <v>1.8</v>
      </c>
      <c r="G1295" s="274">
        <v>334</v>
      </c>
      <c r="H1295" s="274">
        <v>1021.3</v>
      </c>
      <c r="I1295" s="274">
        <v>0</v>
      </c>
      <c r="J1295" s="274">
        <v>0</v>
      </c>
      <c r="K1295" s="274">
        <v>0</v>
      </c>
      <c r="L1295" s="274">
        <v>0</v>
      </c>
      <c r="M1295" s="274">
        <v>65.3</v>
      </c>
      <c r="N1295" s="396">
        <v>599.79999999999995</v>
      </c>
      <c r="O1295" s="396">
        <v>16.5</v>
      </c>
      <c r="P1295" s="396">
        <v>16.600000000000001</v>
      </c>
      <c r="Q1295" s="397">
        <v>0.89305555555555605</v>
      </c>
      <c r="R1295" s="396"/>
      <c r="S1295" s="410"/>
      <c r="T1295" s="409"/>
      <c r="U1295" s="398" t="str">
        <f t="shared" si="59"/>
        <v/>
      </c>
      <c r="V1295" s="400"/>
      <c r="W1295" s="410">
        <f t="shared" si="58"/>
        <v>16.600000000000001</v>
      </c>
      <c r="X1295" s="472" t="str">
        <f t="shared" si="57"/>
        <v/>
      </c>
      <c r="AT1295" s="232"/>
      <c r="AV1295" s="198"/>
      <c r="AW1295" s="274"/>
    </row>
    <row r="1296" spans="2:49" x14ac:dyDescent="0.25">
      <c r="B1296" s="274">
        <v>17.8</v>
      </c>
      <c r="C1296" s="274">
        <v>73</v>
      </c>
      <c r="D1296" s="274">
        <v>17.8</v>
      </c>
      <c r="E1296" s="274">
        <v>2.5</v>
      </c>
      <c r="F1296" s="274">
        <v>5.4</v>
      </c>
      <c r="G1296" s="274">
        <v>337</v>
      </c>
      <c r="H1296" s="274">
        <v>1021.5</v>
      </c>
      <c r="I1296" s="274">
        <v>0</v>
      </c>
      <c r="J1296" s="274">
        <v>0</v>
      </c>
      <c r="K1296" s="274">
        <v>0</v>
      </c>
      <c r="L1296" s="274">
        <v>0</v>
      </c>
      <c r="M1296" s="274">
        <v>65.3</v>
      </c>
      <c r="N1296" s="396">
        <v>599.79999999999995</v>
      </c>
      <c r="O1296" s="396">
        <v>16.399999999999999</v>
      </c>
      <c r="P1296" s="396">
        <v>16.600000000000001</v>
      </c>
      <c r="Q1296" s="397">
        <v>0.89375000000000004</v>
      </c>
      <c r="R1296" s="396"/>
      <c r="S1296" s="410"/>
      <c r="T1296" s="409"/>
      <c r="U1296" s="398" t="str">
        <f t="shared" si="59"/>
        <v/>
      </c>
      <c r="V1296" s="400"/>
      <c r="W1296" s="410">
        <f t="shared" si="58"/>
        <v>16.600000000000001</v>
      </c>
      <c r="X1296" s="472" t="str">
        <f t="shared" si="57"/>
        <v/>
      </c>
      <c r="AT1296" s="232"/>
      <c r="AV1296" s="198"/>
      <c r="AW1296" s="274"/>
    </row>
    <row r="1297" spans="2:49" x14ac:dyDescent="0.25">
      <c r="B1297" s="274">
        <v>17.8</v>
      </c>
      <c r="C1297" s="274">
        <v>73</v>
      </c>
      <c r="D1297" s="274">
        <v>17.8</v>
      </c>
      <c r="E1297" s="274">
        <v>1.4</v>
      </c>
      <c r="F1297" s="274">
        <v>1.8</v>
      </c>
      <c r="G1297" s="274">
        <v>344</v>
      </c>
      <c r="H1297" s="274">
        <v>1021.2</v>
      </c>
      <c r="I1297" s="274">
        <v>0</v>
      </c>
      <c r="J1297" s="274">
        <v>0</v>
      </c>
      <c r="K1297" s="274">
        <v>0</v>
      </c>
      <c r="L1297" s="274">
        <v>0</v>
      </c>
      <c r="M1297" s="274">
        <v>65.3</v>
      </c>
      <c r="N1297" s="396">
        <v>599.79999999999995</v>
      </c>
      <c r="O1297" s="396">
        <v>16.399999999999999</v>
      </c>
      <c r="P1297" s="396">
        <v>16.600000000000001</v>
      </c>
      <c r="Q1297" s="397">
        <v>0.89444444444444404</v>
      </c>
      <c r="R1297" s="396"/>
      <c r="S1297" s="410"/>
      <c r="T1297" s="409"/>
      <c r="U1297" s="398" t="str">
        <f t="shared" si="59"/>
        <v/>
      </c>
      <c r="V1297" s="400"/>
      <c r="W1297" s="410">
        <f t="shared" si="58"/>
        <v>16.600000000000001</v>
      </c>
      <c r="X1297" s="472" t="str">
        <f t="shared" ref="X1297:X1360" si="60">IF(W1297&gt;B1297+3,60,"")</f>
        <v/>
      </c>
      <c r="AT1297" s="232"/>
      <c r="AV1297" s="198"/>
      <c r="AW1297" s="274"/>
    </row>
    <row r="1298" spans="2:49" x14ac:dyDescent="0.25">
      <c r="B1298" s="274">
        <v>17.8</v>
      </c>
      <c r="C1298" s="274">
        <v>73</v>
      </c>
      <c r="D1298" s="274">
        <v>17.8</v>
      </c>
      <c r="E1298" s="274">
        <v>1.1000000000000001</v>
      </c>
      <c r="F1298" s="274">
        <v>1.8</v>
      </c>
      <c r="G1298" s="274">
        <v>344</v>
      </c>
      <c r="H1298" s="274">
        <v>1021.4</v>
      </c>
      <c r="I1298" s="274">
        <v>0</v>
      </c>
      <c r="J1298" s="274">
        <v>0</v>
      </c>
      <c r="K1298" s="274">
        <v>0</v>
      </c>
      <c r="L1298" s="274">
        <v>0</v>
      </c>
      <c r="M1298" s="274">
        <v>65.3</v>
      </c>
      <c r="N1298" s="396">
        <v>599.79999999999995</v>
      </c>
      <c r="O1298" s="396">
        <v>16.399999999999999</v>
      </c>
      <c r="P1298" s="396">
        <v>16.600000000000001</v>
      </c>
      <c r="Q1298" s="397">
        <v>0.89513888888888904</v>
      </c>
      <c r="R1298" s="396"/>
      <c r="S1298" s="410"/>
      <c r="T1298" s="409"/>
      <c r="U1298" s="398" t="str">
        <f t="shared" si="59"/>
        <v/>
      </c>
      <c r="V1298" s="400"/>
      <c r="W1298" s="410">
        <f t="shared" si="58"/>
        <v>16.600000000000001</v>
      </c>
      <c r="X1298" s="472" t="str">
        <f t="shared" si="60"/>
        <v/>
      </c>
      <c r="AT1298" s="232"/>
      <c r="AV1298" s="198"/>
      <c r="AW1298" s="274"/>
    </row>
    <row r="1299" spans="2:49" x14ac:dyDescent="0.25">
      <c r="B1299" s="274">
        <v>17.8</v>
      </c>
      <c r="C1299" s="274">
        <v>74</v>
      </c>
      <c r="D1299" s="274">
        <v>17.8</v>
      </c>
      <c r="E1299" s="274">
        <v>1.1000000000000001</v>
      </c>
      <c r="F1299" s="274">
        <v>1.8</v>
      </c>
      <c r="G1299" s="274">
        <v>343</v>
      </c>
      <c r="H1299" s="274">
        <v>1021.1</v>
      </c>
      <c r="I1299" s="274">
        <v>0</v>
      </c>
      <c r="J1299" s="274">
        <v>0</v>
      </c>
      <c r="K1299" s="274">
        <v>0</v>
      </c>
      <c r="L1299" s="274">
        <v>0</v>
      </c>
      <c r="M1299" s="274">
        <v>65.3</v>
      </c>
      <c r="N1299" s="396">
        <v>599.79999999999995</v>
      </c>
      <c r="O1299" s="396">
        <v>16.399999999999999</v>
      </c>
      <c r="P1299" s="396">
        <v>16.600000000000001</v>
      </c>
      <c r="Q1299" s="397">
        <v>0.89583333333333304</v>
      </c>
      <c r="R1299" s="396"/>
      <c r="S1299" s="410"/>
      <c r="T1299" s="409"/>
      <c r="U1299" s="398" t="str">
        <f t="shared" si="59"/>
        <v/>
      </c>
      <c r="V1299" s="400"/>
      <c r="W1299" s="410">
        <f t="shared" si="58"/>
        <v>16.600000000000001</v>
      </c>
      <c r="X1299" s="472" t="str">
        <f t="shared" si="60"/>
        <v/>
      </c>
      <c r="AT1299" s="232"/>
      <c r="AV1299" s="198"/>
      <c r="AW1299" s="274"/>
    </row>
    <row r="1300" spans="2:49" x14ac:dyDescent="0.25">
      <c r="B1300" s="274">
        <v>17.8</v>
      </c>
      <c r="C1300" s="274">
        <v>74</v>
      </c>
      <c r="D1300" s="274">
        <v>17.8</v>
      </c>
      <c r="E1300" s="274">
        <v>0.4</v>
      </c>
      <c r="F1300" s="274">
        <v>1.8</v>
      </c>
      <c r="G1300" s="274">
        <v>342</v>
      </c>
      <c r="H1300" s="274">
        <v>1021.4</v>
      </c>
      <c r="I1300" s="274">
        <v>0</v>
      </c>
      <c r="J1300" s="274">
        <v>0</v>
      </c>
      <c r="K1300" s="274">
        <v>0</v>
      </c>
      <c r="L1300" s="274">
        <v>0</v>
      </c>
      <c r="M1300" s="274">
        <v>65.3</v>
      </c>
      <c r="N1300" s="396">
        <v>599.79999999999995</v>
      </c>
      <c r="O1300" s="396">
        <v>16.3</v>
      </c>
      <c r="P1300" s="396">
        <v>16.5</v>
      </c>
      <c r="Q1300" s="397">
        <v>0.89652777777777803</v>
      </c>
      <c r="R1300" s="396"/>
      <c r="S1300" s="410"/>
      <c r="T1300" s="409"/>
      <c r="U1300" s="398" t="str">
        <f t="shared" si="59"/>
        <v/>
      </c>
      <c r="V1300" s="400"/>
      <c r="W1300" s="410">
        <f t="shared" si="58"/>
        <v>16.5</v>
      </c>
      <c r="X1300" s="472" t="str">
        <f t="shared" si="60"/>
        <v/>
      </c>
      <c r="AT1300" s="232"/>
      <c r="AV1300" s="198"/>
      <c r="AW1300" s="274"/>
    </row>
    <row r="1301" spans="2:49" x14ac:dyDescent="0.25">
      <c r="B1301" s="274">
        <v>17.7</v>
      </c>
      <c r="C1301" s="274">
        <v>74</v>
      </c>
      <c r="D1301" s="274">
        <v>17.7</v>
      </c>
      <c r="E1301" s="274">
        <v>0</v>
      </c>
      <c r="F1301" s="274">
        <v>0</v>
      </c>
      <c r="G1301" s="274">
        <v>337</v>
      </c>
      <c r="H1301" s="274">
        <v>1021.1</v>
      </c>
      <c r="I1301" s="274">
        <v>0</v>
      </c>
      <c r="J1301" s="274">
        <v>0</v>
      </c>
      <c r="K1301" s="274">
        <v>0</v>
      </c>
      <c r="L1301" s="274">
        <v>0</v>
      </c>
      <c r="M1301" s="274">
        <v>65.3</v>
      </c>
      <c r="N1301" s="396">
        <v>599.79999999999995</v>
      </c>
      <c r="O1301" s="396">
        <v>16.3</v>
      </c>
      <c r="P1301" s="396">
        <v>16.600000000000001</v>
      </c>
      <c r="Q1301" s="397">
        <v>0.89722222222222203</v>
      </c>
      <c r="R1301" s="396"/>
      <c r="S1301" s="410"/>
      <c r="T1301" s="409"/>
      <c r="U1301" s="398" t="str">
        <f t="shared" si="59"/>
        <v/>
      </c>
      <c r="V1301" s="400"/>
      <c r="W1301" s="410">
        <f t="shared" si="58"/>
        <v>16.600000000000001</v>
      </c>
      <c r="X1301" s="472" t="str">
        <f t="shared" si="60"/>
        <v/>
      </c>
      <c r="AT1301" s="232"/>
      <c r="AV1301" s="198"/>
      <c r="AW1301" s="274"/>
    </row>
    <row r="1302" spans="2:49" x14ac:dyDescent="0.25">
      <c r="B1302" s="274">
        <v>17.7</v>
      </c>
      <c r="C1302" s="274">
        <v>74</v>
      </c>
      <c r="D1302" s="274">
        <v>17.7</v>
      </c>
      <c r="E1302" s="274">
        <v>1.1000000000000001</v>
      </c>
      <c r="F1302" s="274">
        <v>1.8</v>
      </c>
      <c r="G1302" s="274">
        <v>338</v>
      </c>
      <c r="H1302" s="274">
        <v>1021.3</v>
      </c>
      <c r="I1302" s="274">
        <v>0</v>
      </c>
      <c r="J1302" s="274">
        <v>0</v>
      </c>
      <c r="K1302" s="274">
        <v>0</v>
      </c>
      <c r="L1302" s="274">
        <v>0</v>
      </c>
      <c r="M1302" s="274">
        <v>65.3</v>
      </c>
      <c r="N1302" s="396">
        <v>599.79999999999995</v>
      </c>
      <c r="O1302" s="396">
        <v>16.3</v>
      </c>
      <c r="P1302" s="396">
        <v>16.5</v>
      </c>
      <c r="Q1302" s="397">
        <v>0.89791666666666703</v>
      </c>
      <c r="R1302" s="396"/>
      <c r="S1302" s="410"/>
      <c r="T1302" s="409"/>
      <c r="U1302" s="398" t="str">
        <f t="shared" si="59"/>
        <v/>
      </c>
      <c r="V1302" s="400"/>
      <c r="W1302" s="410">
        <f t="shared" si="58"/>
        <v>16.5</v>
      </c>
      <c r="X1302" s="472" t="str">
        <f t="shared" si="60"/>
        <v/>
      </c>
      <c r="AT1302" s="232"/>
      <c r="AV1302" s="198"/>
      <c r="AW1302" s="274"/>
    </row>
    <row r="1303" spans="2:49" x14ac:dyDescent="0.25">
      <c r="B1303" s="274">
        <v>17.7</v>
      </c>
      <c r="C1303" s="274">
        <v>74</v>
      </c>
      <c r="D1303" s="274">
        <v>17.7</v>
      </c>
      <c r="E1303" s="274">
        <v>1.8</v>
      </c>
      <c r="F1303" s="274">
        <v>1.8</v>
      </c>
      <c r="G1303" s="274">
        <v>338</v>
      </c>
      <c r="H1303" s="274">
        <v>1021.2</v>
      </c>
      <c r="I1303" s="274">
        <v>0</v>
      </c>
      <c r="J1303" s="274">
        <v>0</v>
      </c>
      <c r="K1303" s="274">
        <v>0</v>
      </c>
      <c r="L1303" s="274">
        <v>0</v>
      </c>
      <c r="M1303" s="274">
        <v>65.3</v>
      </c>
      <c r="N1303" s="396">
        <v>599.79999999999995</v>
      </c>
      <c r="O1303" s="396">
        <v>16.3</v>
      </c>
      <c r="P1303" s="396">
        <v>16.5</v>
      </c>
      <c r="Q1303" s="397">
        <v>0.89861111111111103</v>
      </c>
      <c r="R1303" s="396"/>
      <c r="S1303" s="410"/>
      <c r="T1303" s="409"/>
      <c r="U1303" s="398" t="str">
        <f t="shared" si="59"/>
        <v/>
      </c>
      <c r="V1303" s="400"/>
      <c r="W1303" s="410">
        <f t="shared" si="58"/>
        <v>16.5</v>
      </c>
      <c r="X1303" s="472" t="str">
        <f t="shared" si="60"/>
        <v/>
      </c>
      <c r="AT1303" s="232"/>
      <c r="AV1303" s="198"/>
      <c r="AW1303" s="274"/>
    </row>
    <row r="1304" spans="2:49" x14ac:dyDescent="0.25">
      <c r="B1304" s="274">
        <v>17.7</v>
      </c>
      <c r="C1304" s="274">
        <v>74</v>
      </c>
      <c r="D1304" s="274">
        <v>17.7</v>
      </c>
      <c r="E1304" s="274">
        <v>1.4</v>
      </c>
      <c r="F1304" s="274">
        <v>1.8</v>
      </c>
      <c r="G1304" s="274">
        <v>338</v>
      </c>
      <c r="H1304" s="274">
        <v>1021.2</v>
      </c>
      <c r="I1304" s="274">
        <v>0</v>
      </c>
      <c r="J1304" s="274">
        <v>0</v>
      </c>
      <c r="K1304" s="274">
        <v>0</v>
      </c>
      <c r="L1304" s="274">
        <v>0</v>
      </c>
      <c r="M1304" s="274">
        <v>65.3</v>
      </c>
      <c r="N1304" s="396">
        <v>599.79999999999995</v>
      </c>
      <c r="O1304" s="396">
        <v>16.2</v>
      </c>
      <c r="P1304" s="396">
        <v>16.5</v>
      </c>
      <c r="Q1304" s="397">
        <v>0.89930555555555602</v>
      </c>
      <c r="R1304" s="396"/>
      <c r="S1304" s="410"/>
      <c r="T1304" s="409"/>
      <c r="U1304" s="398" t="str">
        <f t="shared" si="59"/>
        <v/>
      </c>
      <c r="V1304" s="400"/>
      <c r="W1304" s="410">
        <f t="shared" si="58"/>
        <v>16.5</v>
      </c>
      <c r="X1304" s="472" t="str">
        <f t="shared" si="60"/>
        <v/>
      </c>
      <c r="AT1304" s="232"/>
      <c r="AV1304" s="198"/>
      <c r="AW1304" s="274"/>
    </row>
    <row r="1305" spans="2:49" x14ac:dyDescent="0.25">
      <c r="B1305" s="274">
        <v>17.600000000000001</v>
      </c>
      <c r="C1305" s="274">
        <v>74</v>
      </c>
      <c r="D1305" s="274">
        <v>17.600000000000001</v>
      </c>
      <c r="E1305" s="274">
        <v>3.6</v>
      </c>
      <c r="F1305" s="274">
        <v>3.6</v>
      </c>
      <c r="G1305" s="274">
        <v>343</v>
      </c>
      <c r="H1305" s="274">
        <v>1021.2</v>
      </c>
      <c r="I1305" s="274">
        <v>0</v>
      </c>
      <c r="J1305" s="274">
        <v>0</v>
      </c>
      <c r="K1305" s="274">
        <v>0</v>
      </c>
      <c r="L1305" s="274">
        <v>0</v>
      </c>
      <c r="M1305" s="274">
        <v>65.3</v>
      </c>
      <c r="N1305" s="396">
        <v>599.79999999999995</v>
      </c>
      <c r="O1305" s="396">
        <v>16.2</v>
      </c>
      <c r="P1305" s="396">
        <v>16.399999999999999</v>
      </c>
      <c r="Q1305" s="397">
        <v>0.9</v>
      </c>
      <c r="R1305" s="396"/>
      <c r="S1305" s="410"/>
      <c r="T1305" s="409"/>
      <c r="U1305" s="398" t="str">
        <f t="shared" si="59"/>
        <v/>
      </c>
      <c r="V1305" s="400"/>
      <c r="W1305" s="410">
        <f t="shared" si="58"/>
        <v>16.399999999999999</v>
      </c>
      <c r="X1305" s="472" t="str">
        <f t="shared" si="60"/>
        <v/>
      </c>
      <c r="AT1305" s="232"/>
      <c r="AV1305" s="198"/>
      <c r="AW1305" s="274"/>
    </row>
    <row r="1306" spans="2:49" x14ac:dyDescent="0.25">
      <c r="B1306" s="274">
        <v>17.600000000000001</v>
      </c>
      <c r="C1306" s="274">
        <v>74</v>
      </c>
      <c r="D1306" s="274">
        <v>17.600000000000001</v>
      </c>
      <c r="E1306" s="274">
        <v>1.8</v>
      </c>
      <c r="F1306" s="274">
        <v>1.8</v>
      </c>
      <c r="G1306" s="274">
        <v>343</v>
      </c>
      <c r="H1306" s="274">
        <v>1021.2</v>
      </c>
      <c r="I1306" s="274">
        <v>0</v>
      </c>
      <c r="J1306" s="274">
        <v>0</v>
      </c>
      <c r="K1306" s="274">
        <v>0</v>
      </c>
      <c r="L1306" s="274">
        <v>0</v>
      </c>
      <c r="M1306" s="274">
        <v>65.3</v>
      </c>
      <c r="N1306" s="396">
        <v>599.79999999999995</v>
      </c>
      <c r="O1306" s="396">
        <v>16.100000000000001</v>
      </c>
      <c r="P1306" s="396">
        <v>16.399999999999999</v>
      </c>
      <c r="Q1306" s="397">
        <v>0.90069444444444402</v>
      </c>
      <c r="R1306" s="396"/>
      <c r="S1306" s="410"/>
      <c r="T1306" s="409"/>
      <c r="U1306" s="398" t="str">
        <f t="shared" si="59"/>
        <v/>
      </c>
      <c r="V1306" s="400"/>
      <c r="W1306" s="410">
        <f t="shared" si="58"/>
        <v>16.399999999999999</v>
      </c>
      <c r="X1306" s="472" t="str">
        <f t="shared" si="60"/>
        <v/>
      </c>
      <c r="AT1306" s="232"/>
      <c r="AV1306" s="198"/>
      <c r="AW1306" s="274"/>
    </row>
    <row r="1307" spans="2:49" x14ac:dyDescent="0.25">
      <c r="B1307" s="274">
        <v>17.600000000000001</v>
      </c>
      <c r="C1307" s="274">
        <v>74</v>
      </c>
      <c r="D1307" s="274">
        <v>17.600000000000001</v>
      </c>
      <c r="E1307" s="274">
        <v>0.4</v>
      </c>
      <c r="F1307" s="274">
        <v>1.8</v>
      </c>
      <c r="G1307" s="274">
        <v>343</v>
      </c>
      <c r="H1307" s="274">
        <v>1021.2</v>
      </c>
      <c r="I1307" s="274">
        <v>0</v>
      </c>
      <c r="J1307" s="274">
        <v>0</v>
      </c>
      <c r="K1307" s="274">
        <v>0</v>
      </c>
      <c r="L1307" s="274">
        <v>0</v>
      </c>
      <c r="M1307" s="274">
        <v>65.3</v>
      </c>
      <c r="N1307" s="396">
        <v>599.79999999999995</v>
      </c>
      <c r="O1307" s="396">
        <v>16.100000000000001</v>
      </c>
      <c r="P1307" s="396">
        <v>16.399999999999999</v>
      </c>
      <c r="Q1307" s="397">
        <v>0.90138888888888902</v>
      </c>
      <c r="R1307" s="396"/>
      <c r="S1307" s="410"/>
      <c r="T1307" s="409"/>
      <c r="U1307" s="398" t="str">
        <f t="shared" si="59"/>
        <v/>
      </c>
      <c r="V1307" s="400"/>
      <c r="W1307" s="410">
        <f t="shared" si="58"/>
        <v>16.399999999999999</v>
      </c>
      <c r="X1307" s="472" t="str">
        <f t="shared" si="60"/>
        <v/>
      </c>
      <c r="AT1307" s="232"/>
      <c r="AV1307" s="198"/>
      <c r="AW1307" s="274"/>
    </row>
    <row r="1308" spans="2:49" x14ac:dyDescent="0.25">
      <c r="B1308" s="274">
        <v>17.600000000000001</v>
      </c>
      <c r="C1308" s="274">
        <v>74</v>
      </c>
      <c r="D1308" s="274">
        <v>17.600000000000001</v>
      </c>
      <c r="E1308" s="274">
        <v>1.4</v>
      </c>
      <c r="F1308" s="274">
        <v>1.8</v>
      </c>
      <c r="G1308" s="274">
        <v>343</v>
      </c>
      <c r="H1308" s="274">
        <v>1021.3</v>
      </c>
      <c r="I1308" s="274">
        <v>0</v>
      </c>
      <c r="J1308" s="274">
        <v>0</v>
      </c>
      <c r="K1308" s="274">
        <v>0</v>
      </c>
      <c r="L1308" s="274">
        <v>0</v>
      </c>
      <c r="M1308" s="274">
        <v>65.3</v>
      </c>
      <c r="N1308" s="396">
        <v>599.79999999999995</v>
      </c>
      <c r="O1308" s="396">
        <v>16.100000000000001</v>
      </c>
      <c r="P1308" s="396">
        <v>16.399999999999999</v>
      </c>
      <c r="Q1308" s="397">
        <v>0.90208333333333302</v>
      </c>
      <c r="R1308" s="396"/>
      <c r="S1308" s="410"/>
      <c r="T1308" s="409"/>
      <c r="U1308" s="398" t="str">
        <f t="shared" si="59"/>
        <v/>
      </c>
      <c r="V1308" s="400"/>
      <c r="W1308" s="410">
        <f t="shared" si="58"/>
        <v>16.399999999999999</v>
      </c>
      <c r="X1308" s="472" t="str">
        <f t="shared" si="60"/>
        <v/>
      </c>
      <c r="AT1308" s="232"/>
      <c r="AV1308" s="198"/>
      <c r="AW1308" s="274"/>
    </row>
    <row r="1309" spans="2:49" x14ac:dyDescent="0.25">
      <c r="B1309" s="274">
        <v>17.600000000000001</v>
      </c>
      <c r="C1309" s="274">
        <v>75</v>
      </c>
      <c r="D1309" s="274">
        <v>17.600000000000001</v>
      </c>
      <c r="E1309" s="274">
        <v>1.8</v>
      </c>
      <c r="F1309" s="274">
        <v>1.8</v>
      </c>
      <c r="G1309" s="274">
        <v>343</v>
      </c>
      <c r="H1309" s="274">
        <v>1021.2</v>
      </c>
      <c r="I1309" s="274">
        <v>0</v>
      </c>
      <c r="J1309" s="274">
        <v>0</v>
      </c>
      <c r="K1309" s="274">
        <v>0</v>
      </c>
      <c r="L1309" s="274">
        <v>0</v>
      </c>
      <c r="M1309" s="274">
        <v>65.3</v>
      </c>
      <c r="N1309" s="396">
        <v>599.79999999999995</v>
      </c>
      <c r="O1309" s="396">
        <v>16.100000000000001</v>
      </c>
      <c r="P1309" s="396">
        <v>16.3</v>
      </c>
      <c r="Q1309" s="397">
        <v>0.90277777777777801</v>
      </c>
      <c r="R1309" s="396"/>
      <c r="S1309" s="410"/>
      <c r="T1309" s="409"/>
      <c r="U1309" s="398" t="str">
        <f t="shared" si="59"/>
        <v/>
      </c>
      <c r="V1309" s="400"/>
      <c r="W1309" s="410">
        <f t="shared" si="58"/>
        <v>16.3</v>
      </c>
      <c r="X1309" s="472" t="str">
        <f t="shared" si="60"/>
        <v/>
      </c>
      <c r="AT1309" s="232"/>
      <c r="AV1309" s="198"/>
      <c r="AW1309" s="274"/>
    </row>
    <row r="1310" spans="2:49" x14ac:dyDescent="0.25">
      <c r="B1310" s="274">
        <v>17.600000000000001</v>
      </c>
      <c r="C1310" s="274">
        <v>75</v>
      </c>
      <c r="D1310" s="274">
        <v>17.600000000000001</v>
      </c>
      <c r="E1310" s="274">
        <v>0</v>
      </c>
      <c r="F1310" s="274">
        <v>0</v>
      </c>
      <c r="G1310" s="274">
        <v>343</v>
      </c>
      <c r="H1310" s="274">
        <v>1021.2</v>
      </c>
      <c r="I1310" s="274">
        <v>0</v>
      </c>
      <c r="J1310" s="274">
        <v>0</v>
      </c>
      <c r="K1310" s="274">
        <v>0</v>
      </c>
      <c r="L1310" s="274">
        <v>0</v>
      </c>
      <c r="M1310" s="274">
        <v>65.3</v>
      </c>
      <c r="N1310" s="396">
        <v>599.79999999999995</v>
      </c>
      <c r="O1310" s="396">
        <v>16.100000000000001</v>
      </c>
      <c r="P1310" s="396">
        <v>16.3</v>
      </c>
      <c r="Q1310" s="397">
        <v>0.90347222222222201</v>
      </c>
      <c r="R1310" s="396"/>
      <c r="S1310" s="410"/>
      <c r="T1310" s="409"/>
      <c r="U1310" s="398" t="str">
        <f t="shared" si="59"/>
        <v/>
      </c>
      <c r="V1310" s="400"/>
      <c r="W1310" s="410">
        <f t="shared" si="58"/>
        <v>16.3</v>
      </c>
      <c r="X1310" s="472" t="str">
        <f t="shared" si="60"/>
        <v/>
      </c>
      <c r="AT1310" s="232"/>
      <c r="AV1310" s="198"/>
      <c r="AW1310" s="274"/>
    </row>
    <row r="1311" spans="2:49" x14ac:dyDescent="0.25">
      <c r="B1311" s="274">
        <v>17.600000000000001</v>
      </c>
      <c r="C1311" s="274">
        <v>75</v>
      </c>
      <c r="D1311" s="274">
        <v>17.600000000000001</v>
      </c>
      <c r="E1311" s="274">
        <v>2.9</v>
      </c>
      <c r="F1311" s="274">
        <v>3.6</v>
      </c>
      <c r="G1311" s="274">
        <v>326</v>
      </c>
      <c r="H1311" s="274">
        <v>1021.2</v>
      </c>
      <c r="I1311" s="274">
        <v>0</v>
      </c>
      <c r="J1311" s="274">
        <v>0</v>
      </c>
      <c r="K1311" s="274">
        <v>0</v>
      </c>
      <c r="L1311" s="274">
        <v>0</v>
      </c>
      <c r="M1311" s="274">
        <v>65.3</v>
      </c>
      <c r="N1311" s="396">
        <v>599.79999999999995</v>
      </c>
      <c r="O1311" s="396">
        <v>16.100000000000001</v>
      </c>
      <c r="P1311" s="396">
        <v>16.3</v>
      </c>
      <c r="Q1311" s="397">
        <v>0.90416666666666701</v>
      </c>
      <c r="R1311" s="396"/>
      <c r="S1311" s="410"/>
      <c r="T1311" s="409"/>
      <c r="U1311" s="398" t="str">
        <f t="shared" si="59"/>
        <v/>
      </c>
      <c r="V1311" s="400"/>
      <c r="W1311" s="410">
        <f t="shared" si="58"/>
        <v>16.3</v>
      </c>
      <c r="X1311" s="472" t="str">
        <f t="shared" si="60"/>
        <v/>
      </c>
      <c r="AT1311" s="232"/>
      <c r="AV1311" s="198"/>
      <c r="AW1311" s="274"/>
    </row>
    <row r="1312" spans="2:49" x14ac:dyDescent="0.25">
      <c r="B1312" s="274">
        <v>17.600000000000001</v>
      </c>
      <c r="C1312" s="274">
        <v>75</v>
      </c>
      <c r="D1312" s="274">
        <v>17.600000000000001</v>
      </c>
      <c r="E1312" s="274">
        <v>1.4</v>
      </c>
      <c r="F1312" s="274">
        <v>1.8</v>
      </c>
      <c r="G1312" s="274">
        <v>296</v>
      </c>
      <c r="H1312" s="274">
        <v>1021.5</v>
      </c>
      <c r="I1312" s="274">
        <v>0</v>
      </c>
      <c r="J1312" s="274">
        <v>0</v>
      </c>
      <c r="K1312" s="274">
        <v>0</v>
      </c>
      <c r="L1312" s="274">
        <v>0</v>
      </c>
      <c r="M1312" s="274">
        <v>65.3</v>
      </c>
      <c r="N1312" s="396">
        <v>599.79999999999995</v>
      </c>
      <c r="O1312" s="396">
        <v>16.100000000000001</v>
      </c>
      <c r="P1312" s="396">
        <v>16.2</v>
      </c>
      <c r="Q1312" s="397">
        <v>0.90486111111111101</v>
      </c>
      <c r="R1312" s="396"/>
      <c r="S1312" s="410"/>
      <c r="T1312" s="409"/>
      <c r="U1312" s="398" t="str">
        <f t="shared" si="59"/>
        <v/>
      </c>
      <c r="V1312" s="400"/>
      <c r="W1312" s="410">
        <f t="shared" si="58"/>
        <v>16.2</v>
      </c>
      <c r="X1312" s="472" t="str">
        <f t="shared" si="60"/>
        <v/>
      </c>
      <c r="AT1312" s="232"/>
      <c r="AV1312" s="198"/>
      <c r="AW1312" s="274"/>
    </row>
    <row r="1313" spans="2:49" x14ac:dyDescent="0.25">
      <c r="B1313" s="274">
        <v>17.5</v>
      </c>
      <c r="C1313" s="274">
        <v>75</v>
      </c>
      <c r="D1313" s="274">
        <v>17.5</v>
      </c>
      <c r="E1313" s="274">
        <v>0</v>
      </c>
      <c r="F1313" s="274">
        <v>0</v>
      </c>
      <c r="G1313" s="274">
        <v>298</v>
      </c>
      <c r="H1313" s="274">
        <v>1021.4</v>
      </c>
      <c r="I1313" s="274">
        <v>0</v>
      </c>
      <c r="J1313" s="274">
        <v>0</v>
      </c>
      <c r="K1313" s="274">
        <v>0</v>
      </c>
      <c r="L1313" s="274">
        <v>0</v>
      </c>
      <c r="M1313" s="274">
        <v>65.3</v>
      </c>
      <c r="N1313" s="396">
        <v>599.79999999999995</v>
      </c>
      <c r="O1313" s="396">
        <v>16.100000000000001</v>
      </c>
      <c r="P1313" s="396">
        <v>16.2</v>
      </c>
      <c r="Q1313" s="397">
        <v>0.905555555555556</v>
      </c>
      <c r="R1313" s="396"/>
      <c r="S1313" s="410"/>
      <c r="T1313" s="409"/>
      <c r="U1313" s="398" t="str">
        <f t="shared" si="59"/>
        <v/>
      </c>
      <c r="V1313" s="400"/>
      <c r="W1313" s="410">
        <f t="shared" si="58"/>
        <v>16.2</v>
      </c>
      <c r="X1313" s="472" t="str">
        <f t="shared" si="60"/>
        <v/>
      </c>
      <c r="AT1313" s="232"/>
      <c r="AV1313" s="198"/>
      <c r="AW1313" s="274"/>
    </row>
    <row r="1314" spans="2:49" x14ac:dyDescent="0.25">
      <c r="B1314" s="274">
        <v>17.5</v>
      </c>
      <c r="C1314" s="274">
        <v>75</v>
      </c>
      <c r="D1314" s="274">
        <v>17.5</v>
      </c>
      <c r="E1314" s="274">
        <v>0.4</v>
      </c>
      <c r="F1314" s="274">
        <v>1.8</v>
      </c>
      <c r="G1314" s="274">
        <v>325</v>
      </c>
      <c r="H1314" s="274">
        <v>1021.3</v>
      </c>
      <c r="I1314" s="274">
        <v>0</v>
      </c>
      <c r="J1314" s="274">
        <v>0</v>
      </c>
      <c r="K1314" s="274">
        <v>0</v>
      </c>
      <c r="L1314" s="274">
        <v>0</v>
      </c>
      <c r="M1314" s="274">
        <v>65.3</v>
      </c>
      <c r="N1314" s="396">
        <v>599.79999999999995</v>
      </c>
      <c r="O1314" s="396">
        <v>16</v>
      </c>
      <c r="P1314" s="396">
        <v>16.2</v>
      </c>
      <c r="Q1314" s="397">
        <v>0.90625</v>
      </c>
      <c r="R1314" s="396"/>
      <c r="S1314" s="410"/>
      <c r="T1314" s="409"/>
      <c r="U1314" s="398" t="str">
        <f t="shared" si="59"/>
        <v/>
      </c>
      <c r="V1314" s="400"/>
      <c r="W1314" s="410">
        <f t="shared" si="58"/>
        <v>16.2</v>
      </c>
      <c r="X1314" s="472" t="str">
        <f t="shared" si="60"/>
        <v/>
      </c>
      <c r="AT1314" s="232"/>
      <c r="AV1314" s="198"/>
      <c r="AW1314" s="274"/>
    </row>
    <row r="1315" spans="2:49" x14ac:dyDescent="0.25">
      <c r="B1315" s="274">
        <v>17.5</v>
      </c>
      <c r="C1315" s="274">
        <v>75</v>
      </c>
      <c r="D1315" s="274">
        <v>17.5</v>
      </c>
      <c r="E1315" s="274">
        <v>1.1000000000000001</v>
      </c>
      <c r="F1315" s="274">
        <v>1.8</v>
      </c>
      <c r="G1315" s="274">
        <v>325</v>
      </c>
      <c r="H1315" s="274">
        <v>1021.2</v>
      </c>
      <c r="I1315" s="274">
        <v>0</v>
      </c>
      <c r="J1315" s="274">
        <v>0</v>
      </c>
      <c r="K1315" s="274">
        <v>0</v>
      </c>
      <c r="L1315" s="274">
        <v>0</v>
      </c>
      <c r="M1315" s="274">
        <v>65.3</v>
      </c>
      <c r="N1315" s="396">
        <v>599.79999999999995</v>
      </c>
      <c r="O1315" s="396">
        <v>16</v>
      </c>
      <c r="P1315" s="396">
        <v>16.2</v>
      </c>
      <c r="Q1315" s="397">
        <v>0.906944444444444</v>
      </c>
      <c r="R1315" s="396"/>
      <c r="S1315" s="410"/>
      <c r="T1315" s="409"/>
      <c r="U1315" s="398" t="str">
        <f t="shared" si="59"/>
        <v/>
      </c>
      <c r="V1315" s="400"/>
      <c r="W1315" s="410">
        <f t="shared" si="58"/>
        <v>16.2</v>
      </c>
      <c r="X1315" s="472" t="str">
        <f t="shared" si="60"/>
        <v/>
      </c>
      <c r="AT1315" s="232"/>
      <c r="AV1315" s="198"/>
      <c r="AW1315" s="274"/>
    </row>
    <row r="1316" spans="2:49" x14ac:dyDescent="0.25">
      <c r="B1316" s="274">
        <v>17.5</v>
      </c>
      <c r="C1316" s="274">
        <v>75</v>
      </c>
      <c r="D1316" s="274">
        <v>17.5</v>
      </c>
      <c r="E1316" s="274">
        <v>0</v>
      </c>
      <c r="F1316" s="274">
        <v>0</v>
      </c>
      <c r="G1316" s="274">
        <v>325</v>
      </c>
      <c r="H1316" s="274">
        <v>1021.4</v>
      </c>
      <c r="I1316" s="274">
        <v>0</v>
      </c>
      <c r="J1316" s="274">
        <v>0</v>
      </c>
      <c r="K1316" s="274">
        <v>0</v>
      </c>
      <c r="L1316" s="274">
        <v>0</v>
      </c>
      <c r="M1316" s="274">
        <v>65.3</v>
      </c>
      <c r="N1316" s="396">
        <v>599.79999999999995</v>
      </c>
      <c r="O1316" s="396">
        <v>16</v>
      </c>
      <c r="P1316" s="396">
        <v>16.100000000000001</v>
      </c>
      <c r="Q1316" s="397">
        <v>0.90763888888888899</v>
      </c>
      <c r="R1316" s="396"/>
      <c r="S1316" s="410"/>
      <c r="T1316" s="409"/>
      <c r="U1316" s="398" t="str">
        <f t="shared" si="59"/>
        <v/>
      </c>
      <c r="V1316" s="400"/>
      <c r="W1316" s="410">
        <f t="shared" si="58"/>
        <v>16.100000000000001</v>
      </c>
      <c r="X1316" s="472" t="str">
        <f t="shared" si="60"/>
        <v/>
      </c>
      <c r="AT1316" s="232"/>
      <c r="AV1316" s="198"/>
      <c r="AW1316" s="274"/>
    </row>
    <row r="1317" spans="2:49" x14ac:dyDescent="0.25">
      <c r="B1317" s="274">
        <v>17.5</v>
      </c>
      <c r="C1317" s="274">
        <v>75</v>
      </c>
      <c r="D1317" s="274">
        <v>17.5</v>
      </c>
      <c r="E1317" s="274">
        <v>2.5</v>
      </c>
      <c r="F1317" s="274">
        <v>3.6</v>
      </c>
      <c r="G1317" s="274">
        <v>287</v>
      </c>
      <c r="H1317" s="274">
        <v>1021.4</v>
      </c>
      <c r="I1317" s="274">
        <v>0</v>
      </c>
      <c r="J1317" s="274">
        <v>0</v>
      </c>
      <c r="K1317" s="274">
        <v>0</v>
      </c>
      <c r="L1317" s="274">
        <v>0</v>
      </c>
      <c r="M1317" s="274">
        <v>65.3</v>
      </c>
      <c r="N1317" s="396">
        <v>599.79999999999995</v>
      </c>
      <c r="O1317" s="396">
        <v>16</v>
      </c>
      <c r="P1317" s="396">
        <v>16.100000000000001</v>
      </c>
      <c r="Q1317" s="397">
        <v>0.90833333333333299</v>
      </c>
      <c r="R1317" s="396"/>
      <c r="S1317" s="410"/>
      <c r="T1317" s="409"/>
      <c r="U1317" s="398" t="str">
        <f t="shared" si="59"/>
        <v/>
      </c>
      <c r="V1317" s="400"/>
      <c r="W1317" s="410">
        <f t="shared" si="58"/>
        <v>16.100000000000001</v>
      </c>
      <c r="X1317" s="472" t="str">
        <f t="shared" si="60"/>
        <v/>
      </c>
      <c r="AT1317" s="232"/>
      <c r="AV1317" s="198"/>
      <c r="AW1317" s="274"/>
    </row>
    <row r="1318" spans="2:49" x14ac:dyDescent="0.25">
      <c r="B1318" s="274">
        <v>17.5</v>
      </c>
      <c r="C1318" s="274">
        <v>75</v>
      </c>
      <c r="D1318" s="274">
        <v>17.5</v>
      </c>
      <c r="E1318" s="274">
        <v>0</v>
      </c>
      <c r="F1318" s="274">
        <v>0</v>
      </c>
      <c r="G1318" s="274">
        <v>317</v>
      </c>
      <c r="H1318" s="274">
        <v>1021.3</v>
      </c>
      <c r="I1318" s="274">
        <v>0</v>
      </c>
      <c r="J1318" s="274">
        <v>0</v>
      </c>
      <c r="K1318" s="274">
        <v>0</v>
      </c>
      <c r="L1318" s="274">
        <v>0</v>
      </c>
      <c r="M1318" s="274">
        <v>65.3</v>
      </c>
      <c r="N1318" s="396">
        <v>599.79999999999995</v>
      </c>
      <c r="O1318" s="396">
        <v>15.9</v>
      </c>
      <c r="P1318" s="396">
        <v>16.100000000000001</v>
      </c>
      <c r="Q1318" s="397">
        <v>0.90902777777777799</v>
      </c>
      <c r="R1318" s="396"/>
      <c r="S1318" s="410"/>
      <c r="T1318" s="409"/>
      <c r="U1318" s="398" t="str">
        <f t="shared" si="59"/>
        <v/>
      </c>
      <c r="V1318" s="400"/>
      <c r="W1318" s="410">
        <f t="shared" si="58"/>
        <v>16.100000000000001</v>
      </c>
      <c r="X1318" s="472" t="str">
        <f t="shared" si="60"/>
        <v/>
      </c>
      <c r="AT1318" s="232"/>
      <c r="AV1318" s="198"/>
      <c r="AW1318" s="274"/>
    </row>
    <row r="1319" spans="2:49" x14ac:dyDescent="0.25">
      <c r="B1319" s="274">
        <v>17.5</v>
      </c>
      <c r="C1319" s="274">
        <v>75</v>
      </c>
      <c r="D1319" s="274">
        <v>17.5</v>
      </c>
      <c r="E1319" s="274">
        <v>0</v>
      </c>
      <c r="F1319" s="274">
        <v>0</v>
      </c>
      <c r="G1319" s="274">
        <v>327</v>
      </c>
      <c r="H1319" s="274">
        <v>1021.3</v>
      </c>
      <c r="I1319" s="274">
        <v>0</v>
      </c>
      <c r="J1319" s="274">
        <v>0</v>
      </c>
      <c r="K1319" s="274">
        <v>0</v>
      </c>
      <c r="L1319" s="274">
        <v>0</v>
      </c>
      <c r="M1319" s="274">
        <v>65.3</v>
      </c>
      <c r="N1319" s="396">
        <v>599.79999999999995</v>
      </c>
      <c r="O1319" s="396">
        <v>15.9</v>
      </c>
      <c r="P1319" s="396">
        <v>16.100000000000001</v>
      </c>
      <c r="Q1319" s="397">
        <v>0.90972222222222199</v>
      </c>
      <c r="R1319" s="396"/>
      <c r="S1319" s="410"/>
      <c r="T1319" s="409"/>
      <c r="U1319" s="398" t="str">
        <f t="shared" si="59"/>
        <v/>
      </c>
      <c r="V1319" s="400"/>
      <c r="W1319" s="410">
        <f t="shared" si="58"/>
        <v>16.100000000000001</v>
      </c>
      <c r="X1319" s="472" t="str">
        <f t="shared" si="60"/>
        <v/>
      </c>
      <c r="AT1319" s="232"/>
      <c r="AV1319" s="198"/>
      <c r="AW1319" s="274"/>
    </row>
    <row r="1320" spans="2:49" x14ac:dyDescent="0.25">
      <c r="B1320" s="274">
        <v>17.399999999999999</v>
      </c>
      <c r="C1320" s="274">
        <v>75</v>
      </c>
      <c r="D1320" s="274">
        <v>17.399999999999999</v>
      </c>
      <c r="E1320" s="274">
        <v>1.1000000000000001</v>
      </c>
      <c r="F1320" s="274">
        <v>1.8</v>
      </c>
      <c r="G1320" s="274">
        <v>327</v>
      </c>
      <c r="H1320" s="274">
        <v>1021.4</v>
      </c>
      <c r="I1320" s="274">
        <v>0</v>
      </c>
      <c r="J1320" s="274">
        <v>0</v>
      </c>
      <c r="K1320" s="274">
        <v>0</v>
      </c>
      <c r="L1320" s="274">
        <v>0</v>
      </c>
      <c r="M1320" s="274">
        <v>65.3</v>
      </c>
      <c r="N1320" s="396">
        <v>599.79999999999995</v>
      </c>
      <c r="O1320" s="396">
        <v>15.9</v>
      </c>
      <c r="P1320" s="396">
        <v>16.100000000000001</v>
      </c>
      <c r="Q1320" s="397">
        <v>0.91041666666666698</v>
      </c>
      <c r="R1320" s="396"/>
      <c r="S1320" s="410"/>
      <c r="T1320" s="409"/>
      <c r="U1320" s="398" t="str">
        <f t="shared" si="59"/>
        <v/>
      </c>
      <c r="V1320" s="400"/>
      <c r="W1320" s="410">
        <f t="shared" si="58"/>
        <v>16.100000000000001</v>
      </c>
      <c r="X1320" s="472" t="str">
        <f t="shared" si="60"/>
        <v/>
      </c>
      <c r="AT1320" s="232"/>
      <c r="AV1320" s="198"/>
      <c r="AW1320" s="274"/>
    </row>
    <row r="1321" spans="2:49" x14ac:dyDescent="0.25">
      <c r="B1321" s="274">
        <v>17.399999999999999</v>
      </c>
      <c r="C1321" s="274">
        <v>75</v>
      </c>
      <c r="D1321" s="274">
        <v>17.399999999999999</v>
      </c>
      <c r="E1321" s="274">
        <v>2.2000000000000002</v>
      </c>
      <c r="F1321" s="274">
        <v>3.6</v>
      </c>
      <c r="G1321" s="274">
        <v>327</v>
      </c>
      <c r="H1321" s="274">
        <v>1021.3</v>
      </c>
      <c r="I1321" s="274">
        <v>0</v>
      </c>
      <c r="J1321" s="274">
        <v>0</v>
      </c>
      <c r="K1321" s="274">
        <v>0</v>
      </c>
      <c r="L1321" s="274">
        <v>0</v>
      </c>
      <c r="M1321" s="274">
        <v>65.3</v>
      </c>
      <c r="N1321" s="396">
        <v>599.79999999999995</v>
      </c>
      <c r="O1321" s="396">
        <v>15.9</v>
      </c>
      <c r="P1321" s="396">
        <v>16.100000000000001</v>
      </c>
      <c r="Q1321" s="397">
        <v>0.91111111111111098</v>
      </c>
      <c r="R1321" s="396"/>
      <c r="S1321" s="410"/>
      <c r="T1321" s="409"/>
      <c r="U1321" s="398" t="str">
        <f t="shared" si="59"/>
        <v/>
      </c>
      <c r="V1321" s="400"/>
      <c r="W1321" s="410">
        <f t="shared" si="58"/>
        <v>16.100000000000001</v>
      </c>
      <c r="X1321" s="472" t="str">
        <f t="shared" si="60"/>
        <v/>
      </c>
      <c r="AT1321" s="232"/>
      <c r="AV1321" s="198"/>
      <c r="AW1321" s="274"/>
    </row>
    <row r="1322" spans="2:49" x14ac:dyDescent="0.25">
      <c r="B1322" s="274">
        <v>17.399999999999999</v>
      </c>
      <c r="C1322" s="274">
        <v>75</v>
      </c>
      <c r="D1322" s="274">
        <v>17.399999999999999</v>
      </c>
      <c r="E1322" s="274">
        <v>2.2000000000000002</v>
      </c>
      <c r="F1322" s="274">
        <v>3.6</v>
      </c>
      <c r="G1322" s="274">
        <v>284</v>
      </c>
      <c r="H1322" s="274">
        <v>1021.2</v>
      </c>
      <c r="I1322" s="274">
        <v>0</v>
      </c>
      <c r="J1322" s="274">
        <v>0</v>
      </c>
      <c r="K1322" s="274">
        <v>0</v>
      </c>
      <c r="L1322" s="274">
        <v>0</v>
      </c>
      <c r="M1322" s="274">
        <v>65.3</v>
      </c>
      <c r="N1322" s="396">
        <v>599.79999999999995</v>
      </c>
      <c r="O1322" s="396">
        <v>15.8</v>
      </c>
      <c r="P1322" s="396">
        <v>16.100000000000001</v>
      </c>
      <c r="Q1322" s="397">
        <v>0.91180555555555598</v>
      </c>
      <c r="R1322" s="396"/>
      <c r="S1322" s="410"/>
      <c r="T1322" s="409"/>
      <c r="U1322" s="398" t="str">
        <f t="shared" si="59"/>
        <v/>
      </c>
      <c r="V1322" s="400"/>
      <c r="W1322" s="410">
        <f t="shared" si="58"/>
        <v>16.100000000000001</v>
      </c>
      <c r="X1322" s="472" t="str">
        <f t="shared" si="60"/>
        <v/>
      </c>
      <c r="AT1322" s="232"/>
      <c r="AV1322" s="198"/>
      <c r="AW1322" s="274"/>
    </row>
    <row r="1323" spans="2:49" x14ac:dyDescent="0.25">
      <c r="B1323" s="274">
        <v>17.399999999999999</v>
      </c>
      <c r="C1323" s="274">
        <v>75</v>
      </c>
      <c r="D1323" s="274">
        <v>17.399999999999999</v>
      </c>
      <c r="E1323" s="274">
        <v>0</v>
      </c>
      <c r="F1323" s="274">
        <v>0</v>
      </c>
      <c r="G1323" s="274">
        <v>284</v>
      </c>
      <c r="H1323" s="274">
        <v>1021.3</v>
      </c>
      <c r="I1323" s="274">
        <v>0</v>
      </c>
      <c r="J1323" s="274">
        <v>0</v>
      </c>
      <c r="K1323" s="274">
        <v>0</v>
      </c>
      <c r="L1323" s="274">
        <v>0</v>
      </c>
      <c r="M1323" s="274">
        <v>65.3</v>
      </c>
      <c r="N1323" s="396">
        <v>599.79999999999995</v>
      </c>
      <c r="O1323" s="396">
        <v>15.8</v>
      </c>
      <c r="P1323" s="396">
        <v>16</v>
      </c>
      <c r="Q1323" s="397">
        <v>0.91249999999999998</v>
      </c>
      <c r="R1323" s="396"/>
      <c r="S1323" s="410"/>
      <c r="T1323" s="409"/>
      <c r="U1323" s="398" t="str">
        <f t="shared" si="59"/>
        <v/>
      </c>
      <c r="V1323" s="400"/>
      <c r="W1323" s="410">
        <f t="shared" si="58"/>
        <v>16</v>
      </c>
      <c r="X1323" s="472" t="str">
        <f t="shared" si="60"/>
        <v/>
      </c>
      <c r="AT1323" s="232"/>
      <c r="AV1323" s="198"/>
      <c r="AW1323" s="274"/>
    </row>
    <row r="1324" spans="2:49" x14ac:dyDescent="0.25">
      <c r="B1324" s="274">
        <v>17.399999999999999</v>
      </c>
      <c r="C1324" s="274">
        <v>75</v>
      </c>
      <c r="D1324" s="274">
        <v>17.399999999999999</v>
      </c>
      <c r="E1324" s="274">
        <v>1.8</v>
      </c>
      <c r="F1324" s="274">
        <v>3.6</v>
      </c>
      <c r="G1324" s="274">
        <v>309</v>
      </c>
      <c r="H1324" s="274">
        <v>1021.6</v>
      </c>
      <c r="I1324" s="274">
        <v>0</v>
      </c>
      <c r="J1324" s="274">
        <v>0</v>
      </c>
      <c r="K1324" s="274">
        <v>0</v>
      </c>
      <c r="L1324" s="274">
        <v>0</v>
      </c>
      <c r="M1324" s="274">
        <v>65.3</v>
      </c>
      <c r="N1324" s="396">
        <v>599.79999999999995</v>
      </c>
      <c r="O1324" s="396">
        <v>15.8</v>
      </c>
      <c r="P1324" s="396">
        <v>16</v>
      </c>
      <c r="Q1324" s="397">
        <v>0.91319444444444497</v>
      </c>
      <c r="R1324" s="396"/>
      <c r="S1324" s="410"/>
      <c r="T1324" s="409"/>
      <c r="U1324" s="398" t="str">
        <f t="shared" si="59"/>
        <v/>
      </c>
      <c r="V1324" s="400"/>
      <c r="W1324" s="410">
        <f t="shared" si="58"/>
        <v>16</v>
      </c>
      <c r="X1324" s="472" t="str">
        <f t="shared" si="60"/>
        <v/>
      </c>
      <c r="AT1324" s="232"/>
      <c r="AV1324" s="198"/>
      <c r="AW1324" s="274"/>
    </row>
    <row r="1325" spans="2:49" x14ac:dyDescent="0.25">
      <c r="B1325" s="274">
        <v>17.399999999999999</v>
      </c>
      <c r="C1325" s="274">
        <v>75</v>
      </c>
      <c r="D1325" s="274">
        <v>17.399999999999999</v>
      </c>
      <c r="E1325" s="274">
        <v>0</v>
      </c>
      <c r="F1325" s="274">
        <v>0</v>
      </c>
      <c r="G1325" s="274">
        <v>310</v>
      </c>
      <c r="H1325" s="274">
        <v>1021.3</v>
      </c>
      <c r="I1325" s="274">
        <v>0</v>
      </c>
      <c r="J1325" s="274">
        <v>0</v>
      </c>
      <c r="K1325" s="274">
        <v>0</v>
      </c>
      <c r="L1325" s="274">
        <v>0</v>
      </c>
      <c r="M1325" s="274">
        <v>65.3</v>
      </c>
      <c r="N1325" s="396">
        <v>599.79999999999995</v>
      </c>
      <c r="O1325" s="396">
        <v>15.8</v>
      </c>
      <c r="P1325" s="396">
        <v>16</v>
      </c>
      <c r="Q1325" s="397">
        <v>0.91388888888888897</v>
      </c>
      <c r="R1325" s="396"/>
      <c r="S1325" s="410"/>
      <c r="T1325" s="409"/>
      <c r="U1325" s="398" t="str">
        <f t="shared" si="59"/>
        <v/>
      </c>
      <c r="V1325" s="400"/>
      <c r="W1325" s="410">
        <f t="shared" si="58"/>
        <v>16</v>
      </c>
      <c r="X1325" s="472" t="str">
        <f t="shared" si="60"/>
        <v/>
      </c>
      <c r="AT1325" s="232"/>
      <c r="AV1325" s="198"/>
      <c r="AW1325" s="274"/>
    </row>
    <row r="1326" spans="2:49" x14ac:dyDescent="0.25">
      <c r="B1326" s="274">
        <v>17.399999999999999</v>
      </c>
      <c r="C1326" s="274">
        <v>75</v>
      </c>
      <c r="D1326" s="274">
        <v>17.399999999999999</v>
      </c>
      <c r="E1326" s="274">
        <v>0</v>
      </c>
      <c r="F1326" s="274">
        <v>0</v>
      </c>
      <c r="G1326" s="274">
        <v>319</v>
      </c>
      <c r="H1326" s="274">
        <v>1021.4</v>
      </c>
      <c r="I1326" s="274">
        <v>0</v>
      </c>
      <c r="J1326" s="274">
        <v>0</v>
      </c>
      <c r="K1326" s="274">
        <v>0</v>
      </c>
      <c r="L1326" s="274">
        <v>0</v>
      </c>
      <c r="M1326" s="274">
        <v>65.3</v>
      </c>
      <c r="N1326" s="396">
        <v>599.79999999999995</v>
      </c>
      <c r="O1326" s="396">
        <v>15.8</v>
      </c>
      <c r="P1326" s="396">
        <v>16</v>
      </c>
      <c r="Q1326" s="397">
        <v>0.91458333333333297</v>
      </c>
      <c r="R1326" s="396"/>
      <c r="S1326" s="410"/>
      <c r="T1326" s="409"/>
      <c r="U1326" s="398" t="str">
        <f t="shared" si="59"/>
        <v/>
      </c>
      <c r="V1326" s="400"/>
      <c r="W1326" s="410">
        <f t="shared" si="58"/>
        <v>16</v>
      </c>
      <c r="X1326" s="472" t="str">
        <f t="shared" si="60"/>
        <v/>
      </c>
      <c r="AT1326" s="232"/>
      <c r="AV1326" s="198"/>
      <c r="AW1326" s="274"/>
    </row>
    <row r="1327" spans="2:49" x14ac:dyDescent="0.25">
      <c r="B1327" s="274">
        <v>17.399999999999999</v>
      </c>
      <c r="C1327" s="274">
        <v>75</v>
      </c>
      <c r="D1327" s="274">
        <v>17.399999999999999</v>
      </c>
      <c r="E1327" s="274">
        <v>1.4</v>
      </c>
      <c r="F1327" s="274">
        <v>1.8</v>
      </c>
      <c r="G1327" s="274">
        <v>320</v>
      </c>
      <c r="H1327" s="274">
        <v>1021.4</v>
      </c>
      <c r="I1327" s="274">
        <v>0</v>
      </c>
      <c r="J1327" s="274">
        <v>0</v>
      </c>
      <c r="K1327" s="274">
        <v>0</v>
      </c>
      <c r="L1327" s="274">
        <v>0</v>
      </c>
      <c r="M1327" s="274">
        <v>65.3</v>
      </c>
      <c r="N1327" s="396">
        <v>599.79999999999995</v>
      </c>
      <c r="O1327" s="396">
        <v>15.8</v>
      </c>
      <c r="P1327" s="396">
        <v>16</v>
      </c>
      <c r="Q1327" s="397">
        <v>0.91527777777777797</v>
      </c>
      <c r="R1327" s="396"/>
      <c r="S1327" s="410"/>
      <c r="T1327" s="409"/>
      <c r="U1327" s="398" t="str">
        <f t="shared" si="59"/>
        <v/>
      </c>
      <c r="V1327" s="400"/>
      <c r="W1327" s="410">
        <f t="shared" si="58"/>
        <v>16</v>
      </c>
      <c r="X1327" s="472" t="str">
        <f t="shared" si="60"/>
        <v/>
      </c>
      <c r="AT1327" s="232"/>
      <c r="AV1327" s="198"/>
      <c r="AW1327" s="274"/>
    </row>
    <row r="1328" spans="2:49" x14ac:dyDescent="0.25">
      <c r="B1328" s="274">
        <v>17.399999999999999</v>
      </c>
      <c r="C1328" s="274">
        <v>75</v>
      </c>
      <c r="D1328" s="274">
        <v>17.399999999999999</v>
      </c>
      <c r="E1328" s="274">
        <v>0.4</v>
      </c>
      <c r="F1328" s="274">
        <v>1.8</v>
      </c>
      <c r="G1328" s="274">
        <v>320</v>
      </c>
      <c r="H1328" s="274">
        <v>1021.2</v>
      </c>
      <c r="I1328" s="274">
        <v>0</v>
      </c>
      <c r="J1328" s="274">
        <v>0</v>
      </c>
      <c r="K1328" s="274">
        <v>0</v>
      </c>
      <c r="L1328" s="274">
        <v>0</v>
      </c>
      <c r="M1328" s="274">
        <v>65.3</v>
      </c>
      <c r="N1328" s="396">
        <v>599.79999999999995</v>
      </c>
      <c r="O1328" s="396">
        <v>15.8</v>
      </c>
      <c r="P1328" s="396">
        <v>16</v>
      </c>
      <c r="Q1328" s="397">
        <v>0.91597222222222197</v>
      </c>
      <c r="R1328" s="396"/>
      <c r="S1328" s="410"/>
      <c r="T1328" s="409"/>
      <c r="U1328" s="398" t="str">
        <f t="shared" si="59"/>
        <v/>
      </c>
      <c r="V1328" s="400"/>
      <c r="W1328" s="410">
        <f t="shared" si="58"/>
        <v>16</v>
      </c>
      <c r="X1328" s="472" t="str">
        <f t="shared" si="60"/>
        <v/>
      </c>
      <c r="AT1328" s="232"/>
      <c r="AV1328" s="198"/>
      <c r="AW1328" s="274"/>
    </row>
    <row r="1329" spans="2:49" x14ac:dyDescent="0.25">
      <c r="B1329" s="274">
        <v>17.399999999999999</v>
      </c>
      <c r="C1329" s="274">
        <v>75</v>
      </c>
      <c r="D1329" s="274">
        <v>17.399999999999999</v>
      </c>
      <c r="E1329" s="274">
        <v>0</v>
      </c>
      <c r="F1329" s="274">
        <v>0</v>
      </c>
      <c r="G1329" s="274">
        <v>320</v>
      </c>
      <c r="H1329" s="274">
        <v>1021.2</v>
      </c>
      <c r="I1329" s="274">
        <v>0</v>
      </c>
      <c r="J1329" s="274">
        <v>0</v>
      </c>
      <c r="K1329" s="274">
        <v>0</v>
      </c>
      <c r="L1329" s="274">
        <v>0</v>
      </c>
      <c r="M1329" s="274">
        <v>65.3</v>
      </c>
      <c r="N1329" s="396">
        <v>599.79999999999995</v>
      </c>
      <c r="O1329" s="396">
        <v>15.8</v>
      </c>
      <c r="P1329" s="396">
        <v>16</v>
      </c>
      <c r="Q1329" s="397">
        <v>0.91666666666666696</v>
      </c>
      <c r="R1329" s="396"/>
      <c r="S1329" s="410"/>
      <c r="T1329" s="409"/>
      <c r="U1329" s="398" t="str">
        <f t="shared" si="59"/>
        <v/>
      </c>
      <c r="V1329" s="400"/>
      <c r="W1329" s="410">
        <f t="shared" si="58"/>
        <v>16</v>
      </c>
      <c r="X1329" s="472" t="str">
        <f t="shared" si="60"/>
        <v/>
      </c>
      <c r="AT1329" s="232"/>
      <c r="AV1329" s="198"/>
      <c r="AW1329" s="274"/>
    </row>
    <row r="1330" spans="2:49" x14ac:dyDescent="0.25">
      <c r="B1330" s="274">
        <v>17.399999999999999</v>
      </c>
      <c r="C1330" s="274">
        <v>75</v>
      </c>
      <c r="D1330" s="274">
        <v>17.399999999999999</v>
      </c>
      <c r="E1330" s="274">
        <v>1.4</v>
      </c>
      <c r="F1330" s="274">
        <v>1.8</v>
      </c>
      <c r="G1330" s="274">
        <v>320</v>
      </c>
      <c r="H1330" s="274">
        <v>1021.4</v>
      </c>
      <c r="I1330" s="274">
        <v>0</v>
      </c>
      <c r="J1330" s="274">
        <v>0</v>
      </c>
      <c r="K1330" s="274">
        <v>0</v>
      </c>
      <c r="L1330" s="274">
        <v>0</v>
      </c>
      <c r="M1330" s="274">
        <v>65.3</v>
      </c>
      <c r="N1330" s="396">
        <v>599.79999999999995</v>
      </c>
      <c r="O1330" s="396">
        <v>15.7</v>
      </c>
      <c r="P1330" s="396">
        <v>16</v>
      </c>
      <c r="Q1330" s="397">
        <v>0.91736111111111096</v>
      </c>
      <c r="R1330" s="396"/>
      <c r="S1330" s="410"/>
      <c r="T1330" s="409"/>
      <c r="U1330" s="398" t="str">
        <f t="shared" si="59"/>
        <v/>
      </c>
      <c r="V1330" s="400"/>
      <c r="W1330" s="410">
        <f t="shared" si="58"/>
        <v>16</v>
      </c>
      <c r="X1330" s="472" t="str">
        <f t="shared" si="60"/>
        <v/>
      </c>
      <c r="AT1330" s="232"/>
      <c r="AV1330" s="198"/>
      <c r="AW1330" s="274"/>
    </row>
    <row r="1331" spans="2:49" x14ac:dyDescent="0.25">
      <c r="B1331" s="274">
        <v>17.399999999999999</v>
      </c>
      <c r="C1331" s="274">
        <v>75</v>
      </c>
      <c r="D1331" s="274">
        <v>17.399999999999999</v>
      </c>
      <c r="E1331" s="274">
        <v>1.8</v>
      </c>
      <c r="F1331" s="274">
        <v>1.8</v>
      </c>
      <c r="G1331" s="274">
        <v>334</v>
      </c>
      <c r="H1331" s="274">
        <v>1021.2</v>
      </c>
      <c r="I1331" s="274">
        <v>0</v>
      </c>
      <c r="J1331" s="274">
        <v>0</v>
      </c>
      <c r="K1331" s="274">
        <v>0</v>
      </c>
      <c r="L1331" s="274">
        <v>0</v>
      </c>
      <c r="M1331" s="274">
        <v>65.3</v>
      </c>
      <c r="N1331" s="396">
        <v>599.79999999999995</v>
      </c>
      <c r="O1331" s="396">
        <v>15.7</v>
      </c>
      <c r="P1331" s="396">
        <v>16</v>
      </c>
      <c r="Q1331" s="397">
        <v>0.91805555555555596</v>
      </c>
      <c r="R1331" s="396"/>
      <c r="S1331" s="410"/>
      <c r="T1331" s="409"/>
      <c r="U1331" s="398" t="str">
        <f t="shared" si="59"/>
        <v/>
      </c>
      <c r="V1331" s="400"/>
      <c r="W1331" s="410">
        <f t="shared" ref="W1331:W1394" si="61">MAX(O1331:P1331)</f>
        <v>16</v>
      </c>
      <c r="X1331" s="472" t="str">
        <f t="shared" si="60"/>
        <v/>
      </c>
      <c r="AT1331" s="232"/>
      <c r="AV1331" s="198"/>
      <c r="AW1331" s="274"/>
    </row>
    <row r="1332" spans="2:49" x14ac:dyDescent="0.25">
      <c r="B1332" s="274">
        <v>17.399999999999999</v>
      </c>
      <c r="C1332" s="274">
        <v>75</v>
      </c>
      <c r="D1332" s="274">
        <v>17.399999999999999</v>
      </c>
      <c r="E1332" s="274">
        <v>0.7</v>
      </c>
      <c r="F1332" s="274">
        <v>1.8</v>
      </c>
      <c r="G1332" s="274">
        <v>343</v>
      </c>
      <c r="H1332" s="274">
        <v>1021.4</v>
      </c>
      <c r="I1332" s="274">
        <v>0</v>
      </c>
      <c r="J1332" s="274">
        <v>0</v>
      </c>
      <c r="K1332" s="274">
        <v>0</v>
      </c>
      <c r="L1332" s="274">
        <v>0</v>
      </c>
      <c r="M1332" s="274">
        <v>65.3</v>
      </c>
      <c r="N1332" s="396">
        <v>599.79999999999995</v>
      </c>
      <c r="O1332" s="396">
        <v>15.7</v>
      </c>
      <c r="P1332" s="396">
        <v>16</v>
      </c>
      <c r="Q1332" s="397">
        <v>0.91874999999999996</v>
      </c>
      <c r="R1332" s="396"/>
      <c r="S1332" s="410"/>
      <c r="T1332" s="409"/>
      <c r="U1332" s="398" t="str">
        <f t="shared" si="59"/>
        <v/>
      </c>
      <c r="V1332" s="400"/>
      <c r="W1332" s="410">
        <f t="shared" si="61"/>
        <v>16</v>
      </c>
      <c r="X1332" s="472" t="str">
        <f t="shared" si="60"/>
        <v/>
      </c>
      <c r="AT1332" s="232"/>
      <c r="AV1332" s="198"/>
      <c r="AW1332" s="274"/>
    </row>
    <row r="1333" spans="2:49" x14ac:dyDescent="0.25">
      <c r="B1333" s="274">
        <v>17.399999999999999</v>
      </c>
      <c r="C1333" s="274">
        <v>75</v>
      </c>
      <c r="D1333" s="274">
        <v>17.399999999999999</v>
      </c>
      <c r="E1333" s="274">
        <v>0.4</v>
      </c>
      <c r="F1333" s="274">
        <v>1.8</v>
      </c>
      <c r="G1333" s="274">
        <v>343</v>
      </c>
      <c r="H1333" s="274">
        <v>1021.3</v>
      </c>
      <c r="I1333" s="274">
        <v>0</v>
      </c>
      <c r="J1333" s="274">
        <v>0</v>
      </c>
      <c r="K1333" s="274">
        <v>0</v>
      </c>
      <c r="L1333" s="274">
        <v>0</v>
      </c>
      <c r="M1333" s="274">
        <v>65.3</v>
      </c>
      <c r="N1333" s="396">
        <v>599.79999999999995</v>
      </c>
      <c r="O1333" s="396">
        <v>15.6</v>
      </c>
      <c r="P1333" s="396">
        <v>16</v>
      </c>
      <c r="Q1333" s="397">
        <v>0.91944444444444495</v>
      </c>
      <c r="R1333" s="396"/>
      <c r="S1333" s="410"/>
      <c r="T1333" s="409"/>
      <c r="U1333" s="398" t="str">
        <f t="shared" si="59"/>
        <v/>
      </c>
      <c r="V1333" s="400"/>
      <c r="W1333" s="410">
        <f t="shared" si="61"/>
        <v>16</v>
      </c>
      <c r="X1333" s="472" t="str">
        <f t="shared" si="60"/>
        <v/>
      </c>
      <c r="AT1333" s="232"/>
      <c r="AV1333" s="198"/>
      <c r="AW1333" s="274"/>
    </row>
    <row r="1334" spans="2:49" x14ac:dyDescent="0.25">
      <c r="B1334" s="274">
        <v>17.399999999999999</v>
      </c>
      <c r="C1334" s="274">
        <v>75</v>
      </c>
      <c r="D1334" s="274">
        <v>17.399999999999999</v>
      </c>
      <c r="E1334" s="274">
        <v>0</v>
      </c>
      <c r="F1334" s="274">
        <v>0</v>
      </c>
      <c r="G1334" s="274">
        <v>343</v>
      </c>
      <c r="H1334" s="274">
        <v>1021.2</v>
      </c>
      <c r="I1334" s="274">
        <v>0</v>
      </c>
      <c r="J1334" s="274">
        <v>0</v>
      </c>
      <c r="K1334" s="274">
        <v>0</v>
      </c>
      <c r="L1334" s="274">
        <v>0</v>
      </c>
      <c r="M1334" s="274">
        <v>65.3</v>
      </c>
      <c r="N1334" s="396">
        <v>599.79999999999995</v>
      </c>
      <c r="O1334" s="396">
        <v>15.7</v>
      </c>
      <c r="P1334" s="396">
        <v>16</v>
      </c>
      <c r="Q1334" s="397">
        <v>0.92013888888888895</v>
      </c>
      <c r="R1334" s="396"/>
      <c r="S1334" s="410"/>
      <c r="T1334" s="409"/>
      <c r="U1334" s="398" t="str">
        <f t="shared" si="59"/>
        <v/>
      </c>
      <c r="V1334" s="400"/>
      <c r="W1334" s="410">
        <f t="shared" si="61"/>
        <v>16</v>
      </c>
      <c r="X1334" s="472" t="str">
        <f t="shared" si="60"/>
        <v/>
      </c>
      <c r="AT1334" s="232"/>
      <c r="AV1334" s="198"/>
      <c r="AW1334" s="274"/>
    </row>
    <row r="1335" spans="2:49" x14ac:dyDescent="0.25">
      <c r="B1335" s="274">
        <v>17.399999999999999</v>
      </c>
      <c r="C1335" s="274">
        <v>75</v>
      </c>
      <c r="D1335" s="274">
        <v>17.399999999999999</v>
      </c>
      <c r="E1335" s="274">
        <v>1.8</v>
      </c>
      <c r="F1335" s="274">
        <v>1.8</v>
      </c>
      <c r="G1335" s="274">
        <v>344</v>
      </c>
      <c r="H1335" s="274">
        <v>1021.4</v>
      </c>
      <c r="I1335" s="274">
        <v>0</v>
      </c>
      <c r="J1335" s="274">
        <v>0</v>
      </c>
      <c r="K1335" s="274">
        <v>0</v>
      </c>
      <c r="L1335" s="274">
        <v>0</v>
      </c>
      <c r="M1335" s="274">
        <v>65.3</v>
      </c>
      <c r="N1335" s="396">
        <v>599.79999999999995</v>
      </c>
      <c r="O1335" s="396">
        <v>15.7</v>
      </c>
      <c r="P1335" s="396">
        <v>16</v>
      </c>
      <c r="Q1335" s="397">
        <v>0.92083333333333295</v>
      </c>
      <c r="R1335" s="396"/>
      <c r="S1335" s="410"/>
      <c r="T1335" s="409"/>
      <c r="U1335" s="398" t="str">
        <f t="shared" si="59"/>
        <v/>
      </c>
      <c r="V1335" s="400"/>
      <c r="W1335" s="410">
        <f t="shared" si="61"/>
        <v>16</v>
      </c>
      <c r="X1335" s="472" t="str">
        <f t="shared" si="60"/>
        <v/>
      </c>
      <c r="AT1335" s="232"/>
      <c r="AV1335" s="198"/>
      <c r="AW1335" s="274"/>
    </row>
    <row r="1336" spans="2:49" x14ac:dyDescent="0.25">
      <c r="B1336" s="274">
        <v>17.399999999999999</v>
      </c>
      <c r="C1336" s="274">
        <v>75</v>
      </c>
      <c r="D1336" s="274">
        <v>17.399999999999999</v>
      </c>
      <c r="E1336" s="274">
        <v>0.7</v>
      </c>
      <c r="F1336" s="274">
        <v>1.8</v>
      </c>
      <c r="G1336" s="274">
        <v>343</v>
      </c>
      <c r="H1336" s="274">
        <v>1021.5</v>
      </c>
      <c r="I1336" s="274">
        <v>0</v>
      </c>
      <c r="J1336" s="274">
        <v>0</v>
      </c>
      <c r="K1336" s="274">
        <v>0</v>
      </c>
      <c r="L1336" s="274">
        <v>0</v>
      </c>
      <c r="M1336" s="274">
        <v>65.3</v>
      </c>
      <c r="N1336" s="396">
        <v>599.79999999999995</v>
      </c>
      <c r="O1336" s="396">
        <v>15.7</v>
      </c>
      <c r="P1336" s="396">
        <v>16</v>
      </c>
      <c r="Q1336" s="397">
        <v>0.92152777777777795</v>
      </c>
      <c r="R1336" s="396"/>
      <c r="S1336" s="410"/>
      <c r="T1336" s="409"/>
      <c r="U1336" s="398" t="str">
        <f t="shared" si="59"/>
        <v/>
      </c>
      <c r="V1336" s="400"/>
      <c r="W1336" s="410">
        <f t="shared" si="61"/>
        <v>16</v>
      </c>
      <c r="X1336" s="472" t="str">
        <f t="shared" si="60"/>
        <v/>
      </c>
      <c r="AT1336" s="232"/>
      <c r="AV1336" s="198"/>
      <c r="AW1336" s="274"/>
    </row>
    <row r="1337" spans="2:49" x14ac:dyDescent="0.25">
      <c r="B1337" s="274">
        <v>17.399999999999999</v>
      </c>
      <c r="C1337" s="274">
        <v>75</v>
      </c>
      <c r="D1337" s="274">
        <v>17.399999999999999</v>
      </c>
      <c r="E1337" s="274">
        <v>1.4</v>
      </c>
      <c r="F1337" s="274">
        <v>1.8</v>
      </c>
      <c r="G1337" s="274">
        <v>344</v>
      </c>
      <c r="H1337" s="274">
        <v>1021.3</v>
      </c>
      <c r="I1337" s="274">
        <v>0</v>
      </c>
      <c r="J1337" s="274">
        <v>0</v>
      </c>
      <c r="K1337" s="274">
        <v>0</v>
      </c>
      <c r="L1337" s="274">
        <v>0</v>
      </c>
      <c r="M1337" s="274">
        <v>65.3</v>
      </c>
      <c r="N1337" s="396">
        <v>599.79999999999995</v>
      </c>
      <c r="O1337" s="396">
        <v>15.7</v>
      </c>
      <c r="P1337" s="396">
        <v>16</v>
      </c>
      <c r="Q1337" s="397">
        <v>0.92222222222222205</v>
      </c>
      <c r="R1337" s="396"/>
      <c r="S1337" s="410"/>
      <c r="T1337" s="409"/>
      <c r="U1337" s="398" t="str">
        <f t="shared" si="59"/>
        <v/>
      </c>
      <c r="V1337" s="400"/>
      <c r="W1337" s="410">
        <f t="shared" si="61"/>
        <v>16</v>
      </c>
      <c r="X1337" s="472" t="str">
        <f t="shared" si="60"/>
        <v/>
      </c>
      <c r="AT1337" s="232"/>
      <c r="AV1337" s="198"/>
      <c r="AW1337" s="274"/>
    </row>
    <row r="1338" spans="2:49" x14ac:dyDescent="0.25">
      <c r="B1338" s="274">
        <v>17.399999999999999</v>
      </c>
      <c r="C1338" s="274">
        <v>75</v>
      </c>
      <c r="D1338" s="274">
        <v>17.399999999999999</v>
      </c>
      <c r="E1338" s="274">
        <v>1.1000000000000001</v>
      </c>
      <c r="F1338" s="274">
        <v>1.8</v>
      </c>
      <c r="G1338" s="274">
        <v>343</v>
      </c>
      <c r="H1338" s="274">
        <v>1021.4</v>
      </c>
      <c r="I1338" s="274">
        <v>0</v>
      </c>
      <c r="J1338" s="274">
        <v>0</v>
      </c>
      <c r="K1338" s="274">
        <v>0</v>
      </c>
      <c r="L1338" s="274">
        <v>0</v>
      </c>
      <c r="M1338" s="274">
        <v>65.3</v>
      </c>
      <c r="N1338" s="396">
        <v>599.79999999999995</v>
      </c>
      <c r="O1338" s="396">
        <v>15.7</v>
      </c>
      <c r="P1338" s="396">
        <v>16</v>
      </c>
      <c r="Q1338" s="397">
        <v>0.92291666666666705</v>
      </c>
      <c r="R1338" s="396"/>
      <c r="S1338" s="410"/>
      <c r="T1338" s="409"/>
      <c r="U1338" s="398" t="str">
        <f t="shared" si="59"/>
        <v/>
      </c>
      <c r="V1338" s="400"/>
      <c r="W1338" s="410">
        <f t="shared" si="61"/>
        <v>16</v>
      </c>
      <c r="X1338" s="472" t="str">
        <f t="shared" si="60"/>
        <v/>
      </c>
      <c r="AT1338" s="232"/>
      <c r="AV1338" s="198"/>
      <c r="AW1338" s="274"/>
    </row>
    <row r="1339" spans="2:49" x14ac:dyDescent="0.25">
      <c r="B1339" s="274">
        <v>17.399999999999999</v>
      </c>
      <c r="C1339" s="274">
        <v>75</v>
      </c>
      <c r="D1339" s="274">
        <v>17.399999999999999</v>
      </c>
      <c r="E1339" s="274">
        <v>1.4</v>
      </c>
      <c r="F1339" s="274">
        <v>1.8</v>
      </c>
      <c r="G1339" s="274">
        <v>343</v>
      </c>
      <c r="H1339" s="274">
        <v>1021.5</v>
      </c>
      <c r="I1339" s="274">
        <v>0</v>
      </c>
      <c r="J1339" s="274">
        <v>0</v>
      </c>
      <c r="K1339" s="274">
        <v>0</v>
      </c>
      <c r="L1339" s="274">
        <v>0</v>
      </c>
      <c r="M1339" s="274">
        <v>65.3</v>
      </c>
      <c r="N1339" s="396">
        <v>599.79999999999995</v>
      </c>
      <c r="O1339" s="396">
        <v>15.7</v>
      </c>
      <c r="P1339" s="396">
        <v>15.9</v>
      </c>
      <c r="Q1339" s="397">
        <v>0.92361111111111105</v>
      </c>
      <c r="R1339" s="396"/>
      <c r="S1339" s="410"/>
      <c r="T1339" s="409"/>
      <c r="U1339" s="398" t="str">
        <f t="shared" si="59"/>
        <v/>
      </c>
      <c r="V1339" s="400"/>
      <c r="W1339" s="410">
        <f t="shared" si="61"/>
        <v>15.9</v>
      </c>
      <c r="X1339" s="472" t="str">
        <f t="shared" si="60"/>
        <v/>
      </c>
      <c r="AT1339" s="232"/>
      <c r="AV1339" s="198"/>
      <c r="AW1339" s="274"/>
    </row>
    <row r="1340" spans="2:49" x14ac:dyDescent="0.25">
      <c r="B1340" s="274">
        <v>17.399999999999999</v>
      </c>
      <c r="C1340" s="274">
        <v>75</v>
      </c>
      <c r="D1340" s="274">
        <v>17.399999999999999</v>
      </c>
      <c r="E1340" s="274">
        <v>0</v>
      </c>
      <c r="F1340" s="274">
        <v>0</v>
      </c>
      <c r="G1340" s="274">
        <v>343</v>
      </c>
      <c r="H1340" s="274">
        <v>1021.4</v>
      </c>
      <c r="I1340" s="274">
        <v>0</v>
      </c>
      <c r="J1340" s="274">
        <v>0</v>
      </c>
      <c r="K1340" s="274">
        <v>0</v>
      </c>
      <c r="L1340" s="274">
        <v>0</v>
      </c>
      <c r="M1340" s="274">
        <v>65.3</v>
      </c>
      <c r="N1340" s="396">
        <v>599.79999999999995</v>
      </c>
      <c r="O1340" s="396">
        <v>15.7</v>
      </c>
      <c r="P1340" s="396">
        <v>15.9</v>
      </c>
      <c r="Q1340" s="397">
        <v>0.92430555555555605</v>
      </c>
      <c r="R1340" s="396"/>
      <c r="S1340" s="410"/>
      <c r="T1340" s="409"/>
      <c r="U1340" s="398" t="str">
        <f t="shared" si="59"/>
        <v/>
      </c>
      <c r="V1340" s="400"/>
      <c r="W1340" s="410">
        <f t="shared" si="61"/>
        <v>15.9</v>
      </c>
      <c r="X1340" s="472" t="str">
        <f t="shared" si="60"/>
        <v/>
      </c>
      <c r="AT1340" s="232"/>
      <c r="AV1340" s="198"/>
      <c r="AW1340" s="274"/>
    </row>
    <row r="1341" spans="2:49" x14ac:dyDescent="0.25">
      <c r="B1341" s="274">
        <v>17.399999999999999</v>
      </c>
      <c r="C1341" s="274">
        <v>75</v>
      </c>
      <c r="D1341" s="274">
        <v>17.399999999999999</v>
      </c>
      <c r="E1341" s="274">
        <v>1.1000000000000001</v>
      </c>
      <c r="F1341" s="274">
        <v>1.8</v>
      </c>
      <c r="G1341" s="274">
        <v>343</v>
      </c>
      <c r="H1341" s="274">
        <v>1021.5</v>
      </c>
      <c r="I1341" s="274">
        <v>0</v>
      </c>
      <c r="J1341" s="274">
        <v>0</v>
      </c>
      <c r="K1341" s="274">
        <v>0</v>
      </c>
      <c r="L1341" s="274">
        <v>0</v>
      </c>
      <c r="M1341" s="274">
        <v>65.3</v>
      </c>
      <c r="N1341" s="396">
        <v>599.79999999999995</v>
      </c>
      <c r="O1341" s="396">
        <v>15.7</v>
      </c>
      <c r="P1341" s="396">
        <v>15.9</v>
      </c>
      <c r="Q1341" s="397">
        <v>0.92500000000000004</v>
      </c>
      <c r="R1341" s="396"/>
      <c r="S1341" s="410"/>
      <c r="T1341" s="409"/>
      <c r="U1341" s="398" t="str">
        <f t="shared" si="59"/>
        <v/>
      </c>
      <c r="V1341" s="400"/>
      <c r="W1341" s="410">
        <f t="shared" si="61"/>
        <v>15.9</v>
      </c>
      <c r="X1341" s="472" t="str">
        <f t="shared" si="60"/>
        <v/>
      </c>
      <c r="AT1341" s="232"/>
      <c r="AV1341" s="198"/>
      <c r="AW1341" s="274"/>
    </row>
    <row r="1342" spans="2:49" x14ac:dyDescent="0.25">
      <c r="B1342" s="274">
        <v>17.3</v>
      </c>
      <c r="C1342" s="274">
        <v>75</v>
      </c>
      <c r="D1342" s="274">
        <v>17.3</v>
      </c>
      <c r="E1342" s="274">
        <v>1.1000000000000001</v>
      </c>
      <c r="F1342" s="274">
        <v>1.8</v>
      </c>
      <c r="G1342" s="274">
        <v>343</v>
      </c>
      <c r="H1342" s="274">
        <v>1021.5</v>
      </c>
      <c r="I1342" s="274">
        <v>0</v>
      </c>
      <c r="J1342" s="274">
        <v>0</v>
      </c>
      <c r="K1342" s="274">
        <v>0</v>
      </c>
      <c r="L1342" s="274">
        <v>0</v>
      </c>
      <c r="M1342" s="274">
        <v>65.3</v>
      </c>
      <c r="N1342" s="396">
        <v>599.79999999999995</v>
      </c>
      <c r="O1342" s="396">
        <v>15.6</v>
      </c>
      <c r="P1342" s="396">
        <v>15.9</v>
      </c>
      <c r="Q1342" s="397">
        <v>0.92569444444444404</v>
      </c>
      <c r="R1342" s="396"/>
      <c r="S1342" s="410"/>
      <c r="T1342" s="409"/>
      <c r="U1342" s="398" t="str">
        <f t="shared" si="59"/>
        <v/>
      </c>
      <c r="V1342" s="400"/>
      <c r="W1342" s="410">
        <f t="shared" si="61"/>
        <v>15.9</v>
      </c>
      <c r="X1342" s="472" t="str">
        <f t="shared" si="60"/>
        <v/>
      </c>
      <c r="AT1342" s="232"/>
      <c r="AV1342" s="198"/>
      <c r="AW1342" s="274"/>
    </row>
    <row r="1343" spans="2:49" x14ac:dyDescent="0.25">
      <c r="B1343" s="274">
        <v>17.3</v>
      </c>
      <c r="C1343" s="274">
        <v>75</v>
      </c>
      <c r="D1343" s="274">
        <v>17.3</v>
      </c>
      <c r="E1343" s="274">
        <v>0.4</v>
      </c>
      <c r="F1343" s="274">
        <v>1.8</v>
      </c>
      <c r="G1343" s="274">
        <v>343</v>
      </c>
      <c r="H1343" s="274">
        <v>1021.5</v>
      </c>
      <c r="I1343" s="274">
        <v>0</v>
      </c>
      <c r="J1343" s="274">
        <v>0</v>
      </c>
      <c r="K1343" s="274">
        <v>0</v>
      </c>
      <c r="L1343" s="274">
        <v>0</v>
      </c>
      <c r="M1343" s="274">
        <v>65.3</v>
      </c>
      <c r="N1343" s="396">
        <v>599.79999999999995</v>
      </c>
      <c r="O1343" s="396">
        <v>15.6</v>
      </c>
      <c r="P1343" s="396">
        <v>15.8</v>
      </c>
      <c r="Q1343" s="397">
        <v>0.92638888888888904</v>
      </c>
      <c r="R1343" s="396"/>
      <c r="S1343" s="410"/>
      <c r="T1343" s="409"/>
      <c r="U1343" s="398" t="str">
        <f t="shared" si="59"/>
        <v/>
      </c>
      <c r="V1343" s="400"/>
      <c r="W1343" s="410">
        <f t="shared" si="61"/>
        <v>15.8</v>
      </c>
      <c r="X1343" s="472" t="str">
        <f t="shared" si="60"/>
        <v/>
      </c>
      <c r="AT1343" s="232"/>
      <c r="AV1343" s="198"/>
      <c r="AW1343" s="274"/>
    </row>
    <row r="1344" spans="2:49" x14ac:dyDescent="0.25">
      <c r="B1344" s="274">
        <v>17.3</v>
      </c>
      <c r="C1344" s="274">
        <v>75</v>
      </c>
      <c r="D1344" s="274">
        <v>17.3</v>
      </c>
      <c r="E1344" s="274">
        <v>0</v>
      </c>
      <c r="F1344" s="274">
        <v>0</v>
      </c>
      <c r="G1344" s="274">
        <v>343</v>
      </c>
      <c r="H1344" s="274">
        <v>1021.5</v>
      </c>
      <c r="I1344" s="274">
        <v>0</v>
      </c>
      <c r="J1344" s="274">
        <v>0</v>
      </c>
      <c r="K1344" s="274">
        <v>0</v>
      </c>
      <c r="L1344" s="274">
        <v>0</v>
      </c>
      <c r="M1344" s="274">
        <v>65.3</v>
      </c>
      <c r="N1344" s="396">
        <v>599.79999999999995</v>
      </c>
      <c r="O1344" s="396">
        <v>15.6</v>
      </c>
      <c r="P1344" s="396">
        <v>15.8</v>
      </c>
      <c r="Q1344" s="397">
        <v>0.92708333333333304</v>
      </c>
      <c r="R1344" s="396"/>
      <c r="S1344" s="410"/>
      <c r="T1344" s="409"/>
      <c r="U1344" s="398" t="str">
        <f t="shared" si="59"/>
        <v/>
      </c>
      <c r="V1344" s="400"/>
      <c r="W1344" s="410">
        <f t="shared" si="61"/>
        <v>15.8</v>
      </c>
      <c r="X1344" s="472" t="str">
        <f t="shared" si="60"/>
        <v/>
      </c>
      <c r="AT1344" s="232"/>
      <c r="AV1344" s="198"/>
      <c r="AW1344" s="274"/>
    </row>
    <row r="1345" spans="2:49" x14ac:dyDescent="0.25">
      <c r="B1345" s="274">
        <v>17.3</v>
      </c>
      <c r="C1345" s="274">
        <v>76</v>
      </c>
      <c r="D1345" s="274">
        <v>17.3</v>
      </c>
      <c r="E1345" s="274">
        <v>1.8</v>
      </c>
      <c r="F1345" s="274">
        <v>3.6</v>
      </c>
      <c r="G1345" s="274">
        <v>334</v>
      </c>
      <c r="H1345" s="274">
        <v>1021.4</v>
      </c>
      <c r="I1345" s="274">
        <v>0</v>
      </c>
      <c r="J1345" s="274">
        <v>0</v>
      </c>
      <c r="K1345" s="274">
        <v>0</v>
      </c>
      <c r="L1345" s="274">
        <v>0</v>
      </c>
      <c r="M1345" s="274">
        <v>65.3</v>
      </c>
      <c r="N1345" s="396">
        <v>599.79999999999995</v>
      </c>
      <c r="O1345" s="396">
        <v>15.6</v>
      </c>
      <c r="P1345" s="396">
        <v>15.8</v>
      </c>
      <c r="Q1345" s="397">
        <v>0.92777777777777803</v>
      </c>
      <c r="R1345" s="396"/>
      <c r="S1345" s="410"/>
      <c r="T1345" s="409"/>
      <c r="U1345" s="398" t="str">
        <f t="shared" si="59"/>
        <v/>
      </c>
      <c r="V1345" s="400"/>
      <c r="W1345" s="410">
        <f t="shared" si="61"/>
        <v>15.8</v>
      </c>
      <c r="X1345" s="472" t="str">
        <f t="shared" si="60"/>
        <v/>
      </c>
      <c r="AT1345" s="232"/>
      <c r="AV1345" s="198"/>
      <c r="AW1345" s="274"/>
    </row>
    <row r="1346" spans="2:49" x14ac:dyDescent="0.25">
      <c r="B1346" s="274">
        <v>17.3</v>
      </c>
      <c r="C1346" s="274">
        <v>76</v>
      </c>
      <c r="D1346" s="274">
        <v>17.3</v>
      </c>
      <c r="E1346" s="274">
        <v>0</v>
      </c>
      <c r="F1346" s="274">
        <v>0</v>
      </c>
      <c r="G1346" s="274">
        <v>335</v>
      </c>
      <c r="H1346" s="274">
        <v>1021.6</v>
      </c>
      <c r="I1346" s="274">
        <v>0</v>
      </c>
      <c r="J1346" s="274">
        <v>0</v>
      </c>
      <c r="K1346" s="274">
        <v>0</v>
      </c>
      <c r="L1346" s="274">
        <v>0</v>
      </c>
      <c r="M1346" s="274">
        <v>65.3</v>
      </c>
      <c r="N1346" s="396">
        <v>599.79999999999995</v>
      </c>
      <c r="O1346" s="396">
        <v>15.6</v>
      </c>
      <c r="P1346" s="396">
        <v>15.8</v>
      </c>
      <c r="Q1346" s="397">
        <v>0.92847222222222203</v>
      </c>
      <c r="R1346" s="396"/>
      <c r="S1346" s="410"/>
      <c r="T1346" s="409"/>
      <c r="U1346" s="398" t="str">
        <f t="shared" si="59"/>
        <v/>
      </c>
      <c r="V1346" s="400"/>
      <c r="W1346" s="410">
        <f t="shared" si="61"/>
        <v>15.8</v>
      </c>
      <c r="X1346" s="472" t="str">
        <f t="shared" si="60"/>
        <v/>
      </c>
      <c r="AT1346" s="232"/>
      <c r="AV1346" s="198"/>
      <c r="AW1346" s="274"/>
    </row>
    <row r="1347" spans="2:49" x14ac:dyDescent="0.25">
      <c r="B1347" s="274">
        <v>17.3</v>
      </c>
      <c r="C1347" s="274">
        <v>76</v>
      </c>
      <c r="D1347" s="274">
        <v>17.3</v>
      </c>
      <c r="E1347" s="274">
        <v>4</v>
      </c>
      <c r="F1347" s="274">
        <v>5.4</v>
      </c>
      <c r="G1347" s="274">
        <v>323</v>
      </c>
      <c r="H1347" s="274">
        <v>1021.4</v>
      </c>
      <c r="I1347" s="274">
        <v>0</v>
      </c>
      <c r="J1347" s="274">
        <v>0</v>
      </c>
      <c r="K1347" s="274">
        <v>0</v>
      </c>
      <c r="L1347" s="274">
        <v>0</v>
      </c>
      <c r="M1347" s="274">
        <v>65.3</v>
      </c>
      <c r="N1347" s="396">
        <v>599.79999999999995</v>
      </c>
      <c r="O1347" s="396">
        <v>15.6</v>
      </c>
      <c r="P1347" s="396">
        <v>15.8</v>
      </c>
      <c r="Q1347" s="397">
        <v>0.92916666666666703</v>
      </c>
      <c r="R1347" s="396"/>
      <c r="S1347" s="410"/>
      <c r="T1347" s="409"/>
      <c r="U1347" s="398" t="str">
        <f t="shared" si="59"/>
        <v/>
      </c>
      <c r="V1347" s="400"/>
      <c r="W1347" s="410">
        <f t="shared" si="61"/>
        <v>15.8</v>
      </c>
      <c r="X1347" s="472" t="str">
        <f t="shared" si="60"/>
        <v/>
      </c>
      <c r="AT1347" s="232"/>
      <c r="AV1347" s="198"/>
      <c r="AW1347" s="274"/>
    </row>
    <row r="1348" spans="2:49" x14ac:dyDescent="0.25">
      <c r="B1348" s="274">
        <v>17.3</v>
      </c>
      <c r="C1348" s="274">
        <v>76</v>
      </c>
      <c r="D1348" s="274">
        <v>17.3</v>
      </c>
      <c r="E1348" s="274">
        <v>2.2000000000000002</v>
      </c>
      <c r="F1348" s="274">
        <v>3.6</v>
      </c>
      <c r="G1348" s="274">
        <v>334</v>
      </c>
      <c r="H1348" s="274">
        <v>1021.4</v>
      </c>
      <c r="I1348" s="274">
        <v>0</v>
      </c>
      <c r="J1348" s="274">
        <v>0</v>
      </c>
      <c r="K1348" s="274">
        <v>0</v>
      </c>
      <c r="L1348" s="274">
        <v>0</v>
      </c>
      <c r="M1348" s="274">
        <v>65.3</v>
      </c>
      <c r="N1348" s="396">
        <v>599.79999999999995</v>
      </c>
      <c r="O1348" s="396">
        <v>15.6</v>
      </c>
      <c r="P1348" s="396">
        <v>15.8</v>
      </c>
      <c r="Q1348" s="397">
        <v>0.92986111111111103</v>
      </c>
      <c r="R1348" s="396"/>
      <c r="S1348" s="410"/>
      <c r="T1348" s="409"/>
      <c r="U1348" s="398" t="str">
        <f t="shared" si="59"/>
        <v/>
      </c>
      <c r="V1348" s="400"/>
      <c r="W1348" s="410">
        <f t="shared" si="61"/>
        <v>15.8</v>
      </c>
      <c r="X1348" s="472" t="str">
        <f t="shared" si="60"/>
        <v/>
      </c>
      <c r="AT1348" s="232"/>
      <c r="AV1348" s="198"/>
      <c r="AW1348" s="274"/>
    </row>
    <row r="1349" spans="2:49" x14ac:dyDescent="0.25">
      <c r="B1349" s="274">
        <v>17.3</v>
      </c>
      <c r="C1349" s="274">
        <v>76</v>
      </c>
      <c r="D1349" s="274">
        <v>17.3</v>
      </c>
      <c r="E1349" s="274">
        <v>1.4</v>
      </c>
      <c r="F1349" s="274">
        <v>1.8</v>
      </c>
      <c r="G1349" s="274">
        <v>324</v>
      </c>
      <c r="H1349" s="274">
        <v>1021.4</v>
      </c>
      <c r="I1349" s="274">
        <v>0</v>
      </c>
      <c r="J1349" s="274">
        <v>0</v>
      </c>
      <c r="K1349" s="274">
        <v>0</v>
      </c>
      <c r="L1349" s="274">
        <v>0</v>
      </c>
      <c r="M1349" s="274">
        <v>65.3</v>
      </c>
      <c r="N1349" s="396">
        <v>599.79999999999995</v>
      </c>
      <c r="O1349" s="396">
        <v>15.6</v>
      </c>
      <c r="P1349" s="396">
        <v>15.8</v>
      </c>
      <c r="Q1349" s="397">
        <v>0.93055555555555602</v>
      </c>
      <c r="R1349" s="396"/>
      <c r="S1349" s="410"/>
      <c r="T1349" s="409"/>
      <c r="U1349" s="398" t="str">
        <f t="shared" si="59"/>
        <v/>
      </c>
      <c r="V1349" s="400"/>
      <c r="W1349" s="410">
        <f t="shared" si="61"/>
        <v>15.8</v>
      </c>
      <c r="X1349" s="472" t="str">
        <f t="shared" si="60"/>
        <v/>
      </c>
      <c r="AT1349" s="232"/>
      <c r="AV1349" s="198"/>
      <c r="AW1349" s="274"/>
    </row>
    <row r="1350" spans="2:49" x14ac:dyDescent="0.25">
      <c r="B1350" s="274">
        <v>17.3</v>
      </c>
      <c r="C1350" s="274">
        <v>76</v>
      </c>
      <c r="D1350" s="274">
        <v>17.3</v>
      </c>
      <c r="E1350" s="274">
        <v>1.8</v>
      </c>
      <c r="F1350" s="274">
        <v>1.8</v>
      </c>
      <c r="G1350" s="274">
        <v>323</v>
      </c>
      <c r="H1350" s="274">
        <v>1021.6</v>
      </c>
      <c r="I1350" s="274">
        <v>0</v>
      </c>
      <c r="J1350" s="274">
        <v>0</v>
      </c>
      <c r="K1350" s="274">
        <v>0</v>
      </c>
      <c r="L1350" s="274">
        <v>0</v>
      </c>
      <c r="M1350" s="274">
        <v>65.3</v>
      </c>
      <c r="N1350" s="396">
        <v>599.79999999999995</v>
      </c>
      <c r="O1350" s="396">
        <v>15.6</v>
      </c>
      <c r="P1350" s="396">
        <v>15.8</v>
      </c>
      <c r="Q1350" s="397">
        <v>0.93125000000000002</v>
      </c>
      <c r="R1350" s="396"/>
      <c r="S1350" s="410"/>
      <c r="T1350" s="409"/>
      <c r="U1350" s="398" t="str">
        <f t="shared" si="59"/>
        <v/>
      </c>
      <c r="V1350" s="400"/>
      <c r="W1350" s="410">
        <f t="shared" si="61"/>
        <v>15.8</v>
      </c>
      <c r="X1350" s="472" t="str">
        <f t="shared" si="60"/>
        <v/>
      </c>
      <c r="AT1350" s="232"/>
      <c r="AV1350" s="198"/>
      <c r="AW1350" s="274"/>
    </row>
    <row r="1351" spans="2:49" x14ac:dyDescent="0.25">
      <c r="B1351" s="274">
        <v>17.2</v>
      </c>
      <c r="C1351" s="274">
        <v>76</v>
      </c>
      <c r="D1351" s="274">
        <v>17.2</v>
      </c>
      <c r="E1351" s="274">
        <v>1.4</v>
      </c>
      <c r="F1351" s="274">
        <v>3.6</v>
      </c>
      <c r="G1351" s="274">
        <v>323</v>
      </c>
      <c r="H1351" s="274">
        <v>1021.6</v>
      </c>
      <c r="I1351" s="274">
        <v>0</v>
      </c>
      <c r="J1351" s="274">
        <v>0</v>
      </c>
      <c r="K1351" s="274">
        <v>0</v>
      </c>
      <c r="L1351" s="274">
        <v>0</v>
      </c>
      <c r="M1351" s="274">
        <v>65.3</v>
      </c>
      <c r="N1351" s="396">
        <v>599.79999999999995</v>
      </c>
      <c r="O1351" s="396">
        <v>15.6</v>
      </c>
      <c r="P1351" s="396">
        <v>15.8</v>
      </c>
      <c r="Q1351" s="397">
        <v>0.93194444444444402</v>
      </c>
      <c r="R1351" s="396"/>
      <c r="S1351" s="410"/>
      <c r="T1351" s="409"/>
      <c r="U1351" s="398" t="str">
        <f t="shared" si="59"/>
        <v/>
      </c>
      <c r="V1351" s="400"/>
      <c r="W1351" s="410">
        <f t="shared" si="61"/>
        <v>15.8</v>
      </c>
      <c r="X1351" s="472" t="str">
        <f t="shared" si="60"/>
        <v/>
      </c>
      <c r="AT1351" s="232"/>
      <c r="AV1351" s="198"/>
      <c r="AW1351" s="274"/>
    </row>
    <row r="1352" spans="2:49" x14ac:dyDescent="0.25">
      <c r="B1352" s="274">
        <v>17.2</v>
      </c>
      <c r="C1352" s="274">
        <v>76</v>
      </c>
      <c r="D1352" s="274">
        <v>17.2</v>
      </c>
      <c r="E1352" s="274">
        <v>2.5</v>
      </c>
      <c r="F1352" s="274">
        <v>3.6</v>
      </c>
      <c r="G1352" s="274">
        <v>320</v>
      </c>
      <c r="H1352" s="274">
        <v>1021.4</v>
      </c>
      <c r="I1352" s="274">
        <v>0</v>
      </c>
      <c r="J1352" s="274">
        <v>0</v>
      </c>
      <c r="K1352" s="274">
        <v>0</v>
      </c>
      <c r="L1352" s="274">
        <v>0</v>
      </c>
      <c r="M1352" s="274">
        <v>65.3</v>
      </c>
      <c r="N1352" s="396">
        <v>599.79999999999995</v>
      </c>
      <c r="O1352" s="396">
        <v>15.6</v>
      </c>
      <c r="P1352" s="396">
        <v>15.8</v>
      </c>
      <c r="Q1352" s="397">
        <v>0.93263888888888902</v>
      </c>
      <c r="R1352" s="396"/>
      <c r="S1352" s="410"/>
      <c r="T1352" s="409"/>
      <c r="U1352" s="398" t="str">
        <f t="shared" si="59"/>
        <v/>
      </c>
      <c r="V1352" s="400"/>
      <c r="W1352" s="410">
        <f t="shared" si="61"/>
        <v>15.8</v>
      </c>
      <c r="X1352" s="472" t="str">
        <f t="shared" si="60"/>
        <v/>
      </c>
      <c r="AT1352" s="232"/>
      <c r="AV1352" s="198"/>
      <c r="AW1352" s="274"/>
    </row>
    <row r="1353" spans="2:49" x14ac:dyDescent="0.25">
      <c r="B1353" s="274">
        <v>17.2</v>
      </c>
      <c r="C1353" s="274">
        <v>76</v>
      </c>
      <c r="D1353" s="274">
        <v>17.2</v>
      </c>
      <c r="E1353" s="274">
        <v>0</v>
      </c>
      <c r="F1353" s="274">
        <v>0</v>
      </c>
      <c r="G1353" s="274">
        <v>336</v>
      </c>
      <c r="H1353" s="274">
        <v>1021.5</v>
      </c>
      <c r="I1353" s="274">
        <v>0</v>
      </c>
      <c r="J1353" s="274">
        <v>0</v>
      </c>
      <c r="K1353" s="274">
        <v>0</v>
      </c>
      <c r="L1353" s="274">
        <v>0</v>
      </c>
      <c r="M1353" s="274">
        <v>65.3</v>
      </c>
      <c r="N1353" s="396">
        <v>599.79999999999995</v>
      </c>
      <c r="O1353" s="396">
        <v>15.6</v>
      </c>
      <c r="P1353" s="396">
        <v>15.8</v>
      </c>
      <c r="Q1353" s="397">
        <v>0.93333333333333302</v>
      </c>
      <c r="R1353" s="396"/>
      <c r="S1353" s="410"/>
      <c r="T1353" s="409"/>
      <c r="U1353" s="398" t="str">
        <f t="shared" si="59"/>
        <v/>
      </c>
      <c r="V1353" s="400"/>
      <c r="W1353" s="410">
        <f t="shared" si="61"/>
        <v>15.8</v>
      </c>
      <c r="X1353" s="472" t="str">
        <f t="shared" si="60"/>
        <v/>
      </c>
      <c r="AT1353" s="232"/>
      <c r="AV1353" s="198"/>
      <c r="AW1353" s="274"/>
    </row>
    <row r="1354" spans="2:49" x14ac:dyDescent="0.25">
      <c r="B1354" s="274">
        <v>17.2</v>
      </c>
      <c r="C1354" s="274">
        <v>76</v>
      </c>
      <c r="D1354" s="274">
        <v>17.2</v>
      </c>
      <c r="E1354" s="274">
        <v>0</v>
      </c>
      <c r="F1354" s="274">
        <v>0</v>
      </c>
      <c r="G1354" s="274">
        <v>336</v>
      </c>
      <c r="H1354" s="274">
        <v>1021.3</v>
      </c>
      <c r="I1354" s="274">
        <v>0</v>
      </c>
      <c r="J1354" s="274">
        <v>0</v>
      </c>
      <c r="K1354" s="274">
        <v>0</v>
      </c>
      <c r="L1354" s="274">
        <v>0</v>
      </c>
      <c r="M1354" s="274">
        <v>65.3</v>
      </c>
      <c r="N1354" s="396">
        <v>599.79999999999995</v>
      </c>
      <c r="O1354" s="396">
        <v>15.6</v>
      </c>
      <c r="P1354" s="396">
        <v>15.8</v>
      </c>
      <c r="Q1354" s="397">
        <v>0.93402777777777801</v>
      </c>
      <c r="R1354" s="396"/>
      <c r="S1354" s="410"/>
      <c r="T1354" s="409"/>
      <c r="U1354" s="398" t="str">
        <f t="shared" si="59"/>
        <v/>
      </c>
      <c r="V1354" s="400"/>
      <c r="W1354" s="410">
        <f t="shared" si="61"/>
        <v>15.8</v>
      </c>
      <c r="X1354" s="472" t="str">
        <f t="shared" si="60"/>
        <v/>
      </c>
      <c r="AT1354" s="232"/>
      <c r="AV1354" s="198"/>
      <c r="AW1354" s="274"/>
    </row>
    <row r="1355" spans="2:49" x14ac:dyDescent="0.25">
      <c r="B1355" s="274">
        <v>17.2</v>
      </c>
      <c r="C1355" s="274">
        <v>76</v>
      </c>
      <c r="D1355" s="274">
        <v>17.2</v>
      </c>
      <c r="E1355" s="274">
        <v>0.7</v>
      </c>
      <c r="F1355" s="274">
        <v>1.8</v>
      </c>
      <c r="G1355" s="274">
        <v>294</v>
      </c>
      <c r="H1355" s="274">
        <v>1021.5</v>
      </c>
      <c r="I1355" s="274">
        <v>0</v>
      </c>
      <c r="J1355" s="274">
        <v>0</v>
      </c>
      <c r="K1355" s="274">
        <v>0</v>
      </c>
      <c r="L1355" s="274">
        <v>0</v>
      </c>
      <c r="M1355" s="274">
        <v>65.3</v>
      </c>
      <c r="N1355" s="396">
        <v>599.79999999999995</v>
      </c>
      <c r="O1355" s="396">
        <v>15.6</v>
      </c>
      <c r="P1355" s="396">
        <v>15.7</v>
      </c>
      <c r="Q1355" s="397">
        <v>0.93472222222222201</v>
      </c>
      <c r="R1355" s="396"/>
      <c r="S1355" s="410"/>
      <c r="T1355" s="409"/>
      <c r="U1355" s="398" t="str">
        <f t="shared" ref="U1355:U1418" si="62">IF(J1355&gt;0,60,"")</f>
        <v/>
      </c>
      <c r="V1355" s="400"/>
      <c r="W1355" s="410">
        <f t="shared" si="61"/>
        <v>15.7</v>
      </c>
      <c r="X1355" s="472" t="str">
        <f t="shared" si="60"/>
        <v/>
      </c>
      <c r="AT1355" s="232"/>
      <c r="AV1355" s="198"/>
      <c r="AW1355" s="274"/>
    </row>
    <row r="1356" spans="2:49" x14ac:dyDescent="0.25">
      <c r="B1356" s="274">
        <v>17.2</v>
      </c>
      <c r="C1356" s="274">
        <v>77</v>
      </c>
      <c r="D1356" s="274">
        <v>17.2</v>
      </c>
      <c r="E1356" s="274">
        <v>1.4</v>
      </c>
      <c r="F1356" s="274">
        <v>1.8</v>
      </c>
      <c r="G1356" s="274">
        <v>321</v>
      </c>
      <c r="H1356" s="274">
        <v>1021.5</v>
      </c>
      <c r="I1356" s="274">
        <v>0</v>
      </c>
      <c r="J1356" s="274">
        <v>0</v>
      </c>
      <c r="K1356" s="274">
        <v>0</v>
      </c>
      <c r="L1356" s="274">
        <v>0</v>
      </c>
      <c r="M1356" s="274">
        <v>65.3</v>
      </c>
      <c r="N1356" s="396">
        <v>599.79999999999995</v>
      </c>
      <c r="O1356" s="396">
        <v>15.5</v>
      </c>
      <c r="P1356" s="396">
        <v>15.7</v>
      </c>
      <c r="Q1356" s="397">
        <v>0.93541666666666701</v>
      </c>
      <c r="R1356" s="396"/>
      <c r="S1356" s="410"/>
      <c r="T1356" s="409"/>
      <c r="U1356" s="398" t="str">
        <f t="shared" si="62"/>
        <v/>
      </c>
      <c r="V1356" s="400"/>
      <c r="W1356" s="410">
        <f t="shared" si="61"/>
        <v>15.7</v>
      </c>
      <c r="X1356" s="472" t="str">
        <f t="shared" si="60"/>
        <v/>
      </c>
      <c r="AT1356" s="232"/>
      <c r="AV1356" s="198"/>
      <c r="AW1356" s="274"/>
    </row>
    <row r="1357" spans="2:49" x14ac:dyDescent="0.25">
      <c r="B1357" s="274">
        <v>17.100000000000001</v>
      </c>
      <c r="C1357" s="274">
        <v>77</v>
      </c>
      <c r="D1357" s="274">
        <v>17.100000000000001</v>
      </c>
      <c r="E1357" s="274">
        <v>1.8</v>
      </c>
      <c r="F1357" s="274">
        <v>1.8</v>
      </c>
      <c r="G1357" s="274">
        <v>321</v>
      </c>
      <c r="H1357" s="274">
        <v>1021.4</v>
      </c>
      <c r="I1357" s="274">
        <v>0</v>
      </c>
      <c r="J1357" s="274">
        <v>0</v>
      </c>
      <c r="K1357" s="274">
        <v>0</v>
      </c>
      <c r="L1357" s="274">
        <v>0</v>
      </c>
      <c r="M1357" s="274">
        <v>65.3</v>
      </c>
      <c r="N1357" s="396">
        <v>599.79999999999995</v>
      </c>
      <c r="O1357" s="396">
        <v>15.6</v>
      </c>
      <c r="P1357" s="396">
        <v>15.7</v>
      </c>
      <c r="Q1357" s="397">
        <v>0.93611111111111101</v>
      </c>
      <c r="R1357" s="396"/>
      <c r="S1357" s="410"/>
      <c r="T1357" s="409"/>
      <c r="U1357" s="398" t="str">
        <f t="shared" si="62"/>
        <v/>
      </c>
      <c r="V1357" s="400"/>
      <c r="W1357" s="410">
        <f t="shared" si="61"/>
        <v>15.7</v>
      </c>
      <c r="X1357" s="472" t="str">
        <f t="shared" si="60"/>
        <v/>
      </c>
      <c r="AT1357" s="232"/>
      <c r="AV1357" s="198"/>
      <c r="AW1357" s="274"/>
    </row>
    <row r="1358" spans="2:49" x14ac:dyDescent="0.25">
      <c r="B1358" s="274">
        <v>17.100000000000001</v>
      </c>
      <c r="C1358" s="274">
        <v>77</v>
      </c>
      <c r="D1358" s="274">
        <v>17.100000000000001</v>
      </c>
      <c r="E1358" s="274">
        <v>0</v>
      </c>
      <c r="F1358" s="274">
        <v>0</v>
      </c>
      <c r="G1358" s="274">
        <v>321</v>
      </c>
      <c r="H1358" s="274">
        <v>1021.7</v>
      </c>
      <c r="I1358" s="274">
        <v>0</v>
      </c>
      <c r="J1358" s="274">
        <v>0</v>
      </c>
      <c r="K1358" s="274">
        <v>0</v>
      </c>
      <c r="L1358" s="274">
        <v>0</v>
      </c>
      <c r="M1358" s="274">
        <v>65.3</v>
      </c>
      <c r="N1358" s="396">
        <v>599.79999999999995</v>
      </c>
      <c r="O1358" s="396">
        <v>15.5</v>
      </c>
      <c r="P1358" s="396">
        <v>15.7</v>
      </c>
      <c r="Q1358" s="397">
        <v>0.936805555555556</v>
      </c>
      <c r="R1358" s="396"/>
      <c r="S1358" s="410"/>
      <c r="T1358" s="409"/>
      <c r="U1358" s="398" t="str">
        <f t="shared" si="62"/>
        <v/>
      </c>
      <c r="V1358" s="400"/>
      <c r="W1358" s="410">
        <f t="shared" si="61"/>
        <v>15.7</v>
      </c>
      <c r="X1358" s="472" t="str">
        <f t="shared" si="60"/>
        <v/>
      </c>
      <c r="AT1358" s="232"/>
      <c r="AV1358" s="198"/>
      <c r="AW1358" s="274"/>
    </row>
    <row r="1359" spans="2:49" x14ac:dyDescent="0.25">
      <c r="B1359" s="274">
        <v>17.100000000000001</v>
      </c>
      <c r="C1359" s="274">
        <v>77</v>
      </c>
      <c r="D1359" s="274">
        <v>17.100000000000001</v>
      </c>
      <c r="E1359" s="274">
        <v>1.8</v>
      </c>
      <c r="F1359" s="274">
        <v>3.6</v>
      </c>
      <c r="G1359" s="274">
        <v>321</v>
      </c>
      <c r="H1359" s="274">
        <v>1021.5</v>
      </c>
      <c r="I1359" s="274">
        <v>0</v>
      </c>
      <c r="J1359" s="274">
        <v>0</v>
      </c>
      <c r="K1359" s="274">
        <v>0</v>
      </c>
      <c r="L1359" s="274">
        <v>0</v>
      </c>
      <c r="M1359" s="274">
        <v>65.3</v>
      </c>
      <c r="N1359" s="396">
        <v>599.79999999999995</v>
      </c>
      <c r="O1359" s="396">
        <v>15.5</v>
      </c>
      <c r="P1359" s="396">
        <v>15.7</v>
      </c>
      <c r="Q1359" s="397">
        <v>0.9375</v>
      </c>
      <c r="R1359" s="396"/>
      <c r="S1359" s="410"/>
      <c r="T1359" s="409"/>
      <c r="U1359" s="398" t="str">
        <f t="shared" si="62"/>
        <v/>
      </c>
      <c r="V1359" s="400"/>
      <c r="W1359" s="410">
        <f t="shared" si="61"/>
        <v>15.7</v>
      </c>
      <c r="X1359" s="472" t="str">
        <f t="shared" si="60"/>
        <v/>
      </c>
      <c r="AT1359" s="232"/>
      <c r="AV1359" s="198"/>
      <c r="AW1359" s="274"/>
    </row>
    <row r="1360" spans="2:49" x14ac:dyDescent="0.25">
      <c r="B1360" s="274">
        <v>17.100000000000001</v>
      </c>
      <c r="C1360" s="274">
        <v>77</v>
      </c>
      <c r="D1360" s="274">
        <v>17.100000000000001</v>
      </c>
      <c r="E1360" s="274">
        <v>4.3</v>
      </c>
      <c r="F1360" s="274">
        <v>5.4</v>
      </c>
      <c r="G1360" s="274">
        <v>335</v>
      </c>
      <c r="H1360" s="274">
        <v>1021.3</v>
      </c>
      <c r="I1360" s="274">
        <v>0</v>
      </c>
      <c r="J1360" s="274">
        <v>0</v>
      </c>
      <c r="K1360" s="274">
        <v>0</v>
      </c>
      <c r="L1360" s="274">
        <v>0</v>
      </c>
      <c r="M1360" s="274">
        <v>65.3</v>
      </c>
      <c r="N1360" s="396">
        <v>599.79999999999995</v>
      </c>
      <c r="O1360" s="396">
        <v>15.5</v>
      </c>
      <c r="P1360" s="396">
        <v>15.7</v>
      </c>
      <c r="Q1360" s="397">
        <v>0.938194444444444</v>
      </c>
      <c r="R1360" s="396"/>
      <c r="S1360" s="410"/>
      <c r="T1360" s="409"/>
      <c r="U1360" s="398" t="str">
        <f t="shared" si="62"/>
        <v/>
      </c>
      <c r="V1360" s="400"/>
      <c r="W1360" s="410">
        <f t="shared" si="61"/>
        <v>15.7</v>
      </c>
      <c r="X1360" s="472" t="str">
        <f t="shared" si="60"/>
        <v/>
      </c>
      <c r="AT1360" s="232"/>
      <c r="AV1360" s="198"/>
      <c r="AW1360" s="274"/>
    </row>
    <row r="1361" spans="2:49" x14ac:dyDescent="0.25">
      <c r="B1361" s="274">
        <v>17</v>
      </c>
      <c r="C1361" s="274">
        <v>77</v>
      </c>
      <c r="D1361" s="274">
        <v>17</v>
      </c>
      <c r="E1361" s="274">
        <v>0</v>
      </c>
      <c r="F1361" s="274">
        <v>0</v>
      </c>
      <c r="G1361" s="274">
        <v>337</v>
      </c>
      <c r="H1361" s="274">
        <v>1021.6</v>
      </c>
      <c r="I1361" s="274">
        <v>0</v>
      </c>
      <c r="J1361" s="274">
        <v>0</v>
      </c>
      <c r="K1361" s="274">
        <v>0</v>
      </c>
      <c r="L1361" s="274">
        <v>0</v>
      </c>
      <c r="M1361" s="274">
        <v>65.3</v>
      </c>
      <c r="N1361" s="396">
        <v>599.79999999999995</v>
      </c>
      <c r="O1361" s="396">
        <v>15.5</v>
      </c>
      <c r="P1361" s="396">
        <v>15.6</v>
      </c>
      <c r="Q1361" s="397">
        <v>0.93888888888888899</v>
      </c>
      <c r="R1361" s="396"/>
      <c r="S1361" s="410"/>
      <c r="T1361" s="409"/>
      <c r="U1361" s="398" t="str">
        <f t="shared" si="62"/>
        <v/>
      </c>
      <c r="V1361" s="400"/>
      <c r="W1361" s="410">
        <f t="shared" si="61"/>
        <v>15.6</v>
      </c>
      <c r="X1361" s="472" t="str">
        <f t="shared" ref="X1361:X1424" si="63">IF(W1361&gt;B1361+3,60,"")</f>
        <v/>
      </c>
      <c r="AT1361" s="232"/>
      <c r="AV1361" s="198"/>
      <c r="AW1361" s="274"/>
    </row>
    <row r="1362" spans="2:49" x14ac:dyDescent="0.25">
      <c r="B1362" s="274">
        <v>17</v>
      </c>
      <c r="C1362" s="274">
        <v>77</v>
      </c>
      <c r="D1362" s="274">
        <v>17</v>
      </c>
      <c r="E1362" s="274">
        <v>0</v>
      </c>
      <c r="F1362" s="274">
        <v>0</v>
      </c>
      <c r="G1362" s="274">
        <v>337</v>
      </c>
      <c r="H1362" s="274">
        <v>1021.3</v>
      </c>
      <c r="I1362" s="274">
        <v>0</v>
      </c>
      <c r="J1362" s="274">
        <v>0</v>
      </c>
      <c r="K1362" s="274">
        <v>0</v>
      </c>
      <c r="L1362" s="274">
        <v>0</v>
      </c>
      <c r="M1362" s="274">
        <v>65.3</v>
      </c>
      <c r="N1362" s="396">
        <v>599.79999999999995</v>
      </c>
      <c r="O1362" s="396">
        <v>15.5</v>
      </c>
      <c r="P1362" s="396">
        <v>15.6</v>
      </c>
      <c r="Q1362" s="397">
        <v>0.93958333333333299</v>
      </c>
      <c r="R1362" s="396"/>
      <c r="S1362" s="410"/>
      <c r="T1362" s="409"/>
      <c r="U1362" s="398" t="str">
        <f t="shared" si="62"/>
        <v/>
      </c>
      <c r="V1362" s="400"/>
      <c r="W1362" s="410">
        <f t="shared" si="61"/>
        <v>15.6</v>
      </c>
      <c r="X1362" s="472" t="str">
        <f t="shared" si="63"/>
        <v/>
      </c>
      <c r="AT1362" s="232"/>
      <c r="AV1362" s="198"/>
      <c r="AW1362" s="274"/>
    </row>
    <row r="1363" spans="2:49" x14ac:dyDescent="0.25">
      <c r="B1363" s="274">
        <v>17</v>
      </c>
      <c r="C1363" s="274">
        <v>77</v>
      </c>
      <c r="D1363" s="274">
        <v>17</v>
      </c>
      <c r="E1363" s="274">
        <v>0.4</v>
      </c>
      <c r="F1363" s="274">
        <v>1.8</v>
      </c>
      <c r="G1363" s="274">
        <v>335</v>
      </c>
      <c r="H1363" s="274">
        <v>1021.5</v>
      </c>
      <c r="I1363" s="274">
        <v>0</v>
      </c>
      <c r="J1363" s="274">
        <v>0</v>
      </c>
      <c r="K1363" s="274">
        <v>0</v>
      </c>
      <c r="L1363" s="274">
        <v>0</v>
      </c>
      <c r="M1363" s="274">
        <v>65.3</v>
      </c>
      <c r="N1363" s="396">
        <v>599.79999999999995</v>
      </c>
      <c r="O1363" s="396">
        <v>15.5</v>
      </c>
      <c r="P1363" s="396">
        <v>15.6</v>
      </c>
      <c r="Q1363" s="397">
        <v>0.94027777777777799</v>
      </c>
      <c r="R1363" s="396"/>
      <c r="S1363" s="410"/>
      <c r="T1363" s="409"/>
      <c r="U1363" s="398" t="str">
        <f t="shared" si="62"/>
        <v/>
      </c>
      <c r="V1363" s="400"/>
      <c r="W1363" s="410">
        <f t="shared" si="61"/>
        <v>15.6</v>
      </c>
      <c r="X1363" s="472" t="str">
        <f t="shared" si="63"/>
        <v/>
      </c>
      <c r="AT1363" s="232"/>
      <c r="AV1363" s="198"/>
      <c r="AW1363" s="274"/>
    </row>
    <row r="1364" spans="2:49" x14ac:dyDescent="0.25">
      <c r="B1364" s="274">
        <v>17</v>
      </c>
      <c r="C1364" s="274">
        <v>77</v>
      </c>
      <c r="D1364" s="274">
        <v>17</v>
      </c>
      <c r="E1364" s="274">
        <v>0</v>
      </c>
      <c r="F1364" s="274">
        <v>0</v>
      </c>
      <c r="G1364" s="274">
        <v>336</v>
      </c>
      <c r="H1364" s="274">
        <v>1021.4</v>
      </c>
      <c r="I1364" s="274">
        <v>0</v>
      </c>
      <c r="J1364" s="274">
        <v>0</v>
      </c>
      <c r="K1364" s="274">
        <v>0</v>
      </c>
      <c r="L1364" s="274">
        <v>0</v>
      </c>
      <c r="M1364" s="274">
        <v>65.3</v>
      </c>
      <c r="N1364" s="396">
        <v>599.79999999999995</v>
      </c>
      <c r="O1364" s="396">
        <v>15.5</v>
      </c>
      <c r="P1364" s="396">
        <v>15.5</v>
      </c>
      <c r="Q1364" s="397">
        <v>0.94097222222222199</v>
      </c>
      <c r="R1364" s="396"/>
      <c r="S1364" s="410"/>
      <c r="T1364" s="409"/>
      <c r="U1364" s="398" t="str">
        <f t="shared" si="62"/>
        <v/>
      </c>
      <c r="V1364" s="400"/>
      <c r="W1364" s="410">
        <f t="shared" si="61"/>
        <v>15.5</v>
      </c>
      <c r="X1364" s="472" t="str">
        <f t="shared" si="63"/>
        <v/>
      </c>
      <c r="AT1364" s="232"/>
      <c r="AV1364" s="198"/>
      <c r="AW1364" s="274"/>
    </row>
    <row r="1365" spans="2:49" x14ac:dyDescent="0.25">
      <c r="B1365" s="274">
        <v>16.899999999999999</v>
      </c>
      <c r="C1365" s="274">
        <v>77</v>
      </c>
      <c r="D1365" s="274">
        <v>16.899999999999999</v>
      </c>
      <c r="E1365" s="274">
        <v>0.4</v>
      </c>
      <c r="F1365" s="274">
        <v>1.8</v>
      </c>
      <c r="G1365" s="274">
        <v>320</v>
      </c>
      <c r="H1365" s="274">
        <v>1021.4</v>
      </c>
      <c r="I1365" s="274">
        <v>0</v>
      </c>
      <c r="J1365" s="274">
        <v>0</v>
      </c>
      <c r="K1365" s="274">
        <v>0</v>
      </c>
      <c r="L1365" s="274">
        <v>0</v>
      </c>
      <c r="M1365" s="274">
        <v>65.3</v>
      </c>
      <c r="N1365" s="396">
        <v>599.79999999999995</v>
      </c>
      <c r="O1365" s="396">
        <v>15.4</v>
      </c>
      <c r="P1365" s="396">
        <v>15.5</v>
      </c>
      <c r="Q1365" s="397">
        <v>0.94166666666666698</v>
      </c>
      <c r="R1365" s="396"/>
      <c r="S1365" s="410"/>
      <c r="T1365" s="409"/>
      <c r="U1365" s="398" t="str">
        <f t="shared" si="62"/>
        <v/>
      </c>
      <c r="V1365" s="400"/>
      <c r="W1365" s="410">
        <f t="shared" si="61"/>
        <v>15.5</v>
      </c>
      <c r="X1365" s="472" t="str">
        <f t="shared" si="63"/>
        <v/>
      </c>
      <c r="AT1365" s="232"/>
      <c r="AV1365" s="198"/>
      <c r="AW1365" s="274"/>
    </row>
    <row r="1366" spans="2:49" x14ac:dyDescent="0.25">
      <c r="B1366" s="274">
        <v>16.899999999999999</v>
      </c>
      <c r="C1366" s="274">
        <v>78</v>
      </c>
      <c r="D1366" s="274">
        <v>16.899999999999999</v>
      </c>
      <c r="E1366" s="274">
        <v>0</v>
      </c>
      <c r="F1366" s="274">
        <v>0</v>
      </c>
      <c r="G1366" s="274">
        <v>320</v>
      </c>
      <c r="H1366" s="274">
        <v>1021.4</v>
      </c>
      <c r="I1366" s="274">
        <v>0</v>
      </c>
      <c r="J1366" s="274">
        <v>0</v>
      </c>
      <c r="K1366" s="274">
        <v>0</v>
      </c>
      <c r="L1366" s="274">
        <v>0</v>
      </c>
      <c r="M1366" s="274">
        <v>65.3</v>
      </c>
      <c r="N1366" s="396">
        <v>599.79999999999995</v>
      </c>
      <c r="O1366" s="396">
        <v>15.4</v>
      </c>
      <c r="P1366" s="396">
        <v>15.5</v>
      </c>
      <c r="Q1366" s="397">
        <v>0.94236111111111098</v>
      </c>
      <c r="R1366" s="396"/>
      <c r="S1366" s="410"/>
      <c r="T1366" s="409"/>
      <c r="U1366" s="398" t="str">
        <f t="shared" si="62"/>
        <v/>
      </c>
      <c r="V1366" s="400"/>
      <c r="W1366" s="410">
        <f t="shared" si="61"/>
        <v>15.5</v>
      </c>
      <c r="X1366" s="472" t="str">
        <f t="shared" si="63"/>
        <v/>
      </c>
      <c r="AT1366" s="232"/>
      <c r="AV1366" s="198"/>
      <c r="AW1366" s="274"/>
    </row>
    <row r="1367" spans="2:49" x14ac:dyDescent="0.25">
      <c r="B1367" s="274">
        <v>16.899999999999999</v>
      </c>
      <c r="C1367" s="274">
        <v>78</v>
      </c>
      <c r="D1367" s="274">
        <v>16.899999999999999</v>
      </c>
      <c r="E1367" s="274">
        <v>0</v>
      </c>
      <c r="F1367" s="274">
        <v>0</v>
      </c>
      <c r="G1367" s="274">
        <v>320</v>
      </c>
      <c r="H1367" s="274">
        <v>1021.3</v>
      </c>
      <c r="I1367" s="274">
        <v>0</v>
      </c>
      <c r="J1367" s="274">
        <v>0</v>
      </c>
      <c r="K1367" s="274">
        <v>0</v>
      </c>
      <c r="L1367" s="274">
        <v>0</v>
      </c>
      <c r="M1367" s="274">
        <v>65.3</v>
      </c>
      <c r="N1367" s="396">
        <v>599.79999999999995</v>
      </c>
      <c r="O1367" s="396">
        <v>15.4</v>
      </c>
      <c r="P1367" s="396">
        <v>15.4</v>
      </c>
      <c r="Q1367" s="397">
        <v>0.94305555555555598</v>
      </c>
      <c r="R1367" s="396"/>
      <c r="S1367" s="410"/>
      <c r="T1367" s="409"/>
      <c r="U1367" s="398" t="str">
        <f t="shared" si="62"/>
        <v/>
      </c>
      <c r="V1367" s="400"/>
      <c r="W1367" s="410">
        <f t="shared" si="61"/>
        <v>15.4</v>
      </c>
      <c r="X1367" s="472" t="str">
        <f t="shared" si="63"/>
        <v/>
      </c>
      <c r="AT1367" s="232"/>
      <c r="AV1367" s="198"/>
      <c r="AW1367" s="274"/>
    </row>
    <row r="1368" spans="2:49" x14ac:dyDescent="0.25">
      <c r="B1368" s="274">
        <v>16.8</v>
      </c>
      <c r="C1368" s="274">
        <v>78</v>
      </c>
      <c r="D1368" s="274">
        <v>16.8</v>
      </c>
      <c r="E1368" s="274">
        <v>0.4</v>
      </c>
      <c r="F1368" s="274">
        <v>1.8</v>
      </c>
      <c r="G1368" s="274">
        <v>320</v>
      </c>
      <c r="H1368" s="274">
        <v>1021.3</v>
      </c>
      <c r="I1368" s="274">
        <v>0</v>
      </c>
      <c r="J1368" s="274">
        <v>0</v>
      </c>
      <c r="K1368" s="274">
        <v>0</v>
      </c>
      <c r="L1368" s="274">
        <v>0</v>
      </c>
      <c r="M1368" s="274">
        <v>65.3</v>
      </c>
      <c r="N1368" s="396">
        <v>599.79999999999995</v>
      </c>
      <c r="O1368" s="396">
        <v>15.4</v>
      </c>
      <c r="P1368" s="396">
        <v>15.4</v>
      </c>
      <c r="Q1368" s="397">
        <v>0.94374999999999998</v>
      </c>
      <c r="R1368" s="396"/>
      <c r="S1368" s="410"/>
      <c r="T1368" s="409"/>
      <c r="U1368" s="398" t="str">
        <f t="shared" si="62"/>
        <v/>
      </c>
      <c r="V1368" s="400"/>
      <c r="W1368" s="410">
        <f t="shared" si="61"/>
        <v>15.4</v>
      </c>
      <c r="X1368" s="472" t="str">
        <f t="shared" si="63"/>
        <v/>
      </c>
      <c r="AT1368" s="232"/>
      <c r="AV1368" s="198"/>
      <c r="AW1368" s="274"/>
    </row>
    <row r="1369" spans="2:49" x14ac:dyDescent="0.25">
      <c r="B1369" s="274">
        <v>16.8</v>
      </c>
      <c r="C1369" s="274">
        <v>78</v>
      </c>
      <c r="D1369" s="274">
        <v>16.8</v>
      </c>
      <c r="E1369" s="274">
        <v>0</v>
      </c>
      <c r="F1369" s="274">
        <v>0</v>
      </c>
      <c r="G1369" s="274">
        <v>320</v>
      </c>
      <c r="H1369" s="274">
        <v>1021.2</v>
      </c>
      <c r="I1369" s="274">
        <v>0</v>
      </c>
      <c r="J1369" s="274">
        <v>0</v>
      </c>
      <c r="K1369" s="274">
        <v>0</v>
      </c>
      <c r="L1369" s="274">
        <v>0</v>
      </c>
      <c r="M1369" s="274">
        <v>65.3</v>
      </c>
      <c r="N1369" s="396">
        <v>599.79999999999995</v>
      </c>
      <c r="O1369" s="396">
        <v>15.4</v>
      </c>
      <c r="P1369" s="396">
        <v>15.4</v>
      </c>
      <c r="Q1369" s="397">
        <v>0.94444444444444497</v>
      </c>
      <c r="R1369" s="396"/>
      <c r="S1369" s="410"/>
      <c r="T1369" s="409"/>
      <c r="U1369" s="398" t="str">
        <f t="shared" si="62"/>
        <v/>
      </c>
      <c r="V1369" s="400"/>
      <c r="W1369" s="410">
        <f t="shared" si="61"/>
        <v>15.4</v>
      </c>
      <c r="X1369" s="472" t="str">
        <f t="shared" si="63"/>
        <v/>
      </c>
      <c r="AT1369" s="232"/>
      <c r="AV1369" s="198"/>
      <c r="AW1369" s="274"/>
    </row>
    <row r="1370" spans="2:49" x14ac:dyDescent="0.25">
      <c r="B1370" s="274">
        <v>16.8</v>
      </c>
      <c r="C1370" s="274">
        <v>78</v>
      </c>
      <c r="D1370" s="274">
        <v>16.8</v>
      </c>
      <c r="E1370" s="274">
        <v>1.4</v>
      </c>
      <c r="F1370" s="274">
        <v>1.8</v>
      </c>
      <c r="G1370" s="274">
        <v>321</v>
      </c>
      <c r="H1370" s="274">
        <v>1021.3</v>
      </c>
      <c r="I1370" s="274">
        <v>0</v>
      </c>
      <c r="J1370" s="274">
        <v>0</v>
      </c>
      <c r="K1370" s="274">
        <v>0</v>
      </c>
      <c r="L1370" s="274">
        <v>0</v>
      </c>
      <c r="M1370" s="274">
        <v>65.3</v>
      </c>
      <c r="N1370" s="396">
        <v>599.79999999999995</v>
      </c>
      <c r="O1370" s="396">
        <v>15.4</v>
      </c>
      <c r="P1370" s="396">
        <v>15.4</v>
      </c>
      <c r="Q1370" s="397">
        <v>0.94513888888888897</v>
      </c>
      <c r="R1370" s="396"/>
      <c r="S1370" s="410"/>
      <c r="T1370" s="409"/>
      <c r="U1370" s="398" t="str">
        <f t="shared" si="62"/>
        <v/>
      </c>
      <c r="V1370" s="400"/>
      <c r="W1370" s="410">
        <f t="shared" si="61"/>
        <v>15.4</v>
      </c>
      <c r="X1370" s="472" t="str">
        <f t="shared" si="63"/>
        <v/>
      </c>
      <c r="AT1370" s="232"/>
      <c r="AV1370" s="198"/>
      <c r="AW1370" s="274"/>
    </row>
    <row r="1371" spans="2:49" x14ac:dyDescent="0.25">
      <c r="B1371" s="274">
        <v>16.7</v>
      </c>
      <c r="C1371" s="274">
        <v>78</v>
      </c>
      <c r="D1371" s="274">
        <v>16.7</v>
      </c>
      <c r="E1371" s="274">
        <v>1.4</v>
      </c>
      <c r="F1371" s="274">
        <v>1.8</v>
      </c>
      <c r="G1371" s="274">
        <v>321</v>
      </c>
      <c r="H1371" s="274">
        <v>1021.5</v>
      </c>
      <c r="I1371" s="274">
        <v>0</v>
      </c>
      <c r="J1371" s="274">
        <v>0</v>
      </c>
      <c r="K1371" s="274">
        <v>0</v>
      </c>
      <c r="L1371" s="274">
        <v>0</v>
      </c>
      <c r="M1371" s="274">
        <v>65.3</v>
      </c>
      <c r="N1371" s="396">
        <v>599.79999999999995</v>
      </c>
      <c r="O1371" s="396">
        <v>15.3</v>
      </c>
      <c r="P1371" s="396">
        <v>15.3</v>
      </c>
      <c r="Q1371" s="397">
        <v>0.94583333333333297</v>
      </c>
      <c r="R1371" s="396"/>
      <c r="S1371" s="410"/>
      <c r="T1371" s="409"/>
      <c r="U1371" s="398" t="str">
        <f t="shared" si="62"/>
        <v/>
      </c>
      <c r="V1371" s="400"/>
      <c r="W1371" s="410">
        <f t="shared" si="61"/>
        <v>15.3</v>
      </c>
      <c r="X1371" s="472" t="str">
        <f t="shared" si="63"/>
        <v/>
      </c>
      <c r="AT1371" s="232"/>
      <c r="AV1371" s="198"/>
      <c r="AW1371" s="274"/>
    </row>
    <row r="1372" spans="2:49" x14ac:dyDescent="0.25">
      <c r="B1372" s="274">
        <v>16.7</v>
      </c>
      <c r="C1372" s="274">
        <v>78</v>
      </c>
      <c r="D1372" s="274">
        <v>16.7</v>
      </c>
      <c r="E1372" s="274">
        <v>2.5</v>
      </c>
      <c r="F1372" s="274">
        <v>3.6</v>
      </c>
      <c r="G1372" s="274">
        <v>321</v>
      </c>
      <c r="H1372" s="274">
        <v>1021.4</v>
      </c>
      <c r="I1372" s="274">
        <v>0</v>
      </c>
      <c r="J1372" s="274">
        <v>0</v>
      </c>
      <c r="K1372" s="274">
        <v>0</v>
      </c>
      <c r="L1372" s="274">
        <v>0</v>
      </c>
      <c r="M1372" s="274">
        <v>65.3</v>
      </c>
      <c r="N1372" s="396">
        <v>599.79999999999995</v>
      </c>
      <c r="O1372" s="396">
        <v>15.3</v>
      </c>
      <c r="P1372" s="396">
        <v>15.3</v>
      </c>
      <c r="Q1372" s="397">
        <v>0.94652777777777797</v>
      </c>
      <c r="R1372" s="396"/>
      <c r="S1372" s="410"/>
      <c r="T1372" s="409"/>
      <c r="U1372" s="398" t="str">
        <f t="shared" si="62"/>
        <v/>
      </c>
      <c r="V1372" s="400"/>
      <c r="W1372" s="410">
        <f t="shared" si="61"/>
        <v>15.3</v>
      </c>
      <c r="X1372" s="472" t="str">
        <f t="shared" si="63"/>
        <v/>
      </c>
      <c r="AT1372" s="232"/>
      <c r="AV1372" s="198"/>
      <c r="AW1372" s="274"/>
    </row>
    <row r="1373" spans="2:49" x14ac:dyDescent="0.25">
      <c r="B1373" s="274">
        <v>16.7</v>
      </c>
      <c r="C1373" s="274">
        <v>78</v>
      </c>
      <c r="D1373" s="274">
        <v>16.7</v>
      </c>
      <c r="E1373" s="274">
        <v>0</v>
      </c>
      <c r="F1373" s="274">
        <v>0</v>
      </c>
      <c r="G1373" s="274">
        <v>321</v>
      </c>
      <c r="H1373" s="274">
        <v>1021.3</v>
      </c>
      <c r="I1373" s="274">
        <v>0</v>
      </c>
      <c r="J1373" s="274">
        <v>0</v>
      </c>
      <c r="K1373" s="274">
        <v>0</v>
      </c>
      <c r="L1373" s="274">
        <v>0</v>
      </c>
      <c r="M1373" s="274">
        <v>65.3</v>
      </c>
      <c r="N1373" s="396">
        <v>599.79999999999995</v>
      </c>
      <c r="O1373" s="396">
        <v>15.3</v>
      </c>
      <c r="P1373" s="396">
        <v>15.3</v>
      </c>
      <c r="Q1373" s="397">
        <v>0.94722222222222197</v>
      </c>
      <c r="R1373" s="396"/>
      <c r="S1373" s="410"/>
      <c r="T1373" s="409"/>
      <c r="U1373" s="398" t="str">
        <f t="shared" si="62"/>
        <v/>
      </c>
      <c r="V1373" s="400"/>
      <c r="W1373" s="410">
        <f t="shared" si="61"/>
        <v>15.3</v>
      </c>
      <c r="X1373" s="472" t="str">
        <f t="shared" si="63"/>
        <v/>
      </c>
      <c r="AT1373" s="232"/>
      <c r="AV1373" s="198"/>
      <c r="AW1373" s="274"/>
    </row>
    <row r="1374" spans="2:49" x14ac:dyDescent="0.25">
      <c r="B1374" s="274">
        <v>16.7</v>
      </c>
      <c r="C1374" s="274">
        <v>78</v>
      </c>
      <c r="D1374" s="274">
        <v>16.7</v>
      </c>
      <c r="E1374" s="274">
        <v>1.1000000000000001</v>
      </c>
      <c r="F1374" s="274">
        <v>1.8</v>
      </c>
      <c r="G1374" s="274">
        <v>321</v>
      </c>
      <c r="H1374" s="274">
        <v>1021.3</v>
      </c>
      <c r="I1374" s="274">
        <v>0</v>
      </c>
      <c r="J1374" s="274">
        <v>0</v>
      </c>
      <c r="K1374" s="274">
        <v>0</v>
      </c>
      <c r="L1374" s="274">
        <v>0</v>
      </c>
      <c r="M1374" s="274">
        <v>65.3</v>
      </c>
      <c r="N1374" s="396">
        <v>599.79999999999995</v>
      </c>
      <c r="O1374" s="396">
        <v>15.2</v>
      </c>
      <c r="P1374" s="396">
        <v>15.2</v>
      </c>
      <c r="Q1374" s="397">
        <v>0.94791666666666696</v>
      </c>
      <c r="R1374" s="396"/>
      <c r="S1374" s="410"/>
      <c r="T1374" s="409"/>
      <c r="U1374" s="398" t="str">
        <f t="shared" si="62"/>
        <v/>
      </c>
      <c r="V1374" s="400"/>
      <c r="W1374" s="410">
        <f t="shared" si="61"/>
        <v>15.2</v>
      </c>
      <c r="X1374" s="472" t="str">
        <f t="shared" si="63"/>
        <v/>
      </c>
      <c r="AT1374" s="232"/>
      <c r="AV1374" s="198"/>
      <c r="AW1374" s="274"/>
    </row>
    <row r="1375" spans="2:49" x14ac:dyDescent="0.25">
      <c r="B1375" s="274">
        <v>16.7</v>
      </c>
      <c r="C1375" s="274">
        <v>78</v>
      </c>
      <c r="D1375" s="274">
        <v>16.7</v>
      </c>
      <c r="E1375" s="274">
        <v>1.4</v>
      </c>
      <c r="F1375" s="274">
        <v>1.8</v>
      </c>
      <c r="G1375" s="274">
        <v>321</v>
      </c>
      <c r="H1375" s="274">
        <v>1021.4</v>
      </c>
      <c r="I1375" s="274">
        <v>0</v>
      </c>
      <c r="J1375" s="274">
        <v>0</v>
      </c>
      <c r="K1375" s="274">
        <v>0</v>
      </c>
      <c r="L1375" s="274">
        <v>0</v>
      </c>
      <c r="M1375" s="274">
        <v>65.3</v>
      </c>
      <c r="N1375" s="396">
        <v>599.79999999999995</v>
      </c>
      <c r="O1375" s="396">
        <v>15.2</v>
      </c>
      <c r="P1375" s="396">
        <v>15.2</v>
      </c>
      <c r="Q1375" s="397">
        <v>0.94861111111111096</v>
      </c>
      <c r="R1375" s="396"/>
      <c r="S1375" s="410"/>
      <c r="T1375" s="409"/>
      <c r="U1375" s="398" t="str">
        <f t="shared" si="62"/>
        <v/>
      </c>
      <c r="V1375" s="400"/>
      <c r="W1375" s="410">
        <f t="shared" si="61"/>
        <v>15.2</v>
      </c>
      <c r="X1375" s="472" t="str">
        <f t="shared" si="63"/>
        <v/>
      </c>
      <c r="AT1375" s="232"/>
      <c r="AV1375" s="198"/>
      <c r="AW1375" s="274"/>
    </row>
    <row r="1376" spans="2:49" x14ac:dyDescent="0.25">
      <c r="B1376" s="274">
        <v>16.7</v>
      </c>
      <c r="C1376" s="274">
        <v>79</v>
      </c>
      <c r="D1376" s="274">
        <v>16.7</v>
      </c>
      <c r="E1376" s="274">
        <v>0</v>
      </c>
      <c r="F1376" s="274">
        <v>0</v>
      </c>
      <c r="G1376" s="274">
        <v>338</v>
      </c>
      <c r="H1376" s="274">
        <v>1021.2</v>
      </c>
      <c r="I1376" s="274">
        <v>0</v>
      </c>
      <c r="J1376" s="274">
        <v>0</v>
      </c>
      <c r="K1376" s="274">
        <v>0</v>
      </c>
      <c r="L1376" s="274">
        <v>0</v>
      </c>
      <c r="M1376" s="274">
        <v>65.3</v>
      </c>
      <c r="N1376" s="396">
        <v>599.79999999999995</v>
      </c>
      <c r="O1376" s="396">
        <v>15.2</v>
      </c>
      <c r="P1376" s="396">
        <v>15.2</v>
      </c>
      <c r="Q1376" s="397">
        <v>0.94930555555555596</v>
      </c>
      <c r="R1376" s="396"/>
      <c r="S1376" s="410"/>
      <c r="T1376" s="409"/>
      <c r="U1376" s="398" t="str">
        <f t="shared" si="62"/>
        <v/>
      </c>
      <c r="V1376" s="400"/>
      <c r="W1376" s="410">
        <f t="shared" si="61"/>
        <v>15.2</v>
      </c>
      <c r="X1376" s="472" t="str">
        <f t="shared" si="63"/>
        <v/>
      </c>
      <c r="AT1376" s="232"/>
      <c r="AV1376" s="198"/>
      <c r="AW1376" s="274"/>
    </row>
    <row r="1377" spans="2:49" x14ac:dyDescent="0.25">
      <c r="B1377" s="274">
        <v>16.600000000000001</v>
      </c>
      <c r="C1377" s="274">
        <v>79</v>
      </c>
      <c r="D1377" s="274">
        <v>16.600000000000001</v>
      </c>
      <c r="E1377" s="274">
        <v>1.1000000000000001</v>
      </c>
      <c r="F1377" s="274">
        <v>1.8</v>
      </c>
      <c r="G1377" s="274">
        <v>338</v>
      </c>
      <c r="H1377" s="274">
        <v>1021.5</v>
      </c>
      <c r="I1377" s="274">
        <v>0</v>
      </c>
      <c r="J1377" s="274">
        <v>0</v>
      </c>
      <c r="K1377" s="274">
        <v>0</v>
      </c>
      <c r="L1377" s="274">
        <v>0</v>
      </c>
      <c r="M1377" s="274">
        <v>65.3</v>
      </c>
      <c r="N1377" s="396">
        <v>599.79999999999995</v>
      </c>
      <c r="O1377" s="396">
        <v>15.2</v>
      </c>
      <c r="P1377" s="396">
        <v>15.1</v>
      </c>
      <c r="Q1377" s="397">
        <v>0.95</v>
      </c>
      <c r="R1377" s="396"/>
      <c r="S1377" s="410"/>
      <c r="T1377" s="409"/>
      <c r="U1377" s="398" t="str">
        <f t="shared" si="62"/>
        <v/>
      </c>
      <c r="V1377" s="400"/>
      <c r="W1377" s="410">
        <f t="shared" si="61"/>
        <v>15.2</v>
      </c>
      <c r="X1377" s="472" t="str">
        <f t="shared" si="63"/>
        <v/>
      </c>
      <c r="AT1377" s="232"/>
      <c r="AV1377" s="198"/>
      <c r="AW1377" s="274"/>
    </row>
    <row r="1378" spans="2:49" x14ac:dyDescent="0.25">
      <c r="B1378" s="274">
        <v>16.600000000000001</v>
      </c>
      <c r="C1378" s="274">
        <v>79</v>
      </c>
      <c r="D1378" s="274">
        <v>16.600000000000001</v>
      </c>
      <c r="E1378" s="274">
        <v>2.2000000000000002</v>
      </c>
      <c r="F1378" s="274">
        <v>3.6</v>
      </c>
      <c r="G1378" s="274">
        <v>339</v>
      </c>
      <c r="H1378" s="274">
        <v>1021.2</v>
      </c>
      <c r="I1378" s="274">
        <v>0</v>
      </c>
      <c r="J1378" s="274">
        <v>0</v>
      </c>
      <c r="K1378" s="274">
        <v>0</v>
      </c>
      <c r="L1378" s="274">
        <v>0</v>
      </c>
      <c r="M1378" s="274">
        <v>65.3</v>
      </c>
      <c r="N1378" s="396">
        <v>599.79999999999995</v>
      </c>
      <c r="O1378" s="396">
        <v>15.2</v>
      </c>
      <c r="P1378" s="396">
        <v>15.1</v>
      </c>
      <c r="Q1378" s="397">
        <v>0.95069444444444495</v>
      </c>
      <c r="R1378" s="396"/>
      <c r="S1378" s="410"/>
      <c r="T1378" s="409"/>
      <c r="U1378" s="398" t="str">
        <f t="shared" si="62"/>
        <v/>
      </c>
      <c r="V1378" s="400"/>
      <c r="W1378" s="410">
        <f t="shared" si="61"/>
        <v>15.2</v>
      </c>
      <c r="X1378" s="472" t="str">
        <f t="shared" si="63"/>
        <v/>
      </c>
      <c r="AT1378" s="232"/>
      <c r="AV1378" s="198"/>
      <c r="AW1378" s="274"/>
    </row>
    <row r="1379" spans="2:49" x14ac:dyDescent="0.25">
      <c r="B1379" s="274">
        <v>16.600000000000001</v>
      </c>
      <c r="C1379" s="274">
        <v>79</v>
      </c>
      <c r="D1379" s="274">
        <v>16.600000000000001</v>
      </c>
      <c r="E1379" s="274">
        <v>1.4</v>
      </c>
      <c r="F1379" s="274">
        <v>3.6</v>
      </c>
      <c r="G1379" s="274">
        <v>339</v>
      </c>
      <c r="H1379" s="274">
        <v>1021.4</v>
      </c>
      <c r="I1379" s="274">
        <v>0</v>
      </c>
      <c r="J1379" s="274">
        <v>0</v>
      </c>
      <c r="K1379" s="274">
        <v>0</v>
      </c>
      <c r="L1379" s="274">
        <v>0</v>
      </c>
      <c r="M1379" s="274">
        <v>65.3</v>
      </c>
      <c r="N1379" s="396">
        <v>599.79999999999995</v>
      </c>
      <c r="O1379" s="396">
        <v>15.2</v>
      </c>
      <c r="P1379" s="396">
        <v>15.1</v>
      </c>
      <c r="Q1379" s="397">
        <v>0.95138888888888895</v>
      </c>
      <c r="R1379" s="396"/>
      <c r="S1379" s="410"/>
      <c r="T1379" s="409"/>
      <c r="U1379" s="398" t="str">
        <f t="shared" si="62"/>
        <v/>
      </c>
      <c r="V1379" s="400"/>
      <c r="W1379" s="410">
        <f t="shared" si="61"/>
        <v>15.2</v>
      </c>
      <c r="X1379" s="472" t="str">
        <f t="shared" si="63"/>
        <v/>
      </c>
      <c r="AT1379" s="232"/>
      <c r="AV1379" s="198"/>
      <c r="AW1379" s="274"/>
    </row>
    <row r="1380" spans="2:49" x14ac:dyDescent="0.25">
      <c r="B1380" s="274">
        <v>16.5</v>
      </c>
      <c r="C1380" s="274">
        <v>79</v>
      </c>
      <c r="D1380" s="274">
        <v>16.5</v>
      </c>
      <c r="E1380" s="274">
        <v>1.8</v>
      </c>
      <c r="F1380" s="274">
        <v>3.6</v>
      </c>
      <c r="G1380" s="274">
        <v>339</v>
      </c>
      <c r="H1380" s="274">
        <v>1021.4</v>
      </c>
      <c r="I1380" s="274">
        <v>0</v>
      </c>
      <c r="J1380" s="274">
        <v>0</v>
      </c>
      <c r="K1380" s="274">
        <v>0</v>
      </c>
      <c r="L1380" s="274">
        <v>0</v>
      </c>
      <c r="M1380" s="274">
        <v>65.3</v>
      </c>
      <c r="N1380" s="396">
        <v>599.79999999999995</v>
      </c>
      <c r="O1380" s="396">
        <v>15.1</v>
      </c>
      <c r="P1380" s="396">
        <v>15.1</v>
      </c>
      <c r="Q1380" s="397">
        <v>0.95208333333333295</v>
      </c>
      <c r="R1380" s="396"/>
      <c r="S1380" s="410"/>
      <c r="T1380" s="409"/>
      <c r="U1380" s="398" t="str">
        <f t="shared" si="62"/>
        <v/>
      </c>
      <c r="V1380" s="400"/>
      <c r="W1380" s="410">
        <f t="shared" si="61"/>
        <v>15.1</v>
      </c>
      <c r="X1380" s="472" t="str">
        <f t="shared" si="63"/>
        <v/>
      </c>
      <c r="AT1380" s="232"/>
      <c r="AV1380" s="198"/>
      <c r="AW1380" s="274"/>
    </row>
    <row r="1381" spans="2:49" x14ac:dyDescent="0.25">
      <c r="B1381" s="274">
        <v>16.5</v>
      </c>
      <c r="C1381" s="274">
        <v>79</v>
      </c>
      <c r="D1381" s="274">
        <v>16.5</v>
      </c>
      <c r="E1381" s="274">
        <v>1.4</v>
      </c>
      <c r="F1381" s="274">
        <v>1.8</v>
      </c>
      <c r="G1381" s="274">
        <v>339</v>
      </c>
      <c r="H1381" s="274">
        <v>1021.5</v>
      </c>
      <c r="I1381" s="274">
        <v>0</v>
      </c>
      <c r="J1381" s="274">
        <v>0</v>
      </c>
      <c r="K1381" s="274">
        <v>0</v>
      </c>
      <c r="L1381" s="274">
        <v>0</v>
      </c>
      <c r="M1381" s="274">
        <v>65.3</v>
      </c>
      <c r="N1381" s="396">
        <v>599.79999999999995</v>
      </c>
      <c r="O1381" s="396">
        <v>15.1</v>
      </c>
      <c r="P1381" s="396">
        <v>15</v>
      </c>
      <c r="Q1381" s="397">
        <v>0.95277777777777795</v>
      </c>
      <c r="R1381" s="396"/>
      <c r="S1381" s="410"/>
      <c r="T1381" s="409"/>
      <c r="U1381" s="398" t="str">
        <f t="shared" si="62"/>
        <v/>
      </c>
      <c r="V1381" s="400"/>
      <c r="W1381" s="410">
        <f t="shared" si="61"/>
        <v>15.1</v>
      </c>
      <c r="X1381" s="472" t="str">
        <f t="shared" si="63"/>
        <v/>
      </c>
      <c r="AT1381" s="232"/>
      <c r="AV1381" s="198"/>
      <c r="AW1381" s="274"/>
    </row>
    <row r="1382" spans="2:49" x14ac:dyDescent="0.25">
      <c r="B1382" s="274">
        <v>16.5</v>
      </c>
      <c r="C1382" s="274">
        <v>79</v>
      </c>
      <c r="D1382" s="274">
        <v>16.5</v>
      </c>
      <c r="E1382" s="274">
        <v>1.8</v>
      </c>
      <c r="F1382" s="274">
        <v>1.8</v>
      </c>
      <c r="G1382" s="274">
        <v>342</v>
      </c>
      <c r="H1382" s="274">
        <v>1021.5</v>
      </c>
      <c r="I1382" s="274">
        <v>0</v>
      </c>
      <c r="J1382" s="274">
        <v>0</v>
      </c>
      <c r="K1382" s="274">
        <v>0</v>
      </c>
      <c r="L1382" s="274">
        <v>0</v>
      </c>
      <c r="M1382" s="274">
        <v>65.3</v>
      </c>
      <c r="N1382" s="396">
        <v>599.79999999999995</v>
      </c>
      <c r="O1382" s="396">
        <v>15.1</v>
      </c>
      <c r="P1382" s="396">
        <v>15.1</v>
      </c>
      <c r="Q1382" s="397">
        <v>0.95347222222222205</v>
      </c>
      <c r="R1382" s="396"/>
      <c r="S1382" s="410"/>
      <c r="T1382" s="409"/>
      <c r="U1382" s="398" t="str">
        <f t="shared" si="62"/>
        <v/>
      </c>
      <c r="V1382" s="400"/>
      <c r="W1382" s="410">
        <f t="shared" si="61"/>
        <v>15.1</v>
      </c>
      <c r="X1382" s="472" t="str">
        <f t="shared" si="63"/>
        <v/>
      </c>
      <c r="AT1382" s="232"/>
      <c r="AV1382" s="198"/>
      <c r="AW1382" s="274"/>
    </row>
    <row r="1383" spans="2:49" x14ac:dyDescent="0.25">
      <c r="B1383" s="274">
        <v>16.5</v>
      </c>
      <c r="C1383" s="274">
        <v>79</v>
      </c>
      <c r="D1383" s="274">
        <v>16.5</v>
      </c>
      <c r="E1383" s="274">
        <v>1.4</v>
      </c>
      <c r="F1383" s="274">
        <v>1.8</v>
      </c>
      <c r="G1383" s="274">
        <v>341</v>
      </c>
      <c r="H1383" s="274">
        <v>1021.2</v>
      </c>
      <c r="I1383" s="274">
        <v>0</v>
      </c>
      <c r="J1383" s="274">
        <v>0</v>
      </c>
      <c r="K1383" s="274">
        <v>0</v>
      </c>
      <c r="L1383" s="274">
        <v>0</v>
      </c>
      <c r="M1383" s="274">
        <v>65.3</v>
      </c>
      <c r="N1383" s="396">
        <v>599.79999999999995</v>
      </c>
      <c r="O1383" s="396">
        <v>15.1</v>
      </c>
      <c r="P1383" s="396">
        <v>15</v>
      </c>
      <c r="Q1383" s="397">
        <v>0.95416666666666705</v>
      </c>
      <c r="R1383" s="396"/>
      <c r="S1383" s="410"/>
      <c r="T1383" s="409"/>
      <c r="U1383" s="398" t="str">
        <f t="shared" si="62"/>
        <v/>
      </c>
      <c r="V1383" s="400"/>
      <c r="W1383" s="410">
        <f t="shared" si="61"/>
        <v>15.1</v>
      </c>
      <c r="X1383" s="472" t="str">
        <f t="shared" si="63"/>
        <v/>
      </c>
      <c r="AT1383" s="232"/>
      <c r="AV1383" s="198"/>
      <c r="AW1383" s="274"/>
    </row>
    <row r="1384" spans="2:49" x14ac:dyDescent="0.25">
      <c r="B1384" s="274">
        <v>16.5</v>
      </c>
      <c r="C1384" s="274">
        <v>79</v>
      </c>
      <c r="D1384" s="274">
        <v>16.5</v>
      </c>
      <c r="E1384" s="274">
        <v>1.1000000000000001</v>
      </c>
      <c r="F1384" s="274">
        <v>1.8</v>
      </c>
      <c r="G1384" s="274">
        <v>341</v>
      </c>
      <c r="H1384" s="274">
        <v>1021.2</v>
      </c>
      <c r="I1384" s="274">
        <v>0</v>
      </c>
      <c r="J1384" s="274">
        <v>0</v>
      </c>
      <c r="K1384" s="274">
        <v>0</v>
      </c>
      <c r="L1384" s="274">
        <v>0</v>
      </c>
      <c r="M1384" s="274">
        <v>65.3</v>
      </c>
      <c r="N1384" s="396">
        <v>599.79999999999995</v>
      </c>
      <c r="O1384" s="396">
        <v>15.1</v>
      </c>
      <c r="P1384" s="396">
        <v>15</v>
      </c>
      <c r="Q1384" s="397">
        <v>0.95486111111111105</v>
      </c>
      <c r="R1384" s="396"/>
      <c r="S1384" s="410"/>
      <c r="T1384" s="409"/>
      <c r="U1384" s="398" t="str">
        <f t="shared" si="62"/>
        <v/>
      </c>
      <c r="V1384" s="400"/>
      <c r="W1384" s="410">
        <f t="shared" si="61"/>
        <v>15.1</v>
      </c>
      <c r="X1384" s="472" t="str">
        <f t="shared" si="63"/>
        <v/>
      </c>
      <c r="AT1384" s="232"/>
      <c r="AV1384" s="198"/>
      <c r="AW1384" s="274"/>
    </row>
    <row r="1385" spans="2:49" x14ac:dyDescent="0.25">
      <c r="B1385" s="274">
        <v>16.399999999999999</v>
      </c>
      <c r="C1385" s="274">
        <v>79</v>
      </c>
      <c r="D1385" s="274">
        <v>16.399999999999999</v>
      </c>
      <c r="E1385" s="274">
        <v>1.1000000000000001</v>
      </c>
      <c r="F1385" s="274">
        <v>1.8</v>
      </c>
      <c r="G1385" s="274">
        <v>340</v>
      </c>
      <c r="H1385" s="274">
        <v>1021.3</v>
      </c>
      <c r="I1385" s="274">
        <v>0</v>
      </c>
      <c r="J1385" s="274">
        <v>0</v>
      </c>
      <c r="K1385" s="274">
        <v>0</v>
      </c>
      <c r="L1385" s="274">
        <v>0</v>
      </c>
      <c r="M1385" s="274">
        <v>65.3</v>
      </c>
      <c r="N1385" s="396">
        <v>599.79999999999995</v>
      </c>
      <c r="O1385" s="396">
        <v>15.1</v>
      </c>
      <c r="P1385" s="396">
        <v>15</v>
      </c>
      <c r="Q1385" s="397">
        <v>0.95555555555555605</v>
      </c>
      <c r="R1385" s="396"/>
      <c r="S1385" s="410"/>
      <c r="T1385" s="409"/>
      <c r="U1385" s="398" t="str">
        <f t="shared" si="62"/>
        <v/>
      </c>
      <c r="V1385" s="400"/>
      <c r="W1385" s="410">
        <f t="shared" si="61"/>
        <v>15.1</v>
      </c>
      <c r="X1385" s="472" t="str">
        <f t="shared" si="63"/>
        <v/>
      </c>
      <c r="AT1385" s="232"/>
      <c r="AV1385" s="198"/>
      <c r="AW1385" s="274"/>
    </row>
    <row r="1386" spans="2:49" x14ac:dyDescent="0.25">
      <c r="B1386" s="274">
        <v>16.399999999999999</v>
      </c>
      <c r="C1386" s="274">
        <v>80</v>
      </c>
      <c r="D1386" s="274">
        <v>16.399999999999999</v>
      </c>
      <c r="E1386" s="274">
        <v>1.8</v>
      </c>
      <c r="F1386" s="274">
        <v>1.8</v>
      </c>
      <c r="G1386" s="274">
        <v>341</v>
      </c>
      <c r="H1386" s="274">
        <v>1021.4</v>
      </c>
      <c r="I1386" s="274">
        <v>0</v>
      </c>
      <c r="J1386" s="274">
        <v>0</v>
      </c>
      <c r="K1386" s="274">
        <v>0</v>
      </c>
      <c r="L1386" s="274">
        <v>0</v>
      </c>
      <c r="M1386" s="274">
        <v>65.3</v>
      </c>
      <c r="N1386" s="396">
        <v>599.79999999999995</v>
      </c>
      <c r="O1386" s="396">
        <v>15</v>
      </c>
      <c r="P1386" s="396">
        <v>15</v>
      </c>
      <c r="Q1386" s="397">
        <v>0.95625000000000004</v>
      </c>
      <c r="R1386" s="396"/>
      <c r="S1386" s="410"/>
      <c r="T1386" s="409"/>
      <c r="U1386" s="398" t="str">
        <f t="shared" si="62"/>
        <v/>
      </c>
      <c r="V1386" s="400"/>
      <c r="W1386" s="410">
        <f t="shared" si="61"/>
        <v>15</v>
      </c>
      <c r="X1386" s="472" t="str">
        <f t="shared" si="63"/>
        <v/>
      </c>
      <c r="AT1386" s="232"/>
      <c r="AV1386" s="198"/>
      <c r="AW1386" s="274"/>
    </row>
    <row r="1387" spans="2:49" x14ac:dyDescent="0.25">
      <c r="B1387" s="274">
        <v>16.399999999999999</v>
      </c>
      <c r="C1387" s="274">
        <v>80</v>
      </c>
      <c r="D1387" s="274">
        <v>16.399999999999999</v>
      </c>
      <c r="E1387" s="274">
        <v>0.4</v>
      </c>
      <c r="F1387" s="274">
        <v>1.8</v>
      </c>
      <c r="G1387" s="274">
        <v>341</v>
      </c>
      <c r="H1387" s="274">
        <v>1021.3</v>
      </c>
      <c r="I1387" s="274">
        <v>0</v>
      </c>
      <c r="J1387" s="274">
        <v>0</v>
      </c>
      <c r="K1387" s="274">
        <v>0</v>
      </c>
      <c r="L1387" s="274">
        <v>0</v>
      </c>
      <c r="M1387" s="274">
        <v>65.3</v>
      </c>
      <c r="N1387" s="396">
        <v>599.79999999999995</v>
      </c>
      <c r="O1387" s="396">
        <v>15</v>
      </c>
      <c r="P1387" s="396">
        <v>15</v>
      </c>
      <c r="Q1387" s="397">
        <v>0.95694444444444404</v>
      </c>
      <c r="R1387" s="396"/>
      <c r="S1387" s="410"/>
      <c r="T1387" s="409"/>
      <c r="U1387" s="398" t="str">
        <f t="shared" si="62"/>
        <v/>
      </c>
      <c r="V1387" s="400"/>
      <c r="W1387" s="410">
        <f t="shared" si="61"/>
        <v>15</v>
      </c>
      <c r="X1387" s="472" t="str">
        <f t="shared" si="63"/>
        <v/>
      </c>
      <c r="AT1387" s="232"/>
      <c r="AV1387" s="198"/>
      <c r="AW1387" s="274"/>
    </row>
    <row r="1388" spans="2:49" x14ac:dyDescent="0.25">
      <c r="B1388" s="274">
        <v>16.3</v>
      </c>
      <c r="C1388" s="274">
        <v>80</v>
      </c>
      <c r="D1388" s="274">
        <v>16.3</v>
      </c>
      <c r="E1388" s="274">
        <v>0</v>
      </c>
      <c r="F1388" s="274">
        <v>0</v>
      </c>
      <c r="G1388" s="274">
        <v>344</v>
      </c>
      <c r="H1388" s="274">
        <v>1021.3</v>
      </c>
      <c r="I1388" s="274">
        <v>0</v>
      </c>
      <c r="J1388" s="274">
        <v>0</v>
      </c>
      <c r="K1388" s="274">
        <v>0</v>
      </c>
      <c r="L1388" s="274">
        <v>0</v>
      </c>
      <c r="M1388" s="274">
        <v>65.3</v>
      </c>
      <c r="N1388" s="396">
        <v>599.79999999999995</v>
      </c>
      <c r="O1388" s="396">
        <v>15</v>
      </c>
      <c r="P1388" s="396">
        <v>14.9</v>
      </c>
      <c r="Q1388" s="397">
        <v>0.95763888888888904</v>
      </c>
      <c r="R1388" s="396"/>
      <c r="S1388" s="410"/>
      <c r="T1388" s="409"/>
      <c r="U1388" s="398" t="str">
        <f t="shared" si="62"/>
        <v/>
      </c>
      <c r="V1388" s="400"/>
      <c r="W1388" s="410">
        <f t="shared" si="61"/>
        <v>15</v>
      </c>
      <c r="X1388" s="472" t="str">
        <f t="shared" si="63"/>
        <v/>
      </c>
      <c r="AT1388" s="232"/>
      <c r="AV1388" s="198"/>
      <c r="AW1388" s="274"/>
    </row>
    <row r="1389" spans="2:49" x14ac:dyDescent="0.25">
      <c r="B1389" s="274">
        <v>16.3</v>
      </c>
      <c r="C1389" s="274">
        <v>80</v>
      </c>
      <c r="D1389" s="274">
        <v>16.3</v>
      </c>
      <c r="E1389" s="274">
        <v>1.8</v>
      </c>
      <c r="F1389" s="274">
        <v>1.8</v>
      </c>
      <c r="G1389" s="274">
        <v>344</v>
      </c>
      <c r="H1389" s="274">
        <v>1021.5</v>
      </c>
      <c r="I1389" s="274">
        <v>0</v>
      </c>
      <c r="J1389" s="274">
        <v>0</v>
      </c>
      <c r="K1389" s="274">
        <v>0</v>
      </c>
      <c r="L1389" s="274">
        <v>0</v>
      </c>
      <c r="M1389" s="274">
        <v>65.3</v>
      </c>
      <c r="N1389" s="396">
        <v>599.79999999999995</v>
      </c>
      <c r="O1389" s="396">
        <v>15</v>
      </c>
      <c r="P1389" s="396">
        <v>14.9</v>
      </c>
      <c r="Q1389" s="397">
        <v>0.95833333333333304</v>
      </c>
      <c r="R1389" s="396"/>
      <c r="S1389" s="410"/>
      <c r="T1389" s="409"/>
      <c r="U1389" s="398" t="str">
        <f t="shared" si="62"/>
        <v/>
      </c>
      <c r="V1389" s="400"/>
      <c r="W1389" s="410">
        <f t="shared" si="61"/>
        <v>15</v>
      </c>
      <c r="X1389" s="472" t="str">
        <f t="shared" si="63"/>
        <v/>
      </c>
      <c r="AT1389" s="232"/>
      <c r="AV1389" s="198"/>
      <c r="AW1389" s="274"/>
    </row>
    <row r="1390" spans="2:49" x14ac:dyDescent="0.25">
      <c r="B1390" s="274">
        <v>16.2</v>
      </c>
      <c r="C1390" s="274">
        <v>80</v>
      </c>
      <c r="D1390" s="274">
        <v>16.2</v>
      </c>
      <c r="E1390" s="274">
        <v>0</v>
      </c>
      <c r="F1390" s="274">
        <v>0</v>
      </c>
      <c r="G1390" s="274">
        <v>344</v>
      </c>
      <c r="H1390" s="274">
        <v>1021.2</v>
      </c>
      <c r="I1390" s="274">
        <v>0</v>
      </c>
      <c r="J1390" s="274">
        <v>0</v>
      </c>
      <c r="K1390" s="274">
        <v>0</v>
      </c>
      <c r="L1390" s="274">
        <v>0</v>
      </c>
      <c r="M1390" s="274">
        <v>65.3</v>
      </c>
      <c r="N1390" s="396">
        <v>599.79999999999995</v>
      </c>
      <c r="O1390" s="396">
        <v>14.9</v>
      </c>
      <c r="P1390" s="396">
        <v>14.9</v>
      </c>
      <c r="Q1390" s="397">
        <v>0.95902777777777803</v>
      </c>
      <c r="R1390" s="396"/>
      <c r="S1390" s="410"/>
      <c r="T1390" s="409"/>
      <c r="U1390" s="398" t="str">
        <f t="shared" si="62"/>
        <v/>
      </c>
      <c r="V1390" s="400"/>
      <c r="W1390" s="410">
        <f t="shared" si="61"/>
        <v>14.9</v>
      </c>
      <c r="X1390" s="472" t="str">
        <f t="shared" si="63"/>
        <v/>
      </c>
      <c r="AT1390" s="232"/>
      <c r="AV1390" s="198"/>
      <c r="AW1390" s="274"/>
    </row>
    <row r="1391" spans="2:49" x14ac:dyDescent="0.25">
      <c r="B1391" s="274">
        <v>16.2</v>
      </c>
      <c r="C1391" s="274">
        <v>80</v>
      </c>
      <c r="D1391" s="274">
        <v>16.2</v>
      </c>
      <c r="E1391" s="274">
        <v>0.4</v>
      </c>
      <c r="F1391" s="274">
        <v>1.8</v>
      </c>
      <c r="G1391" s="274">
        <v>344</v>
      </c>
      <c r="H1391" s="274">
        <v>1021.4</v>
      </c>
      <c r="I1391" s="274">
        <v>0</v>
      </c>
      <c r="J1391" s="274">
        <v>0</v>
      </c>
      <c r="K1391" s="274">
        <v>0</v>
      </c>
      <c r="L1391" s="274">
        <v>0</v>
      </c>
      <c r="M1391" s="274">
        <v>65.3</v>
      </c>
      <c r="N1391" s="396">
        <v>599.79999999999995</v>
      </c>
      <c r="O1391" s="396">
        <v>14.9</v>
      </c>
      <c r="P1391" s="396">
        <v>14.9</v>
      </c>
      <c r="Q1391" s="397">
        <v>0.95972222222222203</v>
      </c>
      <c r="R1391" s="396"/>
      <c r="S1391" s="410"/>
      <c r="T1391" s="409"/>
      <c r="U1391" s="398" t="str">
        <f t="shared" si="62"/>
        <v/>
      </c>
      <c r="V1391" s="400"/>
      <c r="W1391" s="410">
        <f t="shared" si="61"/>
        <v>14.9</v>
      </c>
      <c r="X1391" s="472" t="str">
        <f t="shared" si="63"/>
        <v/>
      </c>
      <c r="AT1391" s="232"/>
      <c r="AV1391" s="198"/>
      <c r="AW1391" s="274"/>
    </row>
    <row r="1392" spans="2:49" x14ac:dyDescent="0.25">
      <c r="B1392" s="274">
        <v>16.2</v>
      </c>
      <c r="C1392" s="274">
        <v>80</v>
      </c>
      <c r="D1392" s="274">
        <v>16.2</v>
      </c>
      <c r="E1392" s="274">
        <v>1.8</v>
      </c>
      <c r="F1392" s="274">
        <v>1.8</v>
      </c>
      <c r="G1392" s="274">
        <v>344</v>
      </c>
      <c r="H1392" s="274">
        <v>1021.4</v>
      </c>
      <c r="I1392" s="274">
        <v>0</v>
      </c>
      <c r="J1392" s="274">
        <v>0</v>
      </c>
      <c r="K1392" s="274">
        <v>0</v>
      </c>
      <c r="L1392" s="274">
        <v>0</v>
      </c>
      <c r="M1392" s="274">
        <v>65.3</v>
      </c>
      <c r="N1392" s="396">
        <v>599.79999999999995</v>
      </c>
      <c r="O1392" s="396">
        <v>14.9</v>
      </c>
      <c r="P1392" s="396">
        <v>14.9</v>
      </c>
      <c r="Q1392" s="397">
        <v>0.96041666666666703</v>
      </c>
      <c r="R1392" s="396"/>
      <c r="S1392" s="410"/>
      <c r="T1392" s="409"/>
      <c r="U1392" s="398" t="str">
        <f t="shared" si="62"/>
        <v/>
      </c>
      <c r="V1392" s="400"/>
      <c r="W1392" s="410">
        <f t="shared" si="61"/>
        <v>14.9</v>
      </c>
      <c r="X1392" s="472" t="str">
        <f t="shared" si="63"/>
        <v/>
      </c>
      <c r="AT1392" s="232"/>
      <c r="AV1392" s="198"/>
      <c r="AW1392" s="274"/>
    </row>
    <row r="1393" spans="2:49" x14ac:dyDescent="0.25">
      <c r="B1393" s="274">
        <v>16.2</v>
      </c>
      <c r="C1393" s="274">
        <v>80</v>
      </c>
      <c r="D1393" s="274">
        <v>16.2</v>
      </c>
      <c r="E1393" s="274">
        <v>0.4</v>
      </c>
      <c r="F1393" s="274">
        <v>1.8</v>
      </c>
      <c r="G1393" s="274">
        <v>344</v>
      </c>
      <c r="H1393" s="274">
        <v>1021.2</v>
      </c>
      <c r="I1393" s="274">
        <v>0</v>
      </c>
      <c r="J1393" s="274">
        <v>0</v>
      </c>
      <c r="K1393" s="274">
        <v>0</v>
      </c>
      <c r="L1393" s="274">
        <v>0</v>
      </c>
      <c r="M1393" s="274">
        <v>65.3</v>
      </c>
      <c r="N1393" s="396">
        <v>599.79999999999995</v>
      </c>
      <c r="O1393" s="396">
        <v>14.9</v>
      </c>
      <c r="P1393" s="396">
        <v>14.8</v>
      </c>
      <c r="Q1393" s="397">
        <v>0.96111111111111103</v>
      </c>
      <c r="R1393" s="396"/>
      <c r="S1393" s="410"/>
      <c r="T1393" s="409"/>
      <c r="U1393" s="398" t="str">
        <f t="shared" si="62"/>
        <v/>
      </c>
      <c r="V1393" s="400"/>
      <c r="W1393" s="410">
        <f t="shared" si="61"/>
        <v>14.9</v>
      </c>
      <c r="X1393" s="472" t="str">
        <f t="shared" si="63"/>
        <v/>
      </c>
      <c r="AT1393" s="232"/>
      <c r="AV1393" s="198"/>
      <c r="AW1393" s="274"/>
    </row>
    <row r="1394" spans="2:49" x14ac:dyDescent="0.25">
      <c r="B1394" s="274">
        <v>16.100000000000001</v>
      </c>
      <c r="C1394" s="274">
        <v>81</v>
      </c>
      <c r="D1394" s="274">
        <v>16.100000000000001</v>
      </c>
      <c r="E1394" s="274">
        <v>1.4</v>
      </c>
      <c r="F1394" s="274">
        <v>1.8</v>
      </c>
      <c r="G1394" s="274">
        <v>344</v>
      </c>
      <c r="H1394" s="274">
        <v>1021.5</v>
      </c>
      <c r="I1394" s="274">
        <v>0</v>
      </c>
      <c r="J1394" s="274">
        <v>0</v>
      </c>
      <c r="K1394" s="274">
        <v>0</v>
      </c>
      <c r="L1394" s="274">
        <v>0</v>
      </c>
      <c r="M1394" s="274">
        <v>65.3</v>
      </c>
      <c r="N1394" s="396">
        <v>599.79999999999995</v>
      </c>
      <c r="O1394" s="396">
        <v>14.9</v>
      </c>
      <c r="P1394" s="396">
        <v>14.8</v>
      </c>
      <c r="Q1394" s="397">
        <v>0.96180555555555602</v>
      </c>
      <c r="R1394" s="396"/>
      <c r="S1394" s="410"/>
      <c r="T1394" s="409"/>
      <c r="U1394" s="398" t="str">
        <f t="shared" si="62"/>
        <v/>
      </c>
      <c r="V1394" s="400"/>
      <c r="W1394" s="410">
        <f t="shared" si="61"/>
        <v>14.9</v>
      </c>
      <c r="X1394" s="472" t="str">
        <f t="shared" si="63"/>
        <v/>
      </c>
      <c r="AT1394" s="232"/>
      <c r="AV1394" s="198"/>
      <c r="AW1394" s="274"/>
    </row>
    <row r="1395" spans="2:49" x14ac:dyDescent="0.25">
      <c r="B1395" s="274">
        <v>16.100000000000001</v>
      </c>
      <c r="C1395" s="274">
        <v>81</v>
      </c>
      <c r="D1395" s="274">
        <v>16.100000000000001</v>
      </c>
      <c r="E1395" s="274">
        <v>0.4</v>
      </c>
      <c r="F1395" s="274">
        <v>1.8</v>
      </c>
      <c r="G1395" s="274">
        <v>344</v>
      </c>
      <c r="H1395" s="274">
        <v>1021.3</v>
      </c>
      <c r="I1395" s="274">
        <v>0</v>
      </c>
      <c r="J1395" s="274">
        <v>0</v>
      </c>
      <c r="K1395" s="274">
        <v>0</v>
      </c>
      <c r="L1395" s="274">
        <v>0</v>
      </c>
      <c r="M1395" s="274">
        <v>65.3</v>
      </c>
      <c r="N1395" s="396">
        <v>599.79999999999995</v>
      </c>
      <c r="O1395" s="396">
        <v>14.8</v>
      </c>
      <c r="P1395" s="396">
        <v>14.8</v>
      </c>
      <c r="Q1395" s="397">
        <v>0.96250000000000002</v>
      </c>
      <c r="R1395" s="396"/>
      <c r="S1395" s="410"/>
      <c r="T1395" s="409"/>
      <c r="U1395" s="398" t="str">
        <f t="shared" si="62"/>
        <v/>
      </c>
      <c r="V1395" s="400"/>
      <c r="W1395" s="410">
        <f t="shared" ref="W1395:W1448" si="64">MAX(O1395:P1395)</f>
        <v>14.8</v>
      </c>
      <c r="X1395" s="472" t="str">
        <f t="shared" si="63"/>
        <v/>
      </c>
      <c r="AT1395" s="232"/>
      <c r="AV1395" s="198"/>
      <c r="AW1395" s="274"/>
    </row>
    <row r="1396" spans="2:49" x14ac:dyDescent="0.25">
      <c r="B1396" s="274">
        <v>16.100000000000001</v>
      </c>
      <c r="C1396" s="274">
        <v>81</v>
      </c>
      <c r="D1396" s="274">
        <v>16.100000000000001</v>
      </c>
      <c r="E1396" s="274">
        <v>1.1000000000000001</v>
      </c>
      <c r="F1396" s="274">
        <v>1.8</v>
      </c>
      <c r="G1396" s="274">
        <v>344</v>
      </c>
      <c r="H1396" s="274">
        <v>1021.4</v>
      </c>
      <c r="I1396" s="274">
        <v>0</v>
      </c>
      <c r="J1396" s="274">
        <v>0</v>
      </c>
      <c r="K1396" s="274">
        <v>0</v>
      </c>
      <c r="L1396" s="274">
        <v>0</v>
      </c>
      <c r="M1396" s="274">
        <v>65.3</v>
      </c>
      <c r="N1396" s="396">
        <v>599.79999999999995</v>
      </c>
      <c r="O1396" s="396">
        <v>14.8</v>
      </c>
      <c r="P1396" s="396">
        <v>14.8</v>
      </c>
      <c r="Q1396" s="397">
        <v>0.96319444444444402</v>
      </c>
      <c r="R1396" s="396"/>
      <c r="S1396" s="410"/>
      <c r="T1396" s="409"/>
      <c r="U1396" s="398" t="str">
        <f t="shared" si="62"/>
        <v/>
      </c>
      <c r="V1396" s="400"/>
      <c r="W1396" s="410">
        <f t="shared" si="64"/>
        <v>14.8</v>
      </c>
      <c r="X1396" s="472" t="str">
        <f t="shared" si="63"/>
        <v/>
      </c>
      <c r="AT1396" s="232"/>
      <c r="AV1396" s="198"/>
      <c r="AW1396" s="274"/>
    </row>
    <row r="1397" spans="2:49" x14ac:dyDescent="0.25">
      <c r="B1397" s="274">
        <v>16</v>
      </c>
      <c r="C1397" s="274">
        <v>81</v>
      </c>
      <c r="D1397" s="274">
        <v>16</v>
      </c>
      <c r="E1397" s="274">
        <v>0.4</v>
      </c>
      <c r="F1397" s="274">
        <v>1.8</v>
      </c>
      <c r="G1397" s="274">
        <v>344</v>
      </c>
      <c r="H1397" s="274">
        <v>1021.4</v>
      </c>
      <c r="I1397" s="274">
        <v>0</v>
      </c>
      <c r="J1397" s="274">
        <v>0</v>
      </c>
      <c r="K1397" s="274">
        <v>0</v>
      </c>
      <c r="L1397" s="274">
        <v>0</v>
      </c>
      <c r="M1397" s="274">
        <v>65.3</v>
      </c>
      <c r="N1397" s="396">
        <v>599.79999999999995</v>
      </c>
      <c r="O1397" s="396">
        <v>14.8</v>
      </c>
      <c r="P1397" s="396">
        <v>14.8</v>
      </c>
      <c r="Q1397" s="397">
        <v>0.96388888888888902</v>
      </c>
      <c r="R1397" s="396"/>
      <c r="S1397" s="410"/>
      <c r="T1397" s="409"/>
      <c r="U1397" s="398" t="str">
        <f t="shared" si="62"/>
        <v/>
      </c>
      <c r="V1397" s="400"/>
      <c r="W1397" s="410">
        <f t="shared" si="64"/>
        <v>14.8</v>
      </c>
      <c r="X1397" s="472" t="str">
        <f t="shared" si="63"/>
        <v/>
      </c>
      <c r="AT1397" s="232"/>
      <c r="AV1397" s="198"/>
      <c r="AW1397" s="274"/>
    </row>
    <row r="1398" spans="2:49" x14ac:dyDescent="0.25">
      <c r="B1398" s="274">
        <v>16</v>
      </c>
      <c r="C1398" s="274">
        <v>81</v>
      </c>
      <c r="D1398" s="274">
        <v>16</v>
      </c>
      <c r="E1398" s="274">
        <v>1.4</v>
      </c>
      <c r="F1398" s="274">
        <v>1.8</v>
      </c>
      <c r="G1398" s="274">
        <v>344</v>
      </c>
      <c r="H1398" s="274">
        <v>1021.5</v>
      </c>
      <c r="I1398" s="274">
        <v>0</v>
      </c>
      <c r="J1398" s="274">
        <v>0</v>
      </c>
      <c r="K1398" s="274">
        <v>0</v>
      </c>
      <c r="L1398" s="274">
        <v>0</v>
      </c>
      <c r="M1398" s="274">
        <v>65.3</v>
      </c>
      <c r="N1398" s="396">
        <v>599.79999999999995</v>
      </c>
      <c r="O1398" s="396">
        <v>14.8</v>
      </c>
      <c r="P1398" s="396">
        <v>14.7</v>
      </c>
      <c r="Q1398" s="397">
        <v>0.96458333333333302</v>
      </c>
      <c r="R1398" s="396"/>
      <c r="S1398" s="410"/>
      <c r="T1398" s="409"/>
      <c r="U1398" s="398" t="str">
        <f t="shared" si="62"/>
        <v/>
      </c>
      <c r="V1398" s="400"/>
      <c r="W1398" s="410">
        <f t="shared" si="64"/>
        <v>14.8</v>
      </c>
      <c r="X1398" s="472" t="str">
        <f t="shared" si="63"/>
        <v/>
      </c>
      <c r="AT1398" s="232"/>
      <c r="AV1398" s="198"/>
      <c r="AW1398" s="274"/>
    </row>
    <row r="1399" spans="2:49" x14ac:dyDescent="0.25">
      <c r="B1399" s="274">
        <v>16</v>
      </c>
      <c r="C1399" s="274">
        <v>81</v>
      </c>
      <c r="D1399" s="274">
        <v>16</v>
      </c>
      <c r="E1399" s="274">
        <v>1.8</v>
      </c>
      <c r="F1399" s="274">
        <v>1.8</v>
      </c>
      <c r="G1399" s="274">
        <v>344</v>
      </c>
      <c r="H1399" s="274">
        <v>1021.5</v>
      </c>
      <c r="I1399" s="274">
        <v>0</v>
      </c>
      <c r="J1399" s="274">
        <v>0</v>
      </c>
      <c r="K1399" s="274">
        <v>0</v>
      </c>
      <c r="L1399" s="274">
        <v>0</v>
      </c>
      <c r="M1399" s="274">
        <v>65.3</v>
      </c>
      <c r="N1399" s="396">
        <v>599.79999999999995</v>
      </c>
      <c r="O1399" s="396">
        <v>14.7</v>
      </c>
      <c r="P1399" s="396">
        <v>14.7</v>
      </c>
      <c r="Q1399" s="397">
        <v>0.96527777777777801</v>
      </c>
      <c r="R1399" s="396"/>
      <c r="S1399" s="410"/>
      <c r="T1399" s="409"/>
      <c r="U1399" s="398" t="str">
        <f t="shared" si="62"/>
        <v/>
      </c>
      <c r="V1399" s="400"/>
      <c r="W1399" s="410">
        <f t="shared" si="64"/>
        <v>14.7</v>
      </c>
      <c r="X1399" s="472" t="str">
        <f t="shared" si="63"/>
        <v/>
      </c>
      <c r="AT1399" s="232"/>
      <c r="AV1399" s="198"/>
      <c r="AW1399" s="274"/>
    </row>
    <row r="1400" spans="2:49" x14ac:dyDescent="0.25">
      <c r="B1400" s="274">
        <v>16</v>
      </c>
      <c r="C1400" s="274">
        <v>81</v>
      </c>
      <c r="D1400" s="274">
        <v>16</v>
      </c>
      <c r="E1400" s="274">
        <v>1.8</v>
      </c>
      <c r="F1400" s="274">
        <v>1.8</v>
      </c>
      <c r="G1400" s="274">
        <v>344</v>
      </c>
      <c r="H1400" s="274">
        <v>1021.2</v>
      </c>
      <c r="I1400" s="274">
        <v>0</v>
      </c>
      <c r="J1400" s="274">
        <v>0</v>
      </c>
      <c r="K1400" s="274">
        <v>0</v>
      </c>
      <c r="L1400" s="274">
        <v>0</v>
      </c>
      <c r="M1400" s="274">
        <v>65.3</v>
      </c>
      <c r="N1400" s="396">
        <v>599.79999999999995</v>
      </c>
      <c r="O1400" s="396">
        <v>14.7</v>
      </c>
      <c r="P1400" s="396">
        <v>14.7</v>
      </c>
      <c r="Q1400" s="397">
        <v>0.96597222222222201</v>
      </c>
      <c r="R1400" s="396"/>
      <c r="S1400" s="410"/>
      <c r="T1400" s="409"/>
      <c r="U1400" s="398" t="str">
        <f t="shared" si="62"/>
        <v/>
      </c>
      <c r="V1400" s="400"/>
      <c r="W1400" s="410">
        <f t="shared" si="64"/>
        <v>14.7</v>
      </c>
      <c r="X1400" s="472" t="str">
        <f t="shared" si="63"/>
        <v/>
      </c>
      <c r="AT1400" s="232"/>
      <c r="AV1400" s="198"/>
      <c r="AW1400" s="274"/>
    </row>
    <row r="1401" spans="2:49" x14ac:dyDescent="0.25">
      <c r="B1401" s="274">
        <v>16</v>
      </c>
      <c r="C1401" s="274">
        <v>81</v>
      </c>
      <c r="D1401" s="274">
        <v>16</v>
      </c>
      <c r="E1401" s="274">
        <v>1.8</v>
      </c>
      <c r="F1401" s="274">
        <v>1.8</v>
      </c>
      <c r="G1401" s="274">
        <v>345</v>
      </c>
      <c r="H1401" s="274">
        <v>1021.5</v>
      </c>
      <c r="I1401" s="274">
        <v>0</v>
      </c>
      <c r="J1401" s="274">
        <v>0</v>
      </c>
      <c r="K1401" s="274">
        <v>0</v>
      </c>
      <c r="L1401" s="274">
        <v>0</v>
      </c>
      <c r="M1401" s="274">
        <v>65.3</v>
      </c>
      <c r="N1401" s="396">
        <v>599.79999999999995</v>
      </c>
      <c r="O1401" s="396">
        <v>14.7</v>
      </c>
      <c r="P1401" s="396">
        <v>14.7</v>
      </c>
      <c r="Q1401" s="397">
        <v>0.96666666666666701</v>
      </c>
      <c r="R1401" s="396"/>
      <c r="S1401" s="410"/>
      <c r="T1401" s="409"/>
      <c r="U1401" s="398" t="str">
        <f t="shared" si="62"/>
        <v/>
      </c>
      <c r="V1401" s="400"/>
      <c r="W1401" s="410">
        <f t="shared" si="64"/>
        <v>14.7</v>
      </c>
      <c r="X1401" s="472" t="str">
        <f t="shared" si="63"/>
        <v/>
      </c>
      <c r="AT1401" s="232"/>
      <c r="AV1401" s="198"/>
      <c r="AW1401" s="274"/>
    </row>
    <row r="1402" spans="2:49" x14ac:dyDescent="0.25">
      <c r="B1402" s="274">
        <v>16</v>
      </c>
      <c r="C1402" s="274">
        <v>81</v>
      </c>
      <c r="D1402" s="274">
        <v>16</v>
      </c>
      <c r="E1402" s="274">
        <v>1.4</v>
      </c>
      <c r="F1402" s="274">
        <v>1.8</v>
      </c>
      <c r="G1402" s="274">
        <v>344</v>
      </c>
      <c r="H1402" s="274">
        <v>1021.4</v>
      </c>
      <c r="I1402" s="274">
        <v>0</v>
      </c>
      <c r="J1402" s="274">
        <v>0</v>
      </c>
      <c r="K1402" s="274">
        <v>0</v>
      </c>
      <c r="L1402" s="274">
        <v>0</v>
      </c>
      <c r="M1402" s="274">
        <v>65.3</v>
      </c>
      <c r="N1402" s="396">
        <v>599.79999999999995</v>
      </c>
      <c r="O1402" s="396">
        <v>14.7</v>
      </c>
      <c r="P1402" s="396">
        <v>14.6</v>
      </c>
      <c r="Q1402" s="397">
        <v>0.96736111111111101</v>
      </c>
      <c r="R1402" s="396"/>
      <c r="S1402" s="410"/>
      <c r="T1402" s="409"/>
      <c r="U1402" s="398" t="str">
        <f t="shared" si="62"/>
        <v/>
      </c>
      <c r="V1402" s="400"/>
      <c r="W1402" s="410">
        <f t="shared" si="64"/>
        <v>14.7</v>
      </c>
      <c r="X1402" s="472" t="str">
        <f t="shared" si="63"/>
        <v/>
      </c>
      <c r="AT1402" s="232"/>
      <c r="AV1402" s="198"/>
      <c r="AW1402" s="274"/>
    </row>
    <row r="1403" spans="2:49" x14ac:dyDescent="0.25">
      <c r="B1403" s="274">
        <v>16</v>
      </c>
      <c r="C1403" s="274">
        <v>81</v>
      </c>
      <c r="D1403" s="274">
        <v>16</v>
      </c>
      <c r="E1403" s="274">
        <v>1.1000000000000001</v>
      </c>
      <c r="F1403" s="274">
        <v>1.8</v>
      </c>
      <c r="G1403" s="274">
        <v>344</v>
      </c>
      <c r="H1403" s="274">
        <v>1021.4</v>
      </c>
      <c r="I1403" s="274">
        <v>0</v>
      </c>
      <c r="J1403" s="274">
        <v>0</v>
      </c>
      <c r="K1403" s="274">
        <v>0</v>
      </c>
      <c r="L1403" s="274">
        <v>0</v>
      </c>
      <c r="M1403" s="274">
        <v>65.3</v>
      </c>
      <c r="N1403" s="396">
        <v>599.79999999999995</v>
      </c>
      <c r="O1403" s="396">
        <v>14.6</v>
      </c>
      <c r="P1403" s="396">
        <v>14.6</v>
      </c>
      <c r="Q1403" s="397">
        <v>0.968055555555556</v>
      </c>
      <c r="R1403" s="396"/>
      <c r="S1403" s="410"/>
      <c r="T1403" s="409"/>
      <c r="U1403" s="398" t="str">
        <f t="shared" si="62"/>
        <v/>
      </c>
      <c r="V1403" s="400"/>
      <c r="W1403" s="410">
        <f t="shared" si="64"/>
        <v>14.6</v>
      </c>
      <c r="X1403" s="472" t="str">
        <f t="shared" si="63"/>
        <v/>
      </c>
      <c r="AT1403" s="232"/>
      <c r="AV1403" s="198"/>
      <c r="AW1403" s="274"/>
    </row>
    <row r="1404" spans="2:49" x14ac:dyDescent="0.25">
      <c r="B1404" s="274">
        <v>15.9</v>
      </c>
      <c r="C1404" s="274">
        <v>81</v>
      </c>
      <c r="D1404" s="274">
        <v>15.9</v>
      </c>
      <c r="E1404" s="274">
        <v>0.7</v>
      </c>
      <c r="F1404" s="274">
        <v>1.8</v>
      </c>
      <c r="G1404" s="274">
        <v>344</v>
      </c>
      <c r="H1404" s="274">
        <v>1021.4</v>
      </c>
      <c r="I1404" s="274">
        <v>0</v>
      </c>
      <c r="J1404" s="274">
        <v>0</v>
      </c>
      <c r="K1404" s="274">
        <v>0</v>
      </c>
      <c r="L1404" s="274">
        <v>0</v>
      </c>
      <c r="M1404" s="274">
        <v>65.3</v>
      </c>
      <c r="N1404" s="396">
        <v>599.79999999999995</v>
      </c>
      <c r="O1404" s="396">
        <v>14.6</v>
      </c>
      <c r="P1404" s="396">
        <v>14.6</v>
      </c>
      <c r="Q1404" s="397">
        <v>0.96875</v>
      </c>
      <c r="R1404" s="396"/>
      <c r="S1404" s="410"/>
      <c r="T1404" s="409"/>
      <c r="U1404" s="398" t="str">
        <f t="shared" si="62"/>
        <v/>
      </c>
      <c r="V1404" s="400"/>
      <c r="W1404" s="410">
        <f t="shared" si="64"/>
        <v>14.6</v>
      </c>
      <c r="X1404" s="472" t="str">
        <f t="shared" si="63"/>
        <v/>
      </c>
      <c r="AT1404" s="232"/>
      <c r="AV1404" s="198"/>
      <c r="AW1404" s="274"/>
    </row>
    <row r="1405" spans="2:49" x14ac:dyDescent="0.25">
      <c r="B1405" s="274">
        <v>15.9</v>
      </c>
      <c r="C1405" s="274">
        <v>81</v>
      </c>
      <c r="D1405" s="274">
        <v>15.9</v>
      </c>
      <c r="E1405" s="274">
        <v>0</v>
      </c>
      <c r="F1405" s="274">
        <v>0</v>
      </c>
      <c r="G1405" s="274">
        <v>344</v>
      </c>
      <c r="H1405" s="274">
        <v>1021.5</v>
      </c>
      <c r="I1405" s="274">
        <v>0</v>
      </c>
      <c r="J1405" s="274">
        <v>0</v>
      </c>
      <c r="K1405" s="274">
        <v>0</v>
      </c>
      <c r="L1405" s="274">
        <v>0</v>
      </c>
      <c r="M1405" s="274">
        <v>65.3</v>
      </c>
      <c r="N1405" s="396">
        <v>599.79999999999995</v>
      </c>
      <c r="O1405" s="396">
        <v>14.6</v>
      </c>
      <c r="P1405" s="396">
        <v>14.6</v>
      </c>
      <c r="Q1405" s="397">
        <v>0.969444444444444</v>
      </c>
      <c r="R1405" s="396"/>
      <c r="S1405" s="410"/>
      <c r="T1405" s="409"/>
      <c r="U1405" s="398" t="str">
        <f t="shared" si="62"/>
        <v/>
      </c>
      <c r="V1405" s="400"/>
      <c r="W1405" s="410">
        <f t="shared" si="64"/>
        <v>14.6</v>
      </c>
      <c r="X1405" s="472" t="str">
        <f t="shared" si="63"/>
        <v/>
      </c>
      <c r="AT1405" s="232"/>
      <c r="AV1405" s="198"/>
      <c r="AW1405" s="274"/>
    </row>
    <row r="1406" spans="2:49" x14ac:dyDescent="0.25">
      <c r="B1406" s="274">
        <v>15.9</v>
      </c>
      <c r="C1406" s="274">
        <v>81</v>
      </c>
      <c r="D1406" s="274">
        <v>15.9</v>
      </c>
      <c r="E1406" s="274">
        <v>1.1000000000000001</v>
      </c>
      <c r="F1406" s="274">
        <v>1.8</v>
      </c>
      <c r="G1406" s="274">
        <v>344</v>
      </c>
      <c r="H1406" s="274">
        <v>1021.4</v>
      </c>
      <c r="I1406" s="274">
        <v>0</v>
      </c>
      <c r="J1406" s="274">
        <v>0</v>
      </c>
      <c r="K1406" s="274">
        <v>0</v>
      </c>
      <c r="L1406" s="274">
        <v>0</v>
      </c>
      <c r="M1406" s="274">
        <v>65.3</v>
      </c>
      <c r="N1406" s="396">
        <v>599.79999999999995</v>
      </c>
      <c r="O1406" s="396">
        <v>14.6</v>
      </c>
      <c r="P1406" s="396">
        <v>14.5</v>
      </c>
      <c r="Q1406" s="397">
        <v>0.97013888888888899</v>
      </c>
      <c r="R1406" s="396"/>
      <c r="S1406" s="410"/>
      <c r="T1406" s="409"/>
      <c r="U1406" s="398" t="str">
        <f t="shared" si="62"/>
        <v/>
      </c>
      <c r="V1406" s="400"/>
      <c r="W1406" s="410">
        <f t="shared" si="64"/>
        <v>14.6</v>
      </c>
      <c r="X1406" s="472" t="str">
        <f t="shared" si="63"/>
        <v/>
      </c>
      <c r="AT1406" s="232"/>
      <c r="AV1406" s="198"/>
      <c r="AW1406" s="274"/>
    </row>
    <row r="1407" spans="2:49" x14ac:dyDescent="0.25">
      <c r="B1407" s="274">
        <v>15.9</v>
      </c>
      <c r="C1407" s="274">
        <v>81</v>
      </c>
      <c r="D1407" s="274">
        <v>15.9</v>
      </c>
      <c r="E1407" s="274">
        <v>0</v>
      </c>
      <c r="F1407" s="274">
        <v>0</v>
      </c>
      <c r="G1407" s="274">
        <v>344</v>
      </c>
      <c r="H1407" s="274">
        <v>1021.4</v>
      </c>
      <c r="I1407" s="274">
        <v>0</v>
      </c>
      <c r="J1407" s="274">
        <v>0</v>
      </c>
      <c r="K1407" s="274">
        <v>0</v>
      </c>
      <c r="L1407" s="274">
        <v>0</v>
      </c>
      <c r="M1407" s="274">
        <v>65.3</v>
      </c>
      <c r="N1407" s="396">
        <v>599.79999999999995</v>
      </c>
      <c r="O1407" s="396">
        <v>14.6</v>
      </c>
      <c r="P1407" s="396">
        <v>14.5</v>
      </c>
      <c r="Q1407" s="397">
        <v>0.97083333333333299</v>
      </c>
      <c r="R1407" s="396"/>
      <c r="S1407" s="410"/>
      <c r="T1407" s="409"/>
      <c r="U1407" s="398" t="str">
        <f t="shared" si="62"/>
        <v/>
      </c>
      <c r="V1407" s="400"/>
      <c r="W1407" s="410">
        <f t="shared" si="64"/>
        <v>14.6</v>
      </c>
      <c r="X1407" s="472" t="str">
        <f t="shared" si="63"/>
        <v/>
      </c>
      <c r="AT1407" s="232"/>
      <c r="AV1407" s="198"/>
      <c r="AW1407" s="274"/>
    </row>
    <row r="1408" spans="2:49" x14ac:dyDescent="0.25">
      <c r="B1408" s="274">
        <v>15.8</v>
      </c>
      <c r="C1408" s="274">
        <v>81</v>
      </c>
      <c r="D1408" s="274">
        <v>15.8</v>
      </c>
      <c r="E1408" s="274">
        <v>0</v>
      </c>
      <c r="F1408" s="274">
        <v>0</v>
      </c>
      <c r="G1408" s="274">
        <v>344</v>
      </c>
      <c r="H1408" s="274">
        <v>1021.5</v>
      </c>
      <c r="I1408" s="274">
        <v>0</v>
      </c>
      <c r="J1408" s="274">
        <v>0</v>
      </c>
      <c r="K1408" s="274">
        <v>0</v>
      </c>
      <c r="L1408" s="274">
        <v>0</v>
      </c>
      <c r="M1408" s="274">
        <v>65.3</v>
      </c>
      <c r="N1408" s="396">
        <v>599.79999999999995</v>
      </c>
      <c r="O1408" s="396">
        <v>14.5</v>
      </c>
      <c r="P1408" s="396">
        <v>14.5</v>
      </c>
      <c r="Q1408" s="397">
        <v>0.97152777777777799</v>
      </c>
      <c r="R1408" s="396"/>
      <c r="S1408" s="410"/>
      <c r="T1408" s="409"/>
      <c r="U1408" s="398" t="str">
        <f t="shared" si="62"/>
        <v/>
      </c>
      <c r="V1408" s="400"/>
      <c r="W1408" s="410">
        <f t="shared" si="64"/>
        <v>14.5</v>
      </c>
      <c r="X1408" s="472" t="str">
        <f t="shared" si="63"/>
        <v/>
      </c>
      <c r="AT1408" s="232"/>
      <c r="AV1408" s="198"/>
      <c r="AW1408" s="274"/>
    </row>
    <row r="1409" spans="2:49" x14ac:dyDescent="0.25">
      <c r="B1409" s="274">
        <v>15.8</v>
      </c>
      <c r="C1409" s="274">
        <v>82</v>
      </c>
      <c r="D1409" s="274">
        <v>15.8</v>
      </c>
      <c r="E1409" s="274">
        <v>1.4</v>
      </c>
      <c r="F1409" s="274">
        <v>1.8</v>
      </c>
      <c r="G1409" s="274">
        <v>344</v>
      </c>
      <c r="H1409" s="274">
        <v>1021.5</v>
      </c>
      <c r="I1409" s="274">
        <v>0</v>
      </c>
      <c r="J1409" s="274">
        <v>0</v>
      </c>
      <c r="K1409" s="274">
        <v>0</v>
      </c>
      <c r="L1409" s="274">
        <v>0</v>
      </c>
      <c r="M1409" s="274">
        <v>65.3</v>
      </c>
      <c r="N1409" s="396">
        <v>599.79999999999995</v>
      </c>
      <c r="O1409" s="396">
        <v>14.5</v>
      </c>
      <c r="P1409" s="396">
        <v>14.5</v>
      </c>
      <c r="Q1409" s="397">
        <v>0.97222222222222199</v>
      </c>
      <c r="R1409" s="396"/>
      <c r="S1409" s="410"/>
      <c r="T1409" s="409"/>
      <c r="U1409" s="398" t="str">
        <f t="shared" si="62"/>
        <v/>
      </c>
      <c r="V1409" s="400"/>
      <c r="W1409" s="410">
        <f t="shared" si="64"/>
        <v>14.5</v>
      </c>
      <c r="X1409" s="472" t="str">
        <f t="shared" si="63"/>
        <v/>
      </c>
      <c r="AT1409" s="232"/>
      <c r="AV1409" s="198"/>
      <c r="AW1409" s="274"/>
    </row>
    <row r="1410" spans="2:49" x14ac:dyDescent="0.25">
      <c r="B1410" s="274">
        <v>15.8</v>
      </c>
      <c r="C1410" s="274">
        <v>82</v>
      </c>
      <c r="D1410" s="274">
        <v>15.8</v>
      </c>
      <c r="E1410" s="274">
        <v>1.1000000000000001</v>
      </c>
      <c r="F1410" s="274">
        <v>1.8</v>
      </c>
      <c r="G1410" s="274">
        <v>344</v>
      </c>
      <c r="H1410" s="274">
        <v>1021.4</v>
      </c>
      <c r="I1410" s="274">
        <v>0</v>
      </c>
      <c r="J1410" s="274">
        <v>0</v>
      </c>
      <c r="K1410" s="274">
        <v>0</v>
      </c>
      <c r="L1410" s="274">
        <v>0</v>
      </c>
      <c r="M1410" s="274">
        <v>65.3</v>
      </c>
      <c r="N1410" s="396">
        <v>599.79999999999995</v>
      </c>
      <c r="O1410" s="396">
        <v>14.5</v>
      </c>
      <c r="P1410" s="396">
        <v>14.4</v>
      </c>
      <c r="Q1410" s="397">
        <v>0.97291666666666698</v>
      </c>
      <c r="R1410" s="396"/>
      <c r="S1410" s="410"/>
      <c r="T1410" s="409"/>
      <c r="U1410" s="398" t="str">
        <f t="shared" si="62"/>
        <v/>
      </c>
      <c r="V1410" s="400"/>
      <c r="W1410" s="410">
        <f t="shared" si="64"/>
        <v>14.5</v>
      </c>
      <c r="X1410" s="472" t="str">
        <f t="shared" si="63"/>
        <v/>
      </c>
      <c r="AT1410" s="232"/>
      <c r="AV1410" s="198"/>
      <c r="AW1410" s="274"/>
    </row>
    <row r="1411" spans="2:49" x14ac:dyDescent="0.25">
      <c r="B1411" s="274">
        <v>15.8</v>
      </c>
      <c r="C1411" s="274">
        <v>82</v>
      </c>
      <c r="D1411" s="274">
        <v>15.8</v>
      </c>
      <c r="E1411" s="274">
        <v>0.4</v>
      </c>
      <c r="F1411" s="274">
        <v>1.8</v>
      </c>
      <c r="G1411" s="274">
        <v>344</v>
      </c>
      <c r="H1411" s="274">
        <v>1021.5</v>
      </c>
      <c r="I1411" s="274">
        <v>0</v>
      </c>
      <c r="J1411" s="274">
        <v>0</v>
      </c>
      <c r="K1411" s="274">
        <v>0</v>
      </c>
      <c r="L1411" s="274">
        <v>0</v>
      </c>
      <c r="M1411" s="274">
        <v>65.3</v>
      </c>
      <c r="N1411" s="396">
        <v>599.79999999999995</v>
      </c>
      <c r="O1411" s="396">
        <v>14.5</v>
      </c>
      <c r="P1411" s="396">
        <v>14.4</v>
      </c>
      <c r="Q1411" s="397">
        <v>0.97361111111111098</v>
      </c>
      <c r="R1411" s="396"/>
      <c r="S1411" s="410"/>
      <c r="T1411" s="409"/>
      <c r="U1411" s="398" t="str">
        <f t="shared" si="62"/>
        <v/>
      </c>
      <c r="V1411" s="400"/>
      <c r="W1411" s="410">
        <f t="shared" si="64"/>
        <v>14.5</v>
      </c>
      <c r="X1411" s="472" t="str">
        <f t="shared" si="63"/>
        <v/>
      </c>
      <c r="AT1411" s="232"/>
      <c r="AV1411" s="198"/>
      <c r="AW1411" s="274"/>
    </row>
    <row r="1412" spans="2:49" x14ac:dyDescent="0.25">
      <c r="B1412" s="274">
        <v>15.8</v>
      </c>
      <c r="C1412" s="274">
        <v>82</v>
      </c>
      <c r="D1412" s="274">
        <v>15.8</v>
      </c>
      <c r="E1412" s="274">
        <v>1.1000000000000001</v>
      </c>
      <c r="F1412" s="274">
        <v>1.8</v>
      </c>
      <c r="G1412" s="274">
        <v>344</v>
      </c>
      <c r="H1412" s="274">
        <v>1021.6</v>
      </c>
      <c r="I1412" s="274">
        <v>0</v>
      </c>
      <c r="J1412" s="274">
        <v>0</v>
      </c>
      <c r="K1412" s="274">
        <v>0</v>
      </c>
      <c r="L1412" s="274">
        <v>0</v>
      </c>
      <c r="M1412" s="274">
        <v>65.3</v>
      </c>
      <c r="N1412" s="396">
        <v>599.79999999999995</v>
      </c>
      <c r="O1412" s="396">
        <v>14.4</v>
      </c>
      <c r="P1412" s="396">
        <v>14.4</v>
      </c>
      <c r="Q1412" s="397">
        <v>0.97430555555555598</v>
      </c>
      <c r="R1412" s="396"/>
      <c r="S1412" s="410"/>
      <c r="T1412" s="409"/>
      <c r="U1412" s="398" t="str">
        <f t="shared" si="62"/>
        <v/>
      </c>
      <c r="V1412" s="400"/>
      <c r="W1412" s="410">
        <f t="shared" si="64"/>
        <v>14.4</v>
      </c>
      <c r="X1412" s="472" t="str">
        <f t="shared" si="63"/>
        <v/>
      </c>
      <c r="AT1412" s="232"/>
      <c r="AV1412" s="198"/>
      <c r="AW1412" s="274"/>
    </row>
    <row r="1413" spans="2:49" x14ac:dyDescent="0.25">
      <c r="B1413" s="274">
        <v>15.7</v>
      </c>
      <c r="C1413" s="274">
        <v>82</v>
      </c>
      <c r="D1413" s="274">
        <v>15.7</v>
      </c>
      <c r="E1413" s="274">
        <v>0</v>
      </c>
      <c r="F1413" s="274">
        <v>0</v>
      </c>
      <c r="G1413" s="274">
        <v>345</v>
      </c>
      <c r="H1413" s="274">
        <v>1021.3</v>
      </c>
      <c r="I1413" s="274">
        <v>0</v>
      </c>
      <c r="J1413" s="274">
        <v>0</v>
      </c>
      <c r="K1413" s="274">
        <v>0</v>
      </c>
      <c r="L1413" s="274">
        <v>0</v>
      </c>
      <c r="M1413" s="274">
        <v>65.3</v>
      </c>
      <c r="N1413" s="396">
        <v>599.79999999999995</v>
      </c>
      <c r="O1413" s="396">
        <v>14.4</v>
      </c>
      <c r="P1413" s="396">
        <v>14.3</v>
      </c>
      <c r="Q1413" s="397">
        <v>0.97499999999999998</v>
      </c>
      <c r="R1413" s="396"/>
      <c r="S1413" s="410"/>
      <c r="T1413" s="409"/>
      <c r="U1413" s="398" t="str">
        <f t="shared" si="62"/>
        <v/>
      </c>
      <c r="V1413" s="400"/>
      <c r="W1413" s="410">
        <f t="shared" si="64"/>
        <v>14.4</v>
      </c>
      <c r="X1413" s="472" t="str">
        <f t="shared" si="63"/>
        <v/>
      </c>
      <c r="AT1413" s="232"/>
      <c r="AV1413" s="198"/>
      <c r="AW1413" s="274"/>
    </row>
    <row r="1414" spans="2:49" x14ac:dyDescent="0.25">
      <c r="B1414" s="274">
        <v>15.7</v>
      </c>
      <c r="C1414" s="274">
        <v>82</v>
      </c>
      <c r="D1414" s="274">
        <v>15.7</v>
      </c>
      <c r="E1414" s="274">
        <v>0</v>
      </c>
      <c r="F1414" s="274">
        <v>0</v>
      </c>
      <c r="G1414" s="274">
        <v>344</v>
      </c>
      <c r="H1414" s="274">
        <v>1021.6</v>
      </c>
      <c r="I1414" s="274">
        <v>0</v>
      </c>
      <c r="J1414" s="274">
        <v>0</v>
      </c>
      <c r="K1414" s="274">
        <v>0</v>
      </c>
      <c r="L1414" s="274">
        <v>0</v>
      </c>
      <c r="M1414" s="274">
        <v>65.3</v>
      </c>
      <c r="N1414" s="396">
        <v>599.79999999999995</v>
      </c>
      <c r="O1414" s="396">
        <v>14.4</v>
      </c>
      <c r="P1414" s="396">
        <v>14.3</v>
      </c>
      <c r="Q1414" s="397">
        <v>0.97569444444444497</v>
      </c>
      <c r="R1414" s="396"/>
      <c r="S1414" s="410"/>
      <c r="T1414" s="409"/>
      <c r="U1414" s="398" t="str">
        <f t="shared" si="62"/>
        <v/>
      </c>
      <c r="V1414" s="400"/>
      <c r="W1414" s="410">
        <f t="shared" si="64"/>
        <v>14.4</v>
      </c>
      <c r="X1414" s="472" t="str">
        <f t="shared" si="63"/>
        <v/>
      </c>
      <c r="AT1414" s="232"/>
      <c r="AV1414" s="198"/>
      <c r="AW1414" s="274"/>
    </row>
    <row r="1415" spans="2:49" x14ac:dyDescent="0.25">
      <c r="B1415" s="274">
        <v>15.7</v>
      </c>
      <c r="C1415" s="274">
        <v>82</v>
      </c>
      <c r="D1415" s="274">
        <v>15.7</v>
      </c>
      <c r="E1415" s="274">
        <v>0</v>
      </c>
      <c r="F1415" s="274">
        <v>0</v>
      </c>
      <c r="G1415" s="274">
        <v>344</v>
      </c>
      <c r="H1415" s="274">
        <v>1021.4</v>
      </c>
      <c r="I1415" s="274">
        <v>0</v>
      </c>
      <c r="J1415" s="274">
        <v>0</v>
      </c>
      <c r="K1415" s="274">
        <v>0</v>
      </c>
      <c r="L1415" s="274">
        <v>0</v>
      </c>
      <c r="M1415" s="274">
        <v>65.3</v>
      </c>
      <c r="N1415" s="396">
        <v>599.79999999999995</v>
      </c>
      <c r="O1415" s="396">
        <v>14.4</v>
      </c>
      <c r="P1415" s="396">
        <v>14.3</v>
      </c>
      <c r="Q1415" s="397">
        <v>0.97638888888888897</v>
      </c>
      <c r="R1415" s="396"/>
      <c r="S1415" s="410"/>
      <c r="T1415" s="409"/>
      <c r="U1415" s="398" t="str">
        <f t="shared" si="62"/>
        <v/>
      </c>
      <c r="V1415" s="400"/>
      <c r="W1415" s="410">
        <f t="shared" si="64"/>
        <v>14.4</v>
      </c>
      <c r="X1415" s="472" t="str">
        <f t="shared" si="63"/>
        <v/>
      </c>
      <c r="AT1415" s="232"/>
      <c r="AV1415" s="198"/>
      <c r="AW1415" s="274"/>
    </row>
    <row r="1416" spans="2:49" x14ac:dyDescent="0.25">
      <c r="B1416" s="274">
        <v>15.7</v>
      </c>
      <c r="C1416" s="274">
        <v>82</v>
      </c>
      <c r="D1416" s="274">
        <v>15.7</v>
      </c>
      <c r="E1416" s="274">
        <v>0.7</v>
      </c>
      <c r="F1416" s="274">
        <v>1.8</v>
      </c>
      <c r="G1416" s="274">
        <v>344</v>
      </c>
      <c r="H1416" s="274">
        <v>1021.5</v>
      </c>
      <c r="I1416" s="274">
        <v>0</v>
      </c>
      <c r="J1416" s="274">
        <v>0</v>
      </c>
      <c r="K1416" s="274">
        <v>0</v>
      </c>
      <c r="L1416" s="274">
        <v>0</v>
      </c>
      <c r="M1416" s="274">
        <v>65.3</v>
      </c>
      <c r="N1416" s="396">
        <v>599.79999999999995</v>
      </c>
      <c r="O1416" s="396">
        <v>14.4</v>
      </c>
      <c r="P1416" s="396">
        <v>14.3</v>
      </c>
      <c r="Q1416" s="397">
        <v>0.97708333333333297</v>
      </c>
      <c r="R1416" s="396"/>
      <c r="S1416" s="410"/>
      <c r="T1416" s="409"/>
      <c r="U1416" s="398" t="str">
        <f t="shared" si="62"/>
        <v/>
      </c>
      <c r="V1416" s="400"/>
      <c r="W1416" s="410">
        <f t="shared" si="64"/>
        <v>14.4</v>
      </c>
      <c r="X1416" s="472" t="str">
        <f t="shared" si="63"/>
        <v/>
      </c>
      <c r="AT1416" s="232"/>
      <c r="AV1416" s="198"/>
      <c r="AW1416" s="274"/>
    </row>
    <row r="1417" spans="2:49" x14ac:dyDescent="0.25">
      <c r="B1417" s="274">
        <v>15.7</v>
      </c>
      <c r="C1417" s="274">
        <v>82</v>
      </c>
      <c r="D1417" s="274">
        <v>15.7</v>
      </c>
      <c r="E1417" s="274">
        <v>0.7</v>
      </c>
      <c r="F1417" s="274">
        <v>1.8</v>
      </c>
      <c r="G1417" s="274">
        <v>344</v>
      </c>
      <c r="H1417" s="274">
        <v>1021.4</v>
      </c>
      <c r="I1417" s="274">
        <v>0</v>
      </c>
      <c r="J1417" s="274">
        <v>0</v>
      </c>
      <c r="K1417" s="274">
        <v>0</v>
      </c>
      <c r="L1417" s="274">
        <v>0</v>
      </c>
      <c r="M1417" s="274">
        <v>65.3</v>
      </c>
      <c r="N1417" s="396">
        <v>599.79999999999995</v>
      </c>
      <c r="O1417" s="396">
        <v>14.4</v>
      </c>
      <c r="P1417" s="396">
        <v>14.3</v>
      </c>
      <c r="Q1417" s="397">
        <v>0.97777777777777797</v>
      </c>
      <c r="R1417" s="396"/>
      <c r="S1417" s="410"/>
      <c r="T1417" s="409"/>
      <c r="U1417" s="398" t="str">
        <f t="shared" si="62"/>
        <v/>
      </c>
      <c r="V1417" s="400"/>
      <c r="W1417" s="410">
        <f t="shared" si="64"/>
        <v>14.4</v>
      </c>
      <c r="X1417" s="472" t="str">
        <f t="shared" si="63"/>
        <v/>
      </c>
      <c r="AT1417" s="232"/>
      <c r="AV1417" s="198"/>
      <c r="AW1417" s="274"/>
    </row>
    <row r="1418" spans="2:49" x14ac:dyDescent="0.25">
      <c r="B1418" s="274">
        <v>15.7</v>
      </c>
      <c r="C1418" s="274">
        <v>82</v>
      </c>
      <c r="D1418" s="274">
        <v>15.7</v>
      </c>
      <c r="E1418" s="274">
        <v>0</v>
      </c>
      <c r="F1418" s="274">
        <v>0</v>
      </c>
      <c r="G1418" s="274">
        <v>344</v>
      </c>
      <c r="H1418" s="274">
        <v>1021.4</v>
      </c>
      <c r="I1418" s="274">
        <v>0</v>
      </c>
      <c r="J1418" s="274">
        <v>0</v>
      </c>
      <c r="K1418" s="274">
        <v>0</v>
      </c>
      <c r="L1418" s="274">
        <v>0</v>
      </c>
      <c r="M1418" s="274">
        <v>65.3</v>
      </c>
      <c r="N1418" s="396">
        <v>599.79999999999995</v>
      </c>
      <c r="O1418" s="396">
        <v>14.3</v>
      </c>
      <c r="P1418" s="396">
        <v>14.2</v>
      </c>
      <c r="Q1418" s="397">
        <v>0.97847222222222197</v>
      </c>
      <c r="R1418" s="396"/>
      <c r="S1418" s="410"/>
      <c r="T1418" s="409"/>
      <c r="U1418" s="398" t="str">
        <f t="shared" si="62"/>
        <v/>
      </c>
      <c r="V1418" s="400"/>
      <c r="W1418" s="410">
        <f t="shared" si="64"/>
        <v>14.3</v>
      </c>
      <c r="X1418" s="472" t="str">
        <f t="shared" si="63"/>
        <v/>
      </c>
      <c r="AT1418" s="232"/>
      <c r="AV1418" s="198"/>
      <c r="AW1418" s="274"/>
    </row>
    <row r="1419" spans="2:49" x14ac:dyDescent="0.25">
      <c r="B1419" s="274">
        <v>15.6</v>
      </c>
      <c r="C1419" s="274">
        <v>82</v>
      </c>
      <c r="D1419" s="274">
        <v>15.6</v>
      </c>
      <c r="E1419" s="274">
        <v>0.4</v>
      </c>
      <c r="F1419" s="274">
        <v>1.8</v>
      </c>
      <c r="G1419" s="274">
        <v>345</v>
      </c>
      <c r="H1419" s="274">
        <v>1021.5</v>
      </c>
      <c r="I1419" s="274">
        <v>0</v>
      </c>
      <c r="J1419" s="274">
        <v>0</v>
      </c>
      <c r="K1419" s="274">
        <v>0</v>
      </c>
      <c r="L1419" s="274">
        <v>0</v>
      </c>
      <c r="M1419" s="274">
        <v>65.3</v>
      </c>
      <c r="N1419" s="396">
        <v>599.79999999999995</v>
      </c>
      <c r="O1419" s="396">
        <v>14.3</v>
      </c>
      <c r="P1419" s="396">
        <v>14.2</v>
      </c>
      <c r="Q1419" s="397">
        <v>0.97916666666666696</v>
      </c>
      <c r="R1419" s="396"/>
      <c r="S1419" s="410"/>
      <c r="T1419" s="409"/>
      <c r="U1419" s="398" t="str">
        <f t="shared" ref="U1419:U1447" si="65">IF(J1419&gt;0,60,"")</f>
        <v/>
      </c>
      <c r="V1419" s="400"/>
      <c r="W1419" s="410">
        <f t="shared" si="64"/>
        <v>14.3</v>
      </c>
      <c r="X1419" s="472" t="str">
        <f t="shared" si="63"/>
        <v/>
      </c>
      <c r="AT1419" s="232"/>
      <c r="AV1419" s="198"/>
      <c r="AW1419" s="274"/>
    </row>
    <row r="1420" spans="2:49" x14ac:dyDescent="0.25">
      <c r="B1420" s="274">
        <v>15.6</v>
      </c>
      <c r="C1420" s="274">
        <v>82</v>
      </c>
      <c r="D1420" s="274">
        <v>15.6</v>
      </c>
      <c r="E1420" s="274">
        <v>2.2000000000000002</v>
      </c>
      <c r="F1420" s="274">
        <v>3.6</v>
      </c>
      <c r="G1420" s="274">
        <v>345</v>
      </c>
      <c r="H1420" s="274">
        <v>1021.5</v>
      </c>
      <c r="I1420" s="274">
        <v>0</v>
      </c>
      <c r="J1420" s="274">
        <v>0</v>
      </c>
      <c r="K1420" s="274">
        <v>0</v>
      </c>
      <c r="L1420" s="274">
        <v>0</v>
      </c>
      <c r="M1420" s="274">
        <v>65.3</v>
      </c>
      <c r="N1420" s="396">
        <v>599.79999999999995</v>
      </c>
      <c r="O1420" s="396">
        <v>14.3</v>
      </c>
      <c r="P1420" s="396">
        <v>14.2</v>
      </c>
      <c r="Q1420" s="397">
        <v>0.97986111111111096</v>
      </c>
      <c r="R1420" s="396"/>
      <c r="S1420" s="410"/>
      <c r="T1420" s="409"/>
      <c r="U1420" s="398" t="str">
        <f t="shared" si="65"/>
        <v/>
      </c>
      <c r="V1420" s="400"/>
      <c r="W1420" s="410">
        <f t="shared" si="64"/>
        <v>14.3</v>
      </c>
      <c r="X1420" s="472" t="str">
        <f t="shared" si="63"/>
        <v/>
      </c>
      <c r="AT1420" s="232"/>
      <c r="AV1420" s="198"/>
      <c r="AW1420" s="274"/>
    </row>
    <row r="1421" spans="2:49" x14ac:dyDescent="0.25">
      <c r="B1421" s="274">
        <v>15.6</v>
      </c>
      <c r="C1421" s="274">
        <v>82</v>
      </c>
      <c r="D1421" s="274">
        <v>15.6</v>
      </c>
      <c r="E1421" s="274">
        <v>0.7</v>
      </c>
      <c r="F1421" s="274">
        <v>1.8</v>
      </c>
      <c r="G1421" s="274">
        <v>345</v>
      </c>
      <c r="H1421" s="274">
        <v>1021.5</v>
      </c>
      <c r="I1421" s="274">
        <v>0</v>
      </c>
      <c r="J1421" s="274">
        <v>0</v>
      </c>
      <c r="K1421" s="274">
        <v>0</v>
      </c>
      <c r="L1421" s="274">
        <v>0</v>
      </c>
      <c r="M1421" s="274">
        <v>65.3</v>
      </c>
      <c r="N1421" s="396">
        <v>599.79999999999995</v>
      </c>
      <c r="O1421" s="396">
        <v>14.3</v>
      </c>
      <c r="P1421" s="396">
        <v>14.2</v>
      </c>
      <c r="Q1421" s="397">
        <v>0.98055555555555596</v>
      </c>
      <c r="R1421" s="396"/>
      <c r="S1421" s="410"/>
      <c r="T1421" s="409"/>
      <c r="U1421" s="398" t="str">
        <f t="shared" si="65"/>
        <v/>
      </c>
      <c r="V1421" s="400"/>
      <c r="W1421" s="410">
        <f t="shared" si="64"/>
        <v>14.3</v>
      </c>
      <c r="X1421" s="472" t="str">
        <f t="shared" si="63"/>
        <v/>
      </c>
      <c r="AT1421" s="232"/>
      <c r="AV1421" s="198"/>
      <c r="AW1421" s="274"/>
    </row>
    <row r="1422" spans="2:49" x14ac:dyDescent="0.25">
      <c r="B1422" s="274">
        <v>15.6</v>
      </c>
      <c r="C1422" s="274">
        <v>82</v>
      </c>
      <c r="D1422" s="274">
        <v>15.6</v>
      </c>
      <c r="E1422" s="274">
        <v>0</v>
      </c>
      <c r="F1422" s="274">
        <v>0</v>
      </c>
      <c r="G1422" s="274">
        <v>345</v>
      </c>
      <c r="H1422" s="274">
        <v>1021.6</v>
      </c>
      <c r="I1422" s="274">
        <v>0</v>
      </c>
      <c r="J1422" s="274">
        <v>0</v>
      </c>
      <c r="K1422" s="274">
        <v>0</v>
      </c>
      <c r="L1422" s="274">
        <v>0</v>
      </c>
      <c r="M1422" s="274">
        <v>65.3</v>
      </c>
      <c r="N1422" s="396">
        <v>599.79999999999995</v>
      </c>
      <c r="O1422" s="396">
        <v>14.2</v>
      </c>
      <c r="P1422" s="396">
        <v>14.2</v>
      </c>
      <c r="Q1422" s="397">
        <v>0.98124999999999996</v>
      </c>
      <c r="R1422" s="396"/>
      <c r="S1422" s="410"/>
      <c r="T1422" s="409"/>
      <c r="U1422" s="398" t="str">
        <f t="shared" si="65"/>
        <v/>
      </c>
      <c r="V1422" s="400"/>
      <c r="W1422" s="410">
        <f t="shared" si="64"/>
        <v>14.2</v>
      </c>
      <c r="X1422" s="472" t="str">
        <f t="shared" si="63"/>
        <v/>
      </c>
      <c r="AT1422" s="232"/>
      <c r="AV1422" s="198"/>
      <c r="AW1422" s="274"/>
    </row>
    <row r="1423" spans="2:49" x14ac:dyDescent="0.25">
      <c r="B1423" s="274">
        <v>15.5</v>
      </c>
      <c r="C1423" s="274">
        <v>83</v>
      </c>
      <c r="D1423" s="274">
        <v>15.5</v>
      </c>
      <c r="E1423" s="274">
        <v>0.7</v>
      </c>
      <c r="F1423" s="274">
        <v>1.8</v>
      </c>
      <c r="G1423" s="274">
        <v>345</v>
      </c>
      <c r="H1423" s="274">
        <v>1021.4</v>
      </c>
      <c r="I1423" s="274">
        <v>0</v>
      </c>
      <c r="J1423" s="274">
        <v>0</v>
      </c>
      <c r="K1423" s="274">
        <v>0</v>
      </c>
      <c r="L1423" s="274">
        <v>0</v>
      </c>
      <c r="M1423" s="274">
        <v>65.3</v>
      </c>
      <c r="N1423" s="396">
        <v>599.79999999999995</v>
      </c>
      <c r="O1423" s="396">
        <v>14.2</v>
      </c>
      <c r="P1423" s="396">
        <v>14.1</v>
      </c>
      <c r="Q1423" s="397">
        <v>0.98194444444444495</v>
      </c>
      <c r="R1423" s="396"/>
      <c r="S1423" s="410"/>
      <c r="T1423" s="409"/>
      <c r="U1423" s="398" t="str">
        <f t="shared" si="65"/>
        <v/>
      </c>
      <c r="V1423" s="400"/>
      <c r="W1423" s="410">
        <f t="shared" si="64"/>
        <v>14.2</v>
      </c>
      <c r="X1423" s="472" t="str">
        <f t="shared" si="63"/>
        <v/>
      </c>
      <c r="AT1423" s="232"/>
      <c r="AV1423" s="198"/>
      <c r="AW1423" s="274"/>
    </row>
    <row r="1424" spans="2:49" x14ac:dyDescent="0.25">
      <c r="B1424" s="274">
        <v>15.5</v>
      </c>
      <c r="C1424" s="274">
        <v>83</v>
      </c>
      <c r="D1424" s="274">
        <v>15.5</v>
      </c>
      <c r="E1424" s="274">
        <v>1.4</v>
      </c>
      <c r="F1424" s="274">
        <v>1.8</v>
      </c>
      <c r="G1424" s="274">
        <v>345</v>
      </c>
      <c r="H1424" s="274">
        <v>1021.6</v>
      </c>
      <c r="I1424" s="274">
        <v>0</v>
      </c>
      <c r="J1424" s="274">
        <v>0</v>
      </c>
      <c r="K1424" s="274">
        <v>0</v>
      </c>
      <c r="L1424" s="274">
        <v>0</v>
      </c>
      <c r="M1424" s="274">
        <v>65.3</v>
      </c>
      <c r="N1424" s="396">
        <v>599.79999999999995</v>
      </c>
      <c r="O1424" s="396">
        <v>14.2</v>
      </c>
      <c r="P1424" s="396">
        <v>14.1</v>
      </c>
      <c r="Q1424" s="397">
        <v>0.98263888888888895</v>
      </c>
      <c r="R1424" s="396"/>
      <c r="S1424" s="410"/>
      <c r="T1424" s="409"/>
      <c r="U1424" s="398" t="str">
        <f t="shared" si="65"/>
        <v/>
      </c>
      <c r="V1424" s="400"/>
      <c r="W1424" s="410">
        <f t="shared" si="64"/>
        <v>14.2</v>
      </c>
      <c r="X1424" s="472" t="str">
        <f t="shared" si="63"/>
        <v/>
      </c>
      <c r="AT1424" s="232"/>
      <c r="AV1424" s="198"/>
      <c r="AW1424" s="274"/>
    </row>
    <row r="1425" spans="2:49" x14ac:dyDescent="0.25">
      <c r="B1425" s="274">
        <v>15.5</v>
      </c>
      <c r="C1425" s="274">
        <v>83</v>
      </c>
      <c r="D1425" s="274">
        <v>15.5</v>
      </c>
      <c r="E1425" s="274">
        <v>0.4</v>
      </c>
      <c r="F1425" s="274">
        <v>1.8</v>
      </c>
      <c r="G1425" s="274">
        <v>345</v>
      </c>
      <c r="H1425" s="274">
        <v>1021.5</v>
      </c>
      <c r="I1425" s="274">
        <v>0</v>
      </c>
      <c r="J1425" s="274">
        <v>0</v>
      </c>
      <c r="K1425" s="274">
        <v>0</v>
      </c>
      <c r="L1425" s="274">
        <v>0</v>
      </c>
      <c r="M1425" s="274">
        <v>65.3</v>
      </c>
      <c r="N1425" s="396">
        <v>599.79999999999995</v>
      </c>
      <c r="O1425" s="396">
        <v>14.2</v>
      </c>
      <c r="P1425" s="396">
        <v>14.1</v>
      </c>
      <c r="Q1425" s="397">
        <v>0.98333333333333295</v>
      </c>
      <c r="R1425" s="396"/>
      <c r="S1425" s="410"/>
      <c r="T1425" s="409"/>
      <c r="U1425" s="398" t="str">
        <f t="shared" si="65"/>
        <v/>
      </c>
      <c r="V1425" s="400"/>
      <c r="W1425" s="410">
        <f t="shared" si="64"/>
        <v>14.2</v>
      </c>
      <c r="X1425" s="472" t="str">
        <f t="shared" ref="X1425:X1448" si="66">IF(W1425&gt;B1425+3,60,"")</f>
        <v/>
      </c>
      <c r="AT1425" s="232"/>
      <c r="AV1425" s="198"/>
      <c r="AW1425" s="274"/>
    </row>
    <row r="1426" spans="2:49" x14ac:dyDescent="0.25">
      <c r="B1426" s="274">
        <v>15.5</v>
      </c>
      <c r="C1426" s="274">
        <v>83</v>
      </c>
      <c r="D1426" s="274">
        <v>15.5</v>
      </c>
      <c r="E1426" s="274">
        <v>1.1000000000000001</v>
      </c>
      <c r="F1426" s="274">
        <v>1.8</v>
      </c>
      <c r="G1426" s="274">
        <v>345</v>
      </c>
      <c r="H1426" s="274">
        <v>1021.3</v>
      </c>
      <c r="I1426" s="274">
        <v>0</v>
      </c>
      <c r="J1426" s="274">
        <v>0</v>
      </c>
      <c r="K1426" s="274">
        <v>0</v>
      </c>
      <c r="L1426" s="274">
        <v>0</v>
      </c>
      <c r="M1426" s="274">
        <v>65.3</v>
      </c>
      <c r="N1426" s="396">
        <v>599.79999999999995</v>
      </c>
      <c r="O1426" s="396">
        <v>14.1</v>
      </c>
      <c r="P1426" s="396">
        <v>14.1</v>
      </c>
      <c r="Q1426" s="397">
        <v>0.98402777777777795</v>
      </c>
      <c r="R1426" s="396"/>
      <c r="S1426" s="410"/>
      <c r="T1426" s="409"/>
      <c r="U1426" s="398" t="str">
        <f t="shared" si="65"/>
        <v/>
      </c>
      <c r="V1426" s="400"/>
      <c r="W1426" s="410">
        <f t="shared" si="64"/>
        <v>14.1</v>
      </c>
      <c r="X1426" s="472" t="str">
        <f t="shared" si="66"/>
        <v/>
      </c>
      <c r="AT1426" s="232"/>
      <c r="AV1426" s="198"/>
      <c r="AW1426" s="274"/>
    </row>
    <row r="1427" spans="2:49" x14ac:dyDescent="0.25">
      <c r="B1427" s="274">
        <v>15.5</v>
      </c>
      <c r="C1427" s="274">
        <v>83</v>
      </c>
      <c r="D1427" s="274">
        <v>15.5</v>
      </c>
      <c r="E1427" s="274">
        <v>0.4</v>
      </c>
      <c r="F1427" s="274">
        <v>1.8</v>
      </c>
      <c r="G1427" s="274">
        <v>345</v>
      </c>
      <c r="H1427" s="274">
        <v>1021.4</v>
      </c>
      <c r="I1427" s="274">
        <v>0</v>
      </c>
      <c r="J1427" s="274">
        <v>0</v>
      </c>
      <c r="K1427" s="274">
        <v>0</v>
      </c>
      <c r="L1427" s="274">
        <v>0</v>
      </c>
      <c r="M1427" s="274">
        <v>65.3</v>
      </c>
      <c r="N1427" s="396">
        <v>599.79999999999995</v>
      </c>
      <c r="O1427" s="396">
        <v>14.1</v>
      </c>
      <c r="P1427" s="396">
        <v>14</v>
      </c>
      <c r="Q1427" s="397">
        <v>0.98472222222222205</v>
      </c>
      <c r="R1427" s="396"/>
      <c r="S1427" s="410"/>
      <c r="T1427" s="409"/>
      <c r="U1427" s="398" t="str">
        <f t="shared" si="65"/>
        <v/>
      </c>
      <c r="V1427" s="400"/>
      <c r="W1427" s="410">
        <f t="shared" si="64"/>
        <v>14.1</v>
      </c>
      <c r="X1427" s="472" t="str">
        <f t="shared" si="66"/>
        <v/>
      </c>
      <c r="AT1427" s="232"/>
      <c r="AV1427" s="198"/>
      <c r="AW1427" s="274"/>
    </row>
    <row r="1428" spans="2:49" x14ac:dyDescent="0.25">
      <c r="B1428" s="274">
        <v>15.4</v>
      </c>
      <c r="C1428" s="274">
        <v>83</v>
      </c>
      <c r="D1428" s="274">
        <v>15.4</v>
      </c>
      <c r="E1428" s="274">
        <v>0.4</v>
      </c>
      <c r="F1428" s="274">
        <v>1.8</v>
      </c>
      <c r="G1428" s="274">
        <v>345</v>
      </c>
      <c r="H1428" s="274">
        <v>1021.3</v>
      </c>
      <c r="I1428" s="274">
        <v>0</v>
      </c>
      <c r="J1428" s="274">
        <v>0</v>
      </c>
      <c r="K1428" s="274">
        <v>0</v>
      </c>
      <c r="L1428" s="274">
        <v>0</v>
      </c>
      <c r="M1428" s="274">
        <v>65.3</v>
      </c>
      <c r="N1428" s="396">
        <v>599.79999999999995</v>
      </c>
      <c r="O1428" s="396">
        <v>14.1</v>
      </c>
      <c r="P1428" s="396">
        <v>14</v>
      </c>
      <c r="Q1428" s="397">
        <v>0.98541666666666705</v>
      </c>
      <c r="R1428" s="396"/>
      <c r="S1428" s="410"/>
      <c r="T1428" s="409"/>
      <c r="U1428" s="398" t="str">
        <f t="shared" si="65"/>
        <v/>
      </c>
      <c r="V1428" s="400"/>
      <c r="W1428" s="410">
        <f t="shared" si="64"/>
        <v>14.1</v>
      </c>
      <c r="X1428" s="472" t="str">
        <f t="shared" si="66"/>
        <v/>
      </c>
      <c r="AT1428" s="232"/>
      <c r="AV1428" s="198"/>
      <c r="AW1428" s="274"/>
    </row>
    <row r="1429" spans="2:49" x14ac:dyDescent="0.25">
      <c r="B1429" s="274">
        <v>15.4</v>
      </c>
      <c r="C1429" s="274">
        <v>83</v>
      </c>
      <c r="D1429" s="274">
        <v>15.4</v>
      </c>
      <c r="E1429" s="274">
        <v>0</v>
      </c>
      <c r="F1429" s="274">
        <v>0</v>
      </c>
      <c r="G1429" s="274">
        <v>345</v>
      </c>
      <c r="H1429" s="274">
        <v>1021.3</v>
      </c>
      <c r="I1429" s="274">
        <v>0</v>
      </c>
      <c r="J1429" s="274">
        <v>0</v>
      </c>
      <c r="K1429" s="274">
        <v>0</v>
      </c>
      <c r="L1429" s="274">
        <v>0</v>
      </c>
      <c r="M1429" s="274">
        <v>65.3</v>
      </c>
      <c r="N1429" s="396">
        <v>599.79999999999995</v>
      </c>
      <c r="O1429" s="396">
        <v>14.1</v>
      </c>
      <c r="P1429" s="396">
        <v>14</v>
      </c>
      <c r="Q1429" s="397">
        <v>0.98611111111111105</v>
      </c>
      <c r="R1429" s="396"/>
      <c r="S1429" s="410"/>
      <c r="T1429" s="409"/>
      <c r="U1429" s="398" t="str">
        <f t="shared" si="65"/>
        <v/>
      </c>
      <c r="V1429" s="400"/>
      <c r="W1429" s="410">
        <f t="shared" si="64"/>
        <v>14.1</v>
      </c>
      <c r="X1429" s="472" t="str">
        <f t="shared" si="66"/>
        <v/>
      </c>
      <c r="AT1429" s="232"/>
      <c r="AV1429" s="198"/>
      <c r="AW1429" s="274"/>
    </row>
    <row r="1430" spans="2:49" x14ac:dyDescent="0.25">
      <c r="B1430" s="274">
        <v>15.3</v>
      </c>
      <c r="C1430" s="274">
        <v>83</v>
      </c>
      <c r="D1430" s="274">
        <v>15.3</v>
      </c>
      <c r="E1430" s="274">
        <v>0.4</v>
      </c>
      <c r="F1430" s="274">
        <v>1.8</v>
      </c>
      <c r="G1430" s="274">
        <v>345</v>
      </c>
      <c r="H1430" s="274">
        <v>1021.3</v>
      </c>
      <c r="I1430" s="274">
        <v>0</v>
      </c>
      <c r="J1430" s="274">
        <v>0</v>
      </c>
      <c r="K1430" s="274">
        <v>0</v>
      </c>
      <c r="L1430" s="274">
        <v>0</v>
      </c>
      <c r="M1430" s="274">
        <v>65.3</v>
      </c>
      <c r="N1430" s="396">
        <v>599.79999999999995</v>
      </c>
      <c r="O1430" s="396">
        <v>14.1</v>
      </c>
      <c r="P1430" s="396">
        <v>14</v>
      </c>
      <c r="Q1430" s="397">
        <v>0.98680555555555605</v>
      </c>
      <c r="R1430" s="396"/>
      <c r="S1430" s="410"/>
      <c r="T1430" s="409"/>
      <c r="U1430" s="398" t="str">
        <f t="shared" si="65"/>
        <v/>
      </c>
      <c r="V1430" s="400"/>
      <c r="W1430" s="410">
        <f t="shared" si="64"/>
        <v>14.1</v>
      </c>
      <c r="X1430" s="472" t="str">
        <f t="shared" si="66"/>
        <v/>
      </c>
      <c r="AT1430" s="232"/>
      <c r="AV1430" s="198"/>
      <c r="AW1430" s="274"/>
    </row>
    <row r="1431" spans="2:49" x14ac:dyDescent="0.25">
      <c r="B1431" s="274">
        <v>15.3</v>
      </c>
      <c r="C1431" s="274">
        <v>83</v>
      </c>
      <c r="D1431" s="274">
        <v>15.3</v>
      </c>
      <c r="E1431" s="274">
        <v>0.4</v>
      </c>
      <c r="F1431" s="274">
        <v>1.8</v>
      </c>
      <c r="G1431" s="274">
        <v>345</v>
      </c>
      <c r="H1431" s="274">
        <v>1021.4</v>
      </c>
      <c r="I1431" s="274">
        <v>0</v>
      </c>
      <c r="J1431" s="274">
        <v>0</v>
      </c>
      <c r="K1431" s="274">
        <v>0</v>
      </c>
      <c r="L1431" s="274">
        <v>0</v>
      </c>
      <c r="M1431" s="274">
        <v>65.3</v>
      </c>
      <c r="N1431" s="396">
        <v>599.79999999999995</v>
      </c>
      <c r="O1431" s="396">
        <v>14.1</v>
      </c>
      <c r="P1431" s="396">
        <v>13.9</v>
      </c>
      <c r="Q1431" s="397">
        <v>0.98750000000000004</v>
      </c>
      <c r="R1431" s="396"/>
      <c r="S1431" s="410"/>
      <c r="T1431" s="409"/>
      <c r="U1431" s="398" t="str">
        <f t="shared" si="65"/>
        <v/>
      </c>
      <c r="V1431" s="400"/>
      <c r="W1431" s="410">
        <f t="shared" si="64"/>
        <v>14.1</v>
      </c>
      <c r="X1431" s="472" t="str">
        <f t="shared" si="66"/>
        <v/>
      </c>
      <c r="AT1431" s="232"/>
      <c r="AV1431" s="198"/>
      <c r="AW1431" s="274"/>
    </row>
    <row r="1432" spans="2:49" x14ac:dyDescent="0.25">
      <c r="B1432" s="274">
        <v>15.3</v>
      </c>
      <c r="C1432" s="274">
        <v>83</v>
      </c>
      <c r="D1432" s="274">
        <v>15.3</v>
      </c>
      <c r="E1432" s="274">
        <v>0</v>
      </c>
      <c r="F1432" s="274">
        <v>0</v>
      </c>
      <c r="G1432" s="274">
        <v>345</v>
      </c>
      <c r="H1432" s="274">
        <v>1021.2</v>
      </c>
      <c r="I1432" s="274">
        <v>0</v>
      </c>
      <c r="J1432" s="274">
        <v>0</v>
      </c>
      <c r="K1432" s="274">
        <v>0</v>
      </c>
      <c r="L1432" s="274">
        <v>0</v>
      </c>
      <c r="M1432" s="274">
        <v>65.3</v>
      </c>
      <c r="N1432" s="396">
        <v>599.79999999999995</v>
      </c>
      <c r="O1432" s="396">
        <v>14</v>
      </c>
      <c r="P1432" s="396">
        <v>13.9</v>
      </c>
      <c r="Q1432" s="397">
        <v>0.98819444444444404</v>
      </c>
      <c r="R1432" s="396"/>
      <c r="S1432" s="410"/>
      <c r="T1432" s="409"/>
      <c r="U1432" s="398" t="str">
        <f t="shared" si="65"/>
        <v/>
      </c>
      <c r="V1432" s="400"/>
      <c r="W1432" s="410">
        <f t="shared" si="64"/>
        <v>14</v>
      </c>
      <c r="X1432" s="472" t="str">
        <f t="shared" si="66"/>
        <v/>
      </c>
      <c r="AT1432" s="232"/>
      <c r="AV1432" s="198"/>
      <c r="AW1432" s="274"/>
    </row>
    <row r="1433" spans="2:49" x14ac:dyDescent="0.25">
      <c r="B1433" s="274">
        <v>15.3</v>
      </c>
      <c r="C1433" s="274">
        <v>83</v>
      </c>
      <c r="D1433" s="274">
        <v>15.3</v>
      </c>
      <c r="E1433" s="274">
        <v>0.4</v>
      </c>
      <c r="F1433" s="274">
        <v>1.8</v>
      </c>
      <c r="G1433" s="274">
        <v>345</v>
      </c>
      <c r="H1433" s="274">
        <v>1021.3</v>
      </c>
      <c r="I1433" s="274">
        <v>0</v>
      </c>
      <c r="J1433" s="274">
        <v>0</v>
      </c>
      <c r="K1433" s="274">
        <v>0</v>
      </c>
      <c r="L1433" s="274">
        <v>0</v>
      </c>
      <c r="M1433" s="274">
        <v>65.3</v>
      </c>
      <c r="N1433" s="396">
        <v>599.79999999999995</v>
      </c>
      <c r="O1433" s="396">
        <v>14.1</v>
      </c>
      <c r="P1433" s="396">
        <v>13.9</v>
      </c>
      <c r="Q1433" s="397">
        <v>0.98888888888888904</v>
      </c>
      <c r="R1433" s="396"/>
      <c r="S1433" s="410"/>
      <c r="T1433" s="409"/>
      <c r="U1433" s="398" t="str">
        <f t="shared" si="65"/>
        <v/>
      </c>
      <c r="V1433" s="400"/>
      <c r="W1433" s="410">
        <f t="shared" si="64"/>
        <v>14.1</v>
      </c>
      <c r="X1433" s="472" t="str">
        <f t="shared" si="66"/>
        <v/>
      </c>
      <c r="AT1433" s="232"/>
      <c r="AV1433" s="198"/>
      <c r="AW1433" s="274"/>
    </row>
    <row r="1434" spans="2:49" x14ac:dyDescent="0.25">
      <c r="B1434" s="274">
        <v>15.3</v>
      </c>
      <c r="C1434" s="274">
        <v>83</v>
      </c>
      <c r="D1434" s="274">
        <v>15.3</v>
      </c>
      <c r="E1434" s="274">
        <v>0.4</v>
      </c>
      <c r="F1434" s="274">
        <v>1.8</v>
      </c>
      <c r="G1434" s="274">
        <v>345</v>
      </c>
      <c r="H1434" s="274">
        <v>1021.3</v>
      </c>
      <c r="I1434" s="274">
        <v>0</v>
      </c>
      <c r="J1434" s="274">
        <v>0</v>
      </c>
      <c r="K1434" s="274">
        <v>0</v>
      </c>
      <c r="L1434" s="274">
        <v>0</v>
      </c>
      <c r="M1434" s="274">
        <v>65.3</v>
      </c>
      <c r="N1434" s="396">
        <v>599.79999999999995</v>
      </c>
      <c r="O1434" s="396">
        <v>14</v>
      </c>
      <c r="P1434" s="396">
        <v>13.9</v>
      </c>
      <c r="Q1434" s="397">
        <v>0.98958333333333304</v>
      </c>
      <c r="R1434" s="396"/>
      <c r="S1434" s="410"/>
      <c r="T1434" s="409"/>
      <c r="U1434" s="398" t="str">
        <f t="shared" si="65"/>
        <v/>
      </c>
      <c r="V1434" s="400"/>
      <c r="W1434" s="410">
        <f t="shared" si="64"/>
        <v>14</v>
      </c>
      <c r="X1434" s="472" t="str">
        <f t="shared" si="66"/>
        <v/>
      </c>
      <c r="AT1434" s="232"/>
      <c r="AV1434" s="198"/>
      <c r="AW1434" s="274"/>
    </row>
    <row r="1435" spans="2:49" x14ac:dyDescent="0.25">
      <c r="B1435" s="274">
        <v>15.3</v>
      </c>
      <c r="C1435" s="274">
        <v>83</v>
      </c>
      <c r="D1435" s="274">
        <v>15.3</v>
      </c>
      <c r="E1435" s="274">
        <v>0.7</v>
      </c>
      <c r="F1435" s="274">
        <v>1.8</v>
      </c>
      <c r="G1435" s="274">
        <v>345</v>
      </c>
      <c r="H1435" s="274">
        <v>1021.5</v>
      </c>
      <c r="I1435" s="274">
        <v>0</v>
      </c>
      <c r="J1435" s="274">
        <v>0</v>
      </c>
      <c r="K1435" s="274">
        <v>0</v>
      </c>
      <c r="L1435" s="274">
        <v>0</v>
      </c>
      <c r="M1435" s="274">
        <v>65.3</v>
      </c>
      <c r="N1435" s="396">
        <v>599.79999999999995</v>
      </c>
      <c r="O1435" s="396">
        <v>14</v>
      </c>
      <c r="P1435" s="396">
        <v>13.9</v>
      </c>
      <c r="Q1435" s="397">
        <v>0.99027777777777803</v>
      </c>
      <c r="R1435" s="396"/>
      <c r="S1435" s="410"/>
      <c r="T1435" s="409"/>
      <c r="U1435" s="398" t="str">
        <f t="shared" si="65"/>
        <v/>
      </c>
      <c r="V1435" s="400"/>
      <c r="W1435" s="410">
        <f t="shared" si="64"/>
        <v>14</v>
      </c>
      <c r="X1435" s="472" t="str">
        <f t="shared" si="66"/>
        <v/>
      </c>
      <c r="AT1435" s="232"/>
      <c r="AV1435" s="198"/>
      <c r="AW1435" s="274"/>
    </row>
    <row r="1436" spans="2:49" x14ac:dyDescent="0.25">
      <c r="B1436" s="274">
        <v>15.3</v>
      </c>
      <c r="C1436" s="274">
        <v>83</v>
      </c>
      <c r="D1436" s="274">
        <v>15.3</v>
      </c>
      <c r="E1436" s="274">
        <v>0</v>
      </c>
      <c r="F1436" s="274">
        <v>0</v>
      </c>
      <c r="G1436" s="274">
        <v>345</v>
      </c>
      <c r="H1436" s="274">
        <v>1021.3</v>
      </c>
      <c r="I1436" s="274">
        <v>0</v>
      </c>
      <c r="J1436" s="274">
        <v>0</v>
      </c>
      <c r="K1436" s="274">
        <v>0</v>
      </c>
      <c r="L1436" s="274">
        <v>0</v>
      </c>
      <c r="M1436" s="274">
        <v>65.3</v>
      </c>
      <c r="N1436" s="396">
        <v>599.79999999999995</v>
      </c>
      <c r="O1436" s="396">
        <v>14</v>
      </c>
      <c r="P1436" s="396">
        <v>13.8</v>
      </c>
      <c r="Q1436" s="397">
        <v>0.99097222222222203</v>
      </c>
      <c r="R1436" s="396"/>
      <c r="S1436" s="410"/>
      <c r="T1436" s="409"/>
      <c r="U1436" s="398" t="str">
        <f t="shared" si="65"/>
        <v/>
      </c>
      <c r="V1436" s="400"/>
      <c r="W1436" s="410">
        <f t="shared" si="64"/>
        <v>14</v>
      </c>
      <c r="X1436" s="472" t="str">
        <f t="shared" si="66"/>
        <v/>
      </c>
      <c r="AT1436" s="232"/>
      <c r="AV1436" s="198"/>
      <c r="AW1436" s="274"/>
    </row>
    <row r="1437" spans="2:49" x14ac:dyDescent="0.25">
      <c r="B1437" s="274">
        <v>15.3</v>
      </c>
      <c r="C1437" s="274">
        <v>84</v>
      </c>
      <c r="D1437" s="274">
        <v>15.3</v>
      </c>
      <c r="E1437" s="274">
        <v>1.1000000000000001</v>
      </c>
      <c r="F1437" s="274">
        <v>1.8</v>
      </c>
      <c r="G1437" s="274">
        <v>345</v>
      </c>
      <c r="H1437" s="274">
        <v>1021.3</v>
      </c>
      <c r="I1437" s="274">
        <v>0</v>
      </c>
      <c r="J1437" s="274">
        <v>0</v>
      </c>
      <c r="K1437" s="274">
        <v>0</v>
      </c>
      <c r="L1437" s="274">
        <v>0</v>
      </c>
      <c r="M1437" s="274">
        <v>65.3</v>
      </c>
      <c r="N1437" s="396">
        <v>599.79999999999995</v>
      </c>
      <c r="O1437" s="396">
        <v>14</v>
      </c>
      <c r="P1437" s="396">
        <v>13.8</v>
      </c>
      <c r="Q1437" s="397">
        <v>0.99166666666666703</v>
      </c>
      <c r="R1437" s="396"/>
      <c r="S1437" s="410"/>
      <c r="T1437" s="409"/>
      <c r="U1437" s="398" t="str">
        <f t="shared" si="65"/>
        <v/>
      </c>
      <c r="V1437" s="400"/>
      <c r="W1437" s="410">
        <f t="shared" si="64"/>
        <v>14</v>
      </c>
      <c r="X1437" s="472" t="str">
        <f t="shared" si="66"/>
        <v/>
      </c>
      <c r="AT1437" s="232"/>
      <c r="AV1437" s="198"/>
      <c r="AW1437" s="274"/>
    </row>
    <row r="1438" spans="2:49" x14ac:dyDescent="0.25">
      <c r="B1438" s="274">
        <v>15.3</v>
      </c>
      <c r="C1438" s="274">
        <v>84</v>
      </c>
      <c r="D1438" s="274">
        <v>15.3</v>
      </c>
      <c r="E1438" s="274">
        <v>1.4</v>
      </c>
      <c r="F1438" s="274">
        <v>1.8</v>
      </c>
      <c r="G1438" s="274">
        <v>345</v>
      </c>
      <c r="H1438" s="274">
        <v>1021.4</v>
      </c>
      <c r="I1438" s="274">
        <v>0</v>
      </c>
      <c r="J1438" s="274">
        <v>0</v>
      </c>
      <c r="K1438" s="274">
        <v>0</v>
      </c>
      <c r="L1438" s="274">
        <v>0</v>
      </c>
      <c r="M1438" s="274">
        <v>65.3</v>
      </c>
      <c r="N1438" s="396">
        <v>599.79999999999995</v>
      </c>
      <c r="O1438" s="396">
        <v>14</v>
      </c>
      <c r="P1438" s="396">
        <v>13.8</v>
      </c>
      <c r="Q1438" s="397">
        <v>0.99236111111111103</v>
      </c>
      <c r="R1438" s="396"/>
      <c r="S1438" s="410"/>
      <c r="T1438" s="409"/>
      <c r="U1438" s="398" t="str">
        <f t="shared" si="65"/>
        <v/>
      </c>
      <c r="V1438" s="400"/>
      <c r="W1438" s="410">
        <f t="shared" si="64"/>
        <v>14</v>
      </c>
      <c r="X1438" s="472" t="str">
        <f t="shared" si="66"/>
        <v/>
      </c>
      <c r="AT1438" s="232"/>
      <c r="AV1438" s="198"/>
      <c r="AW1438" s="274"/>
    </row>
    <row r="1439" spans="2:49" x14ac:dyDescent="0.25">
      <c r="B1439" s="274">
        <v>15.2</v>
      </c>
      <c r="C1439" s="274">
        <v>84</v>
      </c>
      <c r="D1439" s="274">
        <v>15.2</v>
      </c>
      <c r="E1439" s="274">
        <v>1.1000000000000001</v>
      </c>
      <c r="F1439" s="274">
        <v>1.8</v>
      </c>
      <c r="G1439" s="274">
        <v>345</v>
      </c>
      <c r="H1439" s="274">
        <v>1021.4</v>
      </c>
      <c r="I1439" s="274">
        <v>0</v>
      </c>
      <c r="J1439" s="274">
        <v>0</v>
      </c>
      <c r="K1439" s="274">
        <v>0</v>
      </c>
      <c r="L1439" s="274">
        <v>0</v>
      </c>
      <c r="M1439" s="274">
        <v>65.3</v>
      </c>
      <c r="N1439" s="396">
        <v>599.79999999999995</v>
      </c>
      <c r="O1439" s="396">
        <v>13.9</v>
      </c>
      <c r="P1439" s="396">
        <v>13.8</v>
      </c>
      <c r="Q1439" s="397">
        <v>0.99305555555555602</v>
      </c>
      <c r="R1439" s="396"/>
      <c r="S1439" s="410"/>
      <c r="T1439" s="409"/>
      <c r="U1439" s="398" t="str">
        <f t="shared" si="65"/>
        <v/>
      </c>
      <c r="V1439" s="400"/>
      <c r="W1439" s="410">
        <f t="shared" si="64"/>
        <v>13.9</v>
      </c>
      <c r="X1439" s="472" t="str">
        <f t="shared" si="66"/>
        <v/>
      </c>
      <c r="AT1439" s="232"/>
      <c r="AV1439" s="198"/>
      <c r="AW1439" s="274"/>
    </row>
    <row r="1440" spans="2:49" x14ac:dyDescent="0.25">
      <c r="B1440" s="274">
        <v>15.2</v>
      </c>
      <c r="C1440" s="274">
        <v>84</v>
      </c>
      <c r="D1440" s="274">
        <v>15.2</v>
      </c>
      <c r="E1440" s="274">
        <v>1.1000000000000001</v>
      </c>
      <c r="F1440" s="274">
        <v>1.8</v>
      </c>
      <c r="G1440" s="274">
        <v>345</v>
      </c>
      <c r="H1440" s="274">
        <v>1021.4</v>
      </c>
      <c r="I1440" s="274">
        <v>0</v>
      </c>
      <c r="J1440" s="274">
        <v>0</v>
      </c>
      <c r="K1440" s="274">
        <v>0</v>
      </c>
      <c r="L1440" s="274">
        <v>0</v>
      </c>
      <c r="M1440" s="274">
        <v>65.3</v>
      </c>
      <c r="N1440" s="396">
        <v>599.79999999999995</v>
      </c>
      <c r="O1440" s="396">
        <v>13.9</v>
      </c>
      <c r="P1440" s="396">
        <v>13.8</v>
      </c>
      <c r="Q1440" s="397">
        <v>0.99375000000000002</v>
      </c>
      <c r="R1440" s="396"/>
      <c r="S1440" s="410"/>
      <c r="T1440" s="409"/>
      <c r="U1440" s="398" t="str">
        <f t="shared" si="65"/>
        <v/>
      </c>
      <c r="V1440" s="400"/>
      <c r="W1440" s="410">
        <f t="shared" si="64"/>
        <v>13.9</v>
      </c>
      <c r="X1440" s="472" t="str">
        <f t="shared" si="66"/>
        <v/>
      </c>
      <c r="AT1440" s="232"/>
      <c r="AV1440" s="198"/>
      <c r="AW1440" s="274"/>
    </row>
    <row r="1441" spans="2:49" x14ac:dyDescent="0.25">
      <c r="B1441" s="274">
        <v>15.1</v>
      </c>
      <c r="C1441" s="274">
        <v>84</v>
      </c>
      <c r="D1441" s="274">
        <v>15.1</v>
      </c>
      <c r="E1441" s="274">
        <v>1.4</v>
      </c>
      <c r="F1441" s="274">
        <v>1.8</v>
      </c>
      <c r="G1441" s="274">
        <v>345</v>
      </c>
      <c r="H1441" s="274">
        <v>1021.5</v>
      </c>
      <c r="I1441" s="274">
        <v>0</v>
      </c>
      <c r="J1441" s="274">
        <v>0</v>
      </c>
      <c r="K1441" s="274">
        <v>0</v>
      </c>
      <c r="L1441" s="274">
        <v>0</v>
      </c>
      <c r="M1441" s="274">
        <v>65.3</v>
      </c>
      <c r="N1441" s="396">
        <v>599.79999999999995</v>
      </c>
      <c r="O1441" s="396">
        <v>13.9</v>
      </c>
      <c r="P1441" s="396">
        <v>13.8</v>
      </c>
      <c r="Q1441" s="397">
        <v>0.99444444444444402</v>
      </c>
      <c r="R1441" s="396"/>
      <c r="S1441" s="410"/>
      <c r="T1441" s="409"/>
      <c r="U1441" s="398" t="str">
        <f t="shared" si="65"/>
        <v/>
      </c>
      <c r="V1441" s="400"/>
      <c r="W1441" s="410">
        <f t="shared" si="64"/>
        <v>13.9</v>
      </c>
      <c r="X1441" s="472" t="str">
        <f t="shared" si="66"/>
        <v/>
      </c>
      <c r="AT1441" s="232"/>
      <c r="AV1441" s="198"/>
      <c r="AW1441" s="274"/>
    </row>
    <row r="1442" spans="2:49" x14ac:dyDescent="0.25">
      <c r="B1442" s="274">
        <v>15.1</v>
      </c>
      <c r="C1442" s="274">
        <v>84</v>
      </c>
      <c r="D1442" s="274">
        <v>15.1</v>
      </c>
      <c r="E1442" s="274">
        <v>0.4</v>
      </c>
      <c r="F1442" s="274">
        <v>1.8</v>
      </c>
      <c r="G1442" s="274">
        <v>345</v>
      </c>
      <c r="H1442" s="274">
        <v>1021.2</v>
      </c>
      <c r="I1442" s="274">
        <v>0</v>
      </c>
      <c r="J1442" s="274">
        <v>0</v>
      </c>
      <c r="K1442" s="274">
        <v>0</v>
      </c>
      <c r="L1442" s="274">
        <v>0</v>
      </c>
      <c r="M1442" s="274">
        <v>65.3</v>
      </c>
      <c r="N1442" s="396">
        <v>599.79999999999995</v>
      </c>
      <c r="O1442" s="396">
        <v>13.9</v>
      </c>
      <c r="P1442" s="396">
        <v>13.7</v>
      </c>
      <c r="Q1442" s="397">
        <v>0.99513888888888902</v>
      </c>
      <c r="R1442" s="396"/>
      <c r="S1442" s="410"/>
      <c r="T1442" s="409"/>
      <c r="U1442" s="398" t="str">
        <f t="shared" si="65"/>
        <v/>
      </c>
      <c r="V1442" s="400"/>
      <c r="W1442" s="410">
        <f t="shared" si="64"/>
        <v>13.9</v>
      </c>
      <c r="X1442" s="472" t="str">
        <f t="shared" si="66"/>
        <v/>
      </c>
      <c r="AT1442" s="232"/>
      <c r="AV1442" s="198"/>
      <c r="AW1442" s="274"/>
    </row>
    <row r="1443" spans="2:49" x14ac:dyDescent="0.25">
      <c r="B1443" s="274">
        <v>15</v>
      </c>
      <c r="C1443" s="274">
        <v>85</v>
      </c>
      <c r="D1443" s="274">
        <v>15</v>
      </c>
      <c r="E1443" s="274">
        <v>0</v>
      </c>
      <c r="F1443" s="274">
        <v>0</v>
      </c>
      <c r="G1443" s="274">
        <v>345</v>
      </c>
      <c r="H1443" s="274">
        <v>1021.4</v>
      </c>
      <c r="I1443" s="274">
        <v>0</v>
      </c>
      <c r="J1443" s="274">
        <v>0</v>
      </c>
      <c r="K1443" s="274">
        <v>0</v>
      </c>
      <c r="L1443" s="274">
        <v>0</v>
      </c>
      <c r="M1443" s="274">
        <v>65.3</v>
      </c>
      <c r="N1443" s="396">
        <v>599.79999999999995</v>
      </c>
      <c r="O1443" s="396">
        <v>13.8</v>
      </c>
      <c r="P1443" s="396">
        <v>13.7</v>
      </c>
      <c r="Q1443" s="397">
        <v>0.99583333333333302</v>
      </c>
      <c r="R1443" s="396"/>
      <c r="S1443" s="410"/>
      <c r="T1443" s="409"/>
      <c r="U1443" s="398" t="str">
        <f t="shared" si="65"/>
        <v/>
      </c>
      <c r="V1443" s="400"/>
      <c r="W1443" s="410">
        <f t="shared" si="64"/>
        <v>13.8</v>
      </c>
      <c r="X1443" s="472" t="str">
        <f t="shared" si="66"/>
        <v/>
      </c>
      <c r="AT1443" s="232"/>
      <c r="AV1443" s="198"/>
      <c r="AW1443" s="274"/>
    </row>
    <row r="1444" spans="2:49" x14ac:dyDescent="0.25">
      <c r="B1444" s="274">
        <v>15</v>
      </c>
      <c r="C1444" s="274">
        <v>85</v>
      </c>
      <c r="D1444" s="274">
        <v>15</v>
      </c>
      <c r="E1444" s="274">
        <v>0</v>
      </c>
      <c r="F1444" s="274">
        <v>0</v>
      </c>
      <c r="G1444" s="274">
        <v>345</v>
      </c>
      <c r="H1444" s="274">
        <v>1021.3</v>
      </c>
      <c r="I1444" s="274">
        <v>0</v>
      </c>
      <c r="J1444" s="274">
        <v>0</v>
      </c>
      <c r="K1444" s="274">
        <v>0</v>
      </c>
      <c r="L1444" s="274">
        <v>0</v>
      </c>
      <c r="M1444" s="274">
        <v>65.3</v>
      </c>
      <c r="N1444" s="396">
        <v>599.79999999999995</v>
      </c>
      <c r="O1444" s="396">
        <v>13.8</v>
      </c>
      <c r="P1444" s="396">
        <v>13.7</v>
      </c>
      <c r="Q1444" s="397">
        <v>0.99652777777777801</v>
      </c>
      <c r="R1444" s="396"/>
      <c r="S1444" s="410"/>
      <c r="T1444" s="409"/>
      <c r="U1444" s="398" t="str">
        <f t="shared" si="65"/>
        <v/>
      </c>
      <c r="V1444" s="400"/>
      <c r="W1444" s="410">
        <f t="shared" si="64"/>
        <v>13.8</v>
      </c>
      <c r="X1444" s="472" t="str">
        <f t="shared" si="66"/>
        <v/>
      </c>
      <c r="AT1444" s="232"/>
      <c r="AV1444" s="198"/>
      <c r="AW1444" s="274"/>
    </row>
    <row r="1445" spans="2:49" x14ac:dyDescent="0.25">
      <c r="B1445" s="274">
        <v>15</v>
      </c>
      <c r="C1445" s="274">
        <v>85</v>
      </c>
      <c r="D1445" s="274">
        <v>15</v>
      </c>
      <c r="E1445" s="274">
        <v>1.1000000000000001</v>
      </c>
      <c r="F1445" s="274">
        <v>1.8</v>
      </c>
      <c r="G1445" s="274">
        <v>345</v>
      </c>
      <c r="H1445" s="274">
        <v>1021.5</v>
      </c>
      <c r="I1445" s="274">
        <v>0</v>
      </c>
      <c r="J1445" s="274">
        <v>0</v>
      </c>
      <c r="K1445" s="274">
        <v>0</v>
      </c>
      <c r="L1445" s="274">
        <v>0</v>
      </c>
      <c r="M1445" s="274">
        <v>65.3</v>
      </c>
      <c r="N1445" s="396">
        <v>599.79999999999995</v>
      </c>
      <c r="O1445" s="396">
        <v>13.8</v>
      </c>
      <c r="P1445" s="396">
        <v>13.7</v>
      </c>
      <c r="Q1445" s="397">
        <v>0.99722222222222201</v>
      </c>
      <c r="R1445" s="396"/>
      <c r="S1445" s="410"/>
      <c r="T1445" s="409"/>
      <c r="U1445" s="398" t="str">
        <f t="shared" si="65"/>
        <v/>
      </c>
      <c r="V1445" s="400"/>
      <c r="W1445" s="410">
        <f t="shared" si="64"/>
        <v>13.8</v>
      </c>
      <c r="X1445" s="472" t="str">
        <f t="shared" si="66"/>
        <v/>
      </c>
      <c r="AT1445" s="232"/>
      <c r="AV1445" s="198"/>
      <c r="AW1445" s="274"/>
    </row>
    <row r="1446" spans="2:49" x14ac:dyDescent="0.25">
      <c r="B1446" s="274">
        <v>15</v>
      </c>
      <c r="C1446" s="274">
        <v>85</v>
      </c>
      <c r="D1446" s="274">
        <v>15</v>
      </c>
      <c r="E1446" s="274">
        <v>0</v>
      </c>
      <c r="F1446" s="274">
        <v>0</v>
      </c>
      <c r="G1446" s="274">
        <v>345</v>
      </c>
      <c r="H1446" s="274">
        <v>1021.4</v>
      </c>
      <c r="I1446" s="274">
        <v>0</v>
      </c>
      <c r="J1446" s="274">
        <v>0</v>
      </c>
      <c r="K1446" s="274">
        <v>0</v>
      </c>
      <c r="L1446" s="274">
        <v>0</v>
      </c>
      <c r="M1446" s="274">
        <v>65.3</v>
      </c>
      <c r="N1446" s="396">
        <v>599.79999999999995</v>
      </c>
      <c r="O1446" s="396">
        <v>13.8</v>
      </c>
      <c r="P1446" s="396">
        <v>13.7</v>
      </c>
      <c r="Q1446" s="397">
        <v>0.99791666666666701</v>
      </c>
      <c r="R1446" s="396"/>
      <c r="S1446" s="410"/>
      <c r="T1446" s="409"/>
      <c r="U1446" s="398" t="str">
        <f t="shared" si="65"/>
        <v/>
      </c>
      <c r="V1446" s="400"/>
      <c r="W1446" s="410">
        <f t="shared" si="64"/>
        <v>13.8</v>
      </c>
      <c r="X1446" s="472" t="str">
        <f t="shared" si="66"/>
        <v/>
      </c>
      <c r="AT1446" s="232"/>
      <c r="AV1446" s="198"/>
      <c r="AW1446" s="274"/>
    </row>
    <row r="1447" spans="2:49" x14ac:dyDescent="0.25">
      <c r="B1447" s="274">
        <v>15</v>
      </c>
      <c r="C1447" s="274">
        <v>85</v>
      </c>
      <c r="D1447" s="274">
        <v>15</v>
      </c>
      <c r="E1447" s="274">
        <v>0.4</v>
      </c>
      <c r="F1447" s="274">
        <v>1.8</v>
      </c>
      <c r="G1447" s="274">
        <v>345</v>
      </c>
      <c r="H1447" s="274">
        <v>1021.3</v>
      </c>
      <c r="I1447" s="274">
        <v>0</v>
      </c>
      <c r="J1447" s="274">
        <v>0</v>
      </c>
      <c r="K1447" s="274">
        <v>0</v>
      </c>
      <c r="L1447" s="274">
        <v>0</v>
      </c>
      <c r="M1447" s="274">
        <v>65.3</v>
      </c>
      <c r="N1447" s="396">
        <v>599.79999999999995</v>
      </c>
      <c r="O1447" s="396">
        <v>13.7</v>
      </c>
      <c r="P1447" s="396">
        <v>13.7</v>
      </c>
      <c r="Q1447" s="397">
        <v>0.99861111111111101</v>
      </c>
      <c r="R1447" s="396"/>
      <c r="S1447" s="410"/>
      <c r="T1447" s="409"/>
      <c r="U1447" s="398" t="str">
        <f t="shared" si="65"/>
        <v/>
      </c>
      <c r="V1447" s="400"/>
      <c r="W1447" s="410">
        <f t="shared" si="64"/>
        <v>13.7</v>
      </c>
      <c r="X1447" s="472" t="str">
        <f t="shared" si="66"/>
        <v/>
      </c>
      <c r="AT1447" s="232"/>
      <c r="AV1447" s="198"/>
      <c r="AW1447" s="274"/>
    </row>
    <row r="1448" spans="2:49" x14ac:dyDescent="0.25">
      <c r="B1448" s="274">
        <v>15</v>
      </c>
      <c r="C1448" s="274">
        <v>85</v>
      </c>
      <c r="D1448" s="274">
        <v>15</v>
      </c>
      <c r="E1448" s="274">
        <v>0.4</v>
      </c>
      <c r="F1448" s="274">
        <v>1.8</v>
      </c>
      <c r="G1448" s="274">
        <v>345</v>
      </c>
      <c r="H1448" s="274">
        <v>1021.3</v>
      </c>
      <c r="I1448" s="274">
        <v>0</v>
      </c>
      <c r="J1448" s="274">
        <v>0</v>
      </c>
      <c r="K1448" s="274">
        <v>0</v>
      </c>
      <c r="L1448" s="274">
        <v>0</v>
      </c>
      <c r="M1448" s="274">
        <v>65.3</v>
      </c>
      <c r="N1448" s="396">
        <v>599.79999999999995</v>
      </c>
      <c r="O1448" s="396">
        <v>13.7</v>
      </c>
      <c r="P1448" s="396">
        <v>13.7</v>
      </c>
      <c r="Q1448" s="397">
        <v>0.999305555555556</v>
      </c>
      <c r="R1448" s="396"/>
      <c r="S1448" s="411"/>
      <c r="T1448" s="405"/>
      <c r="U1448" s="402"/>
      <c r="V1448" s="401"/>
      <c r="W1448" s="410">
        <f t="shared" si="64"/>
        <v>13.7</v>
      </c>
      <c r="X1448" s="472" t="str">
        <f t="shared" si="66"/>
        <v/>
      </c>
      <c r="AT1448" s="232"/>
      <c r="AV1448" s="198"/>
      <c r="AW1448" s="274"/>
    </row>
    <row r="1449" spans="2:49" x14ac:dyDescent="0.25">
      <c r="B1449" s="274"/>
      <c r="C1449" s="274"/>
      <c r="D1449" s="274"/>
      <c r="E1449" s="274"/>
      <c r="F1449" s="274"/>
      <c r="G1449" s="274"/>
      <c r="H1449" s="274"/>
      <c r="I1449" s="274"/>
      <c r="J1449" s="274"/>
      <c r="K1449" s="274"/>
      <c r="L1449" s="274"/>
      <c r="M1449" s="274"/>
      <c r="N1449" s="396"/>
      <c r="O1449" s="396"/>
      <c r="P1449" s="396"/>
      <c r="Q1449" s="397"/>
      <c r="R1449" s="396"/>
      <c r="S1449" s="404"/>
      <c r="AW1449" s="198"/>
    </row>
    <row r="1450" spans="2:49" x14ac:dyDescent="0.25">
      <c r="B1450" s="274"/>
      <c r="C1450" s="274">
        <f>MIN($C$9:$C$1448)</f>
        <v>49</v>
      </c>
      <c r="D1450" s="274"/>
      <c r="E1450" s="274"/>
      <c r="F1450" s="274">
        <f>MAX($F$9:$F$1448)</f>
        <v>16.600000000000001</v>
      </c>
      <c r="G1450" s="274"/>
      <c r="H1450" s="274"/>
      <c r="I1450" s="274"/>
      <c r="J1450" s="274"/>
      <c r="K1450" s="274">
        <f>MAX($K$9:$K$1448)</f>
        <v>0</v>
      </c>
      <c r="L1450" s="274">
        <f>MAX($L$9:$L$1448)</f>
        <v>0</v>
      </c>
      <c r="M1450" s="274">
        <f>MAX($M$9:$M$1448)</f>
        <v>65.3</v>
      </c>
      <c r="N1450" s="396">
        <f>MAX($N$9:$N$1448)</f>
        <v>599.79999999999995</v>
      </c>
      <c r="O1450" s="396">
        <f>SUM($O$369:$O$1329)</f>
        <v>26673.099999999991</v>
      </c>
      <c r="P1450" s="396">
        <f>SUM($P$369:$P$1329)</f>
        <v>25353.000000000025</v>
      </c>
      <c r="Q1450" s="396"/>
      <c r="R1450" s="126"/>
      <c r="U1450" s="168">
        <f>SUM($U$9:$U$1448)</f>
        <v>0</v>
      </c>
      <c r="W1450" s="478">
        <f>SUM($W$9:$W$1448)</f>
        <v>33374.499999999993</v>
      </c>
      <c r="X1450" s="478">
        <f>SUM($X$9:$X$1448)</f>
        <v>42480</v>
      </c>
      <c r="AW1450" s="198"/>
    </row>
    <row r="1451" spans="2:49" x14ac:dyDescent="0.25">
      <c r="B1451" s="274"/>
      <c r="C1451" s="274"/>
      <c r="D1451" s="274"/>
      <c r="E1451" s="274"/>
      <c r="F1451" s="274"/>
      <c r="G1451" s="274"/>
      <c r="H1451" s="274"/>
      <c r="I1451" s="274"/>
      <c r="J1451" s="274"/>
      <c r="K1451" s="274"/>
      <c r="L1451" s="274"/>
      <c r="M1451" s="274"/>
      <c r="N1451" s="397"/>
      <c r="O1451" s="396"/>
      <c r="S1451" s="404"/>
      <c r="AW1451" s="198"/>
    </row>
  </sheetData>
  <mergeCells count="1">
    <mergeCell ref="AB2:AJ2"/>
  </mergeCells>
  <conditionalFormatting sqref="V9:V1448">
    <cfRule type="expression" dxfId="476" priority="6">
      <formula>V9=60</formula>
    </cfRule>
  </conditionalFormatting>
  <conditionalFormatting sqref="T9:T1448">
    <cfRule type="expression" dxfId="475" priority="4">
      <formula>T9=60</formula>
    </cfRule>
  </conditionalFormatting>
  <conditionalFormatting sqref="U9:U1448">
    <cfRule type="expression" dxfId="474" priority="3">
      <formula>U9=60</formula>
    </cfRule>
  </conditionalFormatting>
  <conditionalFormatting sqref="X9:X1448">
    <cfRule type="expression" dxfId="473" priority="1">
      <formula>$X9=60</formula>
    </cfRule>
  </conditionalFormatting>
  <hyperlinks>
    <hyperlink ref="AK8" location="Relevés!A1450" display="Fin"/>
    <hyperlink ref="AM8" location="Relevés!A9" display="Début"/>
    <hyperlink ref="AV8" location="Relevés!A432" display="Soleil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44397" r:id="rId4" name="CommandButton2">
          <controlPr defaultSize="0" autoLine="0" r:id="rId5">
            <anchor moveWithCells="1">
              <from>
                <xdr:col>27</xdr:col>
                <xdr:colOff>0</xdr:colOff>
                <xdr:row>6</xdr:row>
                <xdr:rowOff>57150</xdr:rowOff>
              </from>
              <to>
                <xdr:col>29</xdr:col>
                <xdr:colOff>66675</xdr:colOff>
                <xdr:row>7</xdr:row>
                <xdr:rowOff>161925</xdr:rowOff>
              </to>
            </anchor>
          </controlPr>
        </control>
      </mc:Choice>
      <mc:Fallback>
        <control shapeId="144397" r:id="rId4" name="CommandButton2"/>
      </mc:Fallback>
    </mc:AlternateContent>
    <mc:AlternateContent xmlns:mc="http://schemas.openxmlformats.org/markup-compatibility/2006">
      <mc:Choice Requires="x14">
        <control shapeId="144385" r:id="rId6" name="Bouton 2">
          <controlPr defaultSize="0" print="0" autoFill="0" autoPict="0" macro="[0]!Transfert_des_Relevés">
            <anchor moveWithCells="1" sizeWithCells="1">
              <from>
                <xdr:col>29</xdr:col>
                <xdr:colOff>209550</xdr:colOff>
                <xdr:row>6</xdr:row>
                <xdr:rowOff>76200</xdr:rowOff>
              </from>
              <to>
                <xdr:col>31</xdr:col>
                <xdr:colOff>228600</xdr:colOff>
                <xdr:row>7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4386" r:id="rId7" name="Button 2">
          <controlPr defaultSize="0" print="0" autoFill="0" autoPict="0" macro="[0]!Supprime">
            <anchor moveWithCells="1" sizeWithCells="1">
              <from>
                <xdr:col>31</xdr:col>
                <xdr:colOff>314325</xdr:colOff>
                <xdr:row>6</xdr:row>
                <xdr:rowOff>95250</xdr:rowOff>
              </from>
              <to>
                <xdr:col>35</xdr:col>
                <xdr:colOff>285750</xdr:colOff>
                <xdr:row>7</xdr:row>
                <xdr:rowOff>142875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2">
    <tabColor theme="4" tint="0.59999389629810485"/>
  </sheetPr>
  <dimension ref="A1:BY106"/>
  <sheetViews>
    <sheetView showGridLines="0" tabSelected="1" topLeftCell="Z1" zoomScaleNormal="100" workbookViewId="0">
      <pane ySplit="10" topLeftCell="A11" activePane="bottomLeft" state="frozen"/>
      <selection pane="bottomLeft" activeCell="AE9" sqref="AE9"/>
    </sheetView>
  </sheetViews>
  <sheetFormatPr baseColWidth="10" defaultColWidth="11" defaultRowHeight="15" x14ac:dyDescent="0.25"/>
  <cols>
    <col min="1" max="1" width="2.5703125" style="28" customWidth="1"/>
    <col min="2" max="2" width="1.5703125" style="28" customWidth="1"/>
    <col min="3" max="3" width="12.5703125" style="28" customWidth="1"/>
    <col min="4" max="4" width="5.5703125" style="28" customWidth="1"/>
    <col min="5" max="5" width="1.5703125" style="28" customWidth="1"/>
    <col min="6" max="6" width="10.5703125" style="272" customWidth="1"/>
    <col min="7" max="7" width="0.85546875" style="272" customWidth="1"/>
    <col min="8" max="8" width="13" style="272" customWidth="1"/>
    <col min="9" max="9" width="0.85546875" style="272" customWidth="1"/>
    <col min="10" max="10" width="10.5703125" style="28" customWidth="1"/>
    <col min="11" max="11" width="0.85546875" style="28" customWidth="1"/>
    <col min="12" max="12" width="13" style="28" customWidth="1"/>
    <col min="13" max="13" width="0.85546875" style="28" customWidth="1"/>
    <col min="14" max="14" width="10.5703125" style="28" customWidth="1"/>
    <col min="15" max="15" width="0.85546875" style="28" customWidth="1"/>
    <col min="16" max="16" width="13" style="28" customWidth="1"/>
    <col min="17" max="17" width="0.85546875" style="272" customWidth="1"/>
    <col min="18" max="18" width="1.5703125" style="28" customWidth="1"/>
    <col min="19" max="19" width="2.140625" style="28" customWidth="1"/>
    <col min="20" max="20" width="1.5703125" style="28" customWidth="1"/>
    <col min="21" max="21" width="12.5703125" style="28" customWidth="1"/>
    <col min="22" max="22" width="5.5703125" style="28" customWidth="1"/>
    <col min="23" max="23" width="1.42578125" style="28" customWidth="1"/>
    <col min="24" max="24" width="13.85546875" style="28" customWidth="1"/>
    <col min="25" max="25" width="0.85546875" style="28" customWidth="1"/>
    <col min="26" max="26" width="13.7109375" style="28" customWidth="1"/>
    <col min="27" max="27" width="1.5703125" style="28" customWidth="1"/>
    <col min="28" max="28" width="1.85546875" style="28" customWidth="1"/>
    <col min="29" max="29" width="1.5703125" style="28" customWidth="1"/>
    <col min="30" max="30" width="12.5703125" style="28" customWidth="1"/>
    <col min="31" max="31" width="5.5703125" style="28" customWidth="1"/>
    <col min="32" max="32" width="1.42578125" style="28" customWidth="1"/>
    <col min="33" max="33" width="12.85546875" style="28" customWidth="1"/>
    <col min="34" max="34" width="0.85546875" style="28" customWidth="1"/>
    <col min="35" max="35" width="12.85546875" style="28" customWidth="1"/>
    <col min="36" max="36" width="0.85546875" style="28" customWidth="1"/>
    <col min="37" max="37" width="12.85546875" style="28" customWidth="1"/>
    <col min="38" max="38" width="0.85546875" style="28" customWidth="1"/>
    <col min="39" max="39" width="12.85546875" style="28" customWidth="1"/>
    <col min="40" max="40" width="0.85546875" style="28" customWidth="1"/>
    <col min="41" max="41" width="12.85546875" style="28" customWidth="1"/>
    <col min="42" max="42" width="0.85546875" style="28" customWidth="1"/>
    <col min="43" max="43" width="12.85546875" style="28" customWidth="1"/>
    <col min="44" max="44" width="1.5703125" style="28" customWidth="1"/>
    <col min="45" max="45" width="2" style="28" customWidth="1"/>
    <col min="46" max="46" width="1.5703125" style="28" customWidth="1"/>
    <col min="47" max="47" width="14.7109375" style="28" bestFit="1" customWidth="1"/>
    <col min="48" max="48" width="12.7109375" style="28" bestFit="1" customWidth="1"/>
    <col min="49" max="49" width="1.5703125" style="28" customWidth="1"/>
    <col min="50" max="50" width="14.85546875" style="28" bestFit="1" customWidth="1"/>
    <col min="51" max="51" width="1.42578125" style="28" customWidth="1"/>
    <col min="52" max="52" width="2.85546875" style="28" customWidth="1"/>
    <col min="53" max="53" width="3.5703125" style="30" customWidth="1"/>
    <col min="54" max="54" width="14.140625" style="28" bestFit="1" customWidth="1"/>
    <col min="55" max="55" width="10.5703125" style="28" customWidth="1"/>
    <col min="56" max="56" width="5.42578125" style="222" customWidth="1"/>
    <col min="57" max="57" width="9.85546875" style="295" customWidth="1"/>
    <col min="58" max="58" width="9.5703125" style="295" customWidth="1"/>
    <col min="59" max="60" width="11" style="223"/>
    <col min="61" max="61" width="17.5703125" style="28" customWidth="1"/>
    <col min="62" max="62" width="14" style="28" customWidth="1"/>
    <col min="63" max="63" width="11" style="28"/>
    <col min="64" max="64" width="13.28515625" style="28" customWidth="1"/>
    <col min="65" max="65" width="11" style="28"/>
    <col min="66" max="67" width="11" style="274"/>
    <col min="68" max="72" width="11" style="28"/>
    <col min="73" max="73" width="12.5703125" style="28" customWidth="1"/>
    <col min="74" max="74" width="11" style="28"/>
    <col min="75" max="75" width="14.42578125" style="28" customWidth="1"/>
    <col min="76" max="76" width="13.5703125" style="28" customWidth="1"/>
    <col min="77" max="16384" width="11" style="28"/>
  </cols>
  <sheetData>
    <row r="1" spans="1:71" ht="18" customHeight="1" thickBot="1" x14ac:dyDescent="0.3">
      <c r="A1" s="32"/>
      <c r="B1" s="33"/>
      <c r="C1" s="33"/>
      <c r="D1" s="34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3"/>
      <c r="U1" s="38"/>
      <c r="V1" s="36"/>
      <c r="W1" s="33"/>
      <c r="X1" s="39"/>
      <c r="Y1" s="33"/>
      <c r="Z1" s="40"/>
      <c r="AA1" s="33"/>
      <c r="AB1" s="37"/>
      <c r="AC1" s="33"/>
      <c r="AD1" s="38"/>
      <c r="AE1" s="36"/>
      <c r="AF1" s="33"/>
      <c r="AG1" s="36"/>
      <c r="AH1" s="33"/>
      <c r="AI1" s="36"/>
      <c r="AJ1" s="33"/>
      <c r="AK1" s="36"/>
      <c r="AL1" s="33"/>
      <c r="AM1" s="36"/>
      <c r="AN1" s="33"/>
      <c r="AO1" s="36"/>
      <c r="AP1" s="33"/>
      <c r="AQ1" s="36"/>
      <c r="AR1" s="33"/>
      <c r="AS1" s="33"/>
      <c r="AT1" s="33"/>
      <c r="AU1" s="38"/>
      <c r="AV1" s="36"/>
      <c r="AW1" s="33"/>
      <c r="AX1" s="36"/>
      <c r="AY1" s="33"/>
      <c r="AZ1" s="37"/>
      <c r="BB1" s="521" t="s">
        <v>133</v>
      </c>
      <c r="BC1" s="386" t="s">
        <v>135</v>
      </c>
      <c r="BD1" s="221"/>
      <c r="BE1" s="221"/>
      <c r="BF1" s="221"/>
      <c r="BJ1" s="518" t="s">
        <v>102</v>
      </c>
      <c r="BL1" s="219" t="s">
        <v>115</v>
      </c>
      <c r="BN1" s="394" t="s">
        <v>70</v>
      </c>
      <c r="BS1" s="141"/>
    </row>
    <row r="2" spans="1:71" ht="9" customHeight="1" thickTop="1" x14ac:dyDescent="0.25">
      <c r="A2" s="41"/>
      <c r="B2" s="36"/>
      <c r="C2" s="36"/>
      <c r="D2" s="36"/>
      <c r="E2" s="36"/>
      <c r="F2" s="277"/>
      <c r="G2" s="277"/>
      <c r="H2" s="277"/>
      <c r="I2" s="277"/>
      <c r="J2" s="36"/>
      <c r="K2" s="36"/>
      <c r="L2" s="36"/>
      <c r="M2" s="36"/>
      <c r="N2" s="36"/>
      <c r="O2" s="36"/>
      <c r="P2" s="36"/>
      <c r="Q2" s="277"/>
      <c r="R2" s="36"/>
      <c r="S2" s="37"/>
      <c r="T2" s="33"/>
      <c r="U2" s="38"/>
      <c r="V2" s="36"/>
      <c r="W2" s="33"/>
      <c r="X2" s="39"/>
      <c r="Y2" s="33"/>
      <c r="Z2" s="40"/>
      <c r="AA2" s="33"/>
      <c r="AB2" s="36"/>
      <c r="AC2" s="42"/>
      <c r="AD2" s="51"/>
      <c r="AE2" s="51"/>
      <c r="AF2" s="44"/>
      <c r="AG2" s="44"/>
      <c r="AH2" s="44"/>
      <c r="AI2" s="44"/>
      <c r="AJ2" s="44"/>
      <c r="AK2" s="44"/>
      <c r="AL2" s="44"/>
      <c r="AM2" s="44"/>
      <c r="AN2" s="44"/>
      <c r="AO2" s="44"/>
      <c r="AP2" s="44"/>
      <c r="AQ2" s="44"/>
      <c r="AR2" s="235"/>
      <c r="AS2" s="33"/>
      <c r="AT2" s="42" t="s">
        <v>104</v>
      </c>
      <c r="AU2" s="237"/>
      <c r="AV2" s="237"/>
      <c r="AW2" s="42"/>
      <c r="AX2" s="44"/>
      <c r="AY2" s="482"/>
      <c r="AZ2" s="36"/>
      <c r="BC2" s="30"/>
      <c r="BJ2" s="476"/>
      <c r="BL2" s="219"/>
    </row>
    <row r="3" spans="1:71" ht="15.75" thickBot="1" x14ac:dyDescent="0.3">
      <c r="A3" s="36"/>
      <c r="B3" s="36"/>
      <c r="C3" s="36"/>
      <c r="D3" s="36"/>
      <c r="E3" s="36"/>
      <c r="F3" s="277"/>
      <c r="G3" s="277"/>
      <c r="H3" s="277"/>
      <c r="I3" s="277"/>
      <c r="J3" s="36"/>
      <c r="K3" s="36"/>
      <c r="L3" s="36"/>
      <c r="M3" s="36"/>
      <c r="N3" s="36"/>
      <c r="O3" s="36"/>
      <c r="P3" s="36"/>
      <c r="Q3" s="277"/>
      <c r="R3" s="36"/>
      <c r="S3" s="36"/>
      <c r="T3" s="33"/>
      <c r="U3" s="38"/>
      <c r="V3" s="36"/>
      <c r="W3" s="33"/>
      <c r="X3" s="39"/>
      <c r="Y3" s="33"/>
      <c r="Z3" s="40"/>
      <c r="AA3" s="33"/>
      <c r="AB3" s="36"/>
      <c r="AC3" s="64"/>
      <c r="AD3" s="301" t="str">
        <f>$C$5</f>
        <v>Aout_2020</v>
      </c>
      <c r="AE3" s="149"/>
      <c r="AF3" s="239"/>
      <c r="AG3" s="153" t="s">
        <v>37</v>
      </c>
      <c r="AH3" s="154"/>
      <c r="AI3" s="155"/>
      <c r="AJ3" s="66"/>
      <c r="AK3" s="153" t="s">
        <v>84</v>
      </c>
      <c r="AL3" s="154"/>
      <c r="AM3" s="155"/>
      <c r="AN3" s="154"/>
      <c r="AO3" s="155"/>
      <c r="AP3" s="154"/>
      <c r="AQ3" s="155"/>
      <c r="AR3" s="151"/>
      <c r="AS3" s="33"/>
      <c r="AT3" s="64"/>
      <c r="AU3" s="148" t="str">
        <f>$C$5</f>
        <v>Aout_2020</v>
      </c>
      <c r="AV3" s="149"/>
      <c r="AW3" s="238"/>
      <c r="AX3" s="48" t="s">
        <v>117</v>
      </c>
      <c r="AY3" s="483"/>
      <c r="AZ3" s="36"/>
      <c r="BB3" s="521" t="s">
        <v>131</v>
      </c>
      <c r="BC3" s="386" t="s">
        <v>130</v>
      </c>
      <c r="BI3" s="219"/>
      <c r="BJ3" s="476" t="s">
        <v>113</v>
      </c>
      <c r="BK3" s="219"/>
      <c r="BL3" s="219" t="s">
        <v>114</v>
      </c>
      <c r="BN3" s="386" t="s">
        <v>107</v>
      </c>
      <c r="BP3" s="219"/>
      <c r="BQ3" s="219"/>
    </row>
    <row r="4" spans="1:71" ht="9" customHeight="1" thickTop="1" x14ac:dyDescent="0.25">
      <c r="A4" s="36"/>
      <c r="B4" s="42"/>
      <c r="C4" s="50"/>
      <c r="D4" s="51"/>
      <c r="E4" s="43"/>
      <c r="F4" s="52"/>
      <c r="G4" s="53"/>
      <c r="H4" s="54"/>
      <c r="I4" s="53"/>
      <c r="J4" s="52"/>
      <c r="K4" s="53"/>
      <c r="L4" s="54"/>
      <c r="M4" s="53"/>
      <c r="N4" s="52"/>
      <c r="O4" s="53"/>
      <c r="P4" s="54"/>
      <c r="Q4" s="53"/>
      <c r="R4" s="45"/>
      <c r="S4" s="36"/>
      <c r="T4" s="55" t="s">
        <v>104</v>
      </c>
      <c r="U4" s="56"/>
      <c r="V4" s="57"/>
      <c r="W4" s="58"/>
      <c r="X4" s="22"/>
      <c r="Y4" s="58"/>
      <c r="Z4" s="23"/>
      <c r="AA4" s="59"/>
      <c r="AB4" s="36"/>
      <c r="AC4" s="46"/>
      <c r="AD4" s="70"/>
      <c r="AE4" s="71"/>
      <c r="AF4" s="60"/>
      <c r="AG4" s="4"/>
      <c r="AH4" s="61"/>
      <c r="AI4" s="62"/>
      <c r="AJ4" s="61"/>
      <c r="AK4" s="78"/>
      <c r="AL4" s="61"/>
      <c r="AM4" s="78"/>
      <c r="AN4" s="61"/>
      <c r="AO4" s="78"/>
      <c r="AP4" s="61"/>
      <c r="AQ4" s="78"/>
      <c r="AR4" s="150"/>
      <c r="AS4" s="33"/>
      <c r="AT4" s="46"/>
      <c r="AU4" s="70"/>
      <c r="AV4" s="71"/>
      <c r="AW4" s="61"/>
      <c r="AX4" s="63"/>
      <c r="AY4" s="151"/>
      <c r="AZ4" s="36"/>
      <c r="BC4" s="142"/>
      <c r="BI4" s="219"/>
      <c r="BJ4" s="196"/>
      <c r="BK4" s="219"/>
      <c r="BL4" s="219"/>
      <c r="BM4" s="219"/>
      <c r="BP4" s="219"/>
      <c r="BQ4" s="219"/>
    </row>
    <row r="5" spans="1:71" x14ac:dyDescent="0.25">
      <c r="A5" s="36"/>
      <c r="B5" s="64"/>
      <c r="C5" s="298" t="s">
        <v>136</v>
      </c>
      <c r="D5" s="146"/>
      <c r="E5" s="65"/>
      <c r="F5" s="376" t="s">
        <v>82</v>
      </c>
      <c r="G5" s="351"/>
      <c r="H5" s="480" t="s">
        <v>105</v>
      </c>
      <c r="I5" s="351"/>
      <c r="J5" s="540">
        <f ca="1">NOW()</f>
        <v>44244.426140625001</v>
      </c>
      <c r="K5" s="540"/>
      <c r="L5" s="540"/>
      <c r="M5" s="540"/>
      <c r="N5" s="540"/>
      <c r="O5" s="540"/>
      <c r="P5" s="540"/>
      <c r="Q5" s="351"/>
      <c r="R5" s="49"/>
      <c r="S5" s="36"/>
      <c r="T5" s="64"/>
      <c r="U5" s="236" t="str">
        <f>C5</f>
        <v>Aout_2020</v>
      </c>
      <c r="V5" s="147"/>
      <c r="W5" s="66"/>
      <c r="X5" s="531">
        <f ca="1">NOW()</f>
        <v>44244.426140625001</v>
      </c>
      <c r="Y5" s="531"/>
      <c r="Z5" s="531"/>
      <c r="AA5" s="67"/>
      <c r="AB5" s="36"/>
      <c r="AC5" s="46"/>
      <c r="AD5" s="75" t="s">
        <v>82</v>
      </c>
      <c r="AE5" s="76"/>
      <c r="AF5" s="47"/>
      <c r="AG5" s="68">
        <f>SUM($AG$11:$AG$73)</f>
        <v>70.999999999999986</v>
      </c>
      <c r="AH5" s="66"/>
      <c r="AI5" s="302">
        <f>SUM($AI$11:$AI$73)</f>
        <v>1.4076388888888891</v>
      </c>
      <c r="AJ5" s="66"/>
      <c r="AK5" s="234">
        <f>SUM(AK$19:AK$73)</f>
        <v>0.56388888888888888</v>
      </c>
      <c r="AL5" s="61"/>
      <c r="AM5" s="234">
        <f>SUM(AM$19:AM$73)</f>
        <v>0.44166666666666671</v>
      </c>
      <c r="AN5" s="61"/>
      <c r="AO5" s="234">
        <f>SUM(AO$19:AO$73)</f>
        <v>0.20833333333333331</v>
      </c>
      <c r="AP5" s="61"/>
      <c r="AQ5" s="234">
        <f>SUM(AQ$19:AQ$73)</f>
        <v>0.19444444444444445</v>
      </c>
      <c r="AR5" s="150"/>
      <c r="AS5" s="33"/>
      <c r="AT5" s="46"/>
      <c r="AU5" s="75" t="s">
        <v>82</v>
      </c>
      <c r="AV5" s="76"/>
      <c r="AW5" s="66"/>
      <c r="AX5" s="69">
        <f>SUM(AX$11:AX$63)</f>
        <v>12.382638888888891</v>
      </c>
      <c r="AY5" s="484"/>
      <c r="AZ5" s="36"/>
      <c r="BB5" s="521" t="s">
        <v>132</v>
      </c>
      <c r="BC5" s="386" t="s">
        <v>112</v>
      </c>
      <c r="BI5" s="201"/>
      <c r="BJ5" s="476" t="s">
        <v>116</v>
      </c>
      <c r="BK5" s="201"/>
      <c r="BL5" s="219" t="s">
        <v>127</v>
      </c>
      <c r="BM5" s="201"/>
      <c r="BN5" s="386" t="s">
        <v>126</v>
      </c>
      <c r="BO5" s="275"/>
      <c r="BP5" s="29"/>
      <c r="BQ5" s="201"/>
    </row>
    <row r="6" spans="1:71" ht="5.25" customHeight="1" x14ac:dyDescent="0.25">
      <c r="A6" s="36"/>
      <c r="B6" s="46"/>
      <c r="C6" s="70"/>
      <c r="D6" s="71"/>
      <c r="E6" s="66"/>
      <c r="F6" s="257"/>
      <c r="G6" s="72"/>
      <c r="H6" s="256"/>
      <c r="I6" s="72"/>
      <c r="J6" s="255"/>
      <c r="K6" s="72"/>
      <c r="L6" s="256"/>
      <c r="M6" s="72"/>
      <c r="N6" s="257"/>
      <c r="O6" s="72"/>
      <c r="P6" s="256"/>
      <c r="Q6" s="72"/>
      <c r="R6" s="49"/>
      <c r="S6" s="36"/>
      <c r="T6" s="46"/>
      <c r="U6" s="70"/>
      <c r="V6" s="71"/>
      <c r="W6" s="61"/>
      <c r="X6" s="2"/>
      <c r="Y6" s="60"/>
      <c r="Z6" s="3"/>
      <c r="AA6" s="49"/>
      <c r="AB6" s="36"/>
      <c r="AC6" s="46"/>
      <c r="AD6" s="61"/>
      <c r="AE6" s="61"/>
      <c r="AF6" s="60"/>
      <c r="AG6" s="5"/>
      <c r="AH6" s="61"/>
      <c r="AI6" s="1"/>
      <c r="AJ6" s="61"/>
      <c r="AK6" s="1"/>
      <c r="AL6" s="61"/>
      <c r="AM6" s="1"/>
      <c r="AN6" s="61"/>
      <c r="AO6" s="1"/>
      <c r="AP6" s="61"/>
      <c r="AQ6" s="1"/>
      <c r="AR6" s="150"/>
      <c r="AS6" s="33"/>
      <c r="AT6" s="46"/>
      <c r="AU6" s="70"/>
      <c r="AV6" s="71"/>
      <c r="AW6" s="61"/>
      <c r="AX6" s="6"/>
      <c r="AY6" s="151"/>
      <c r="AZ6" s="36"/>
      <c r="BC6" s="100"/>
      <c r="BI6" s="29"/>
      <c r="BJ6" s="29"/>
      <c r="BK6" s="29"/>
      <c r="BL6" s="29"/>
      <c r="BM6" s="29"/>
      <c r="BP6" s="29"/>
      <c r="BQ6" s="29"/>
    </row>
    <row r="7" spans="1:71" x14ac:dyDescent="0.25">
      <c r="A7" s="36"/>
      <c r="B7" s="46"/>
      <c r="C7" s="534" t="s">
        <v>83</v>
      </c>
      <c r="D7" s="535"/>
      <c r="E7" s="63"/>
      <c r="F7" s="356">
        <f>MIN(F11:F69)</f>
        <v>10.199999999999999</v>
      </c>
      <c r="G7" s="61"/>
      <c r="H7" s="164" t="e">
        <f>VLOOKUP($F$7,$F$11:$V$63,17,0)</f>
        <v>#N/A</v>
      </c>
      <c r="I7" s="61"/>
      <c r="J7" s="127">
        <f>MIN($J$11:$J$69)</f>
        <v>10.199999999999999</v>
      </c>
      <c r="K7" s="61"/>
      <c r="L7" s="163">
        <f>VLOOKUP($J$7,$J$11:$V$73,13,0)</f>
        <v>44073</v>
      </c>
      <c r="M7" s="61"/>
      <c r="N7" s="73">
        <f>MAX(N11:N69)</f>
        <v>36.299999999999997</v>
      </c>
      <c r="O7" s="61"/>
      <c r="P7" s="164">
        <f>VLOOKUP($N$7,$N$11:$V$73,9,0)</f>
        <v>44050</v>
      </c>
      <c r="Q7" s="61"/>
      <c r="R7" s="49"/>
      <c r="S7" s="36"/>
      <c r="T7" s="46"/>
      <c r="U7" s="536" t="s">
        <v>82</v>
      </c>
      <c r="V7" s="537"/>
      <c r="W7" s="60"/>
      <c r="X7" s="348" t="s">
        <v>3</v>
      </c>
      <c r="Y7" s="346"/>
      <c r="Z7" s="347"/>
      <c r="AA7" s="49"/>
      <c r="AB7" s="36"/>
      <c r="AC7" s="46"/>
      <c r="AD7" s="543">
        <f ca="1">TODAY()</f>
        <v>44244</v>
      </c>
      <c r="AE7" s="544"/>
      <c r="AF7" s="60"/>
      <c r="AG7" s="165">
        <f>VLOOKUP($AG$9,$AG$11:$AV$73,16,0)</f>
        <v>44055</v>
      </c>
      <c r="AH7" s="61"/>
      <c r="AI7" s="165">
        <f>VLOOKUP($AI$9,$AI$11:$AV$73,14,0)</f>
        <v>44055</v>
      </c>
      <c r="AJ7" s="61"/>
      <c r="AK7" s="165" t="s">
        <v>29</v>
      </c>
      <c r="AL7" s="61"/>
      <c r="AM7" s="165" t="s">
        <v>29</v>
      </c>
      <c r="AN7" s="61"/>
      <c r="AO7" s="165" t="s">
        <v>30</v>
      </c>
      <c r="AP7" s="61"/>
      <c r="AQ7" s="165" t="s">
        <v>30</v>
      </c>
      <c r="AR7" s="150"/>
      <c r="AS7" s="33"/>
      <c r="AT7" s="46"/>
      <c r="AU7" s="532">
        <f ca="1">TODAY()</f>
        <v>44244</v>
      </c>
      <c r="AV7" s="533"/>
      <c r="AW7" s="61"/>
      <c r="AX7" s="166">
        <f>VLOOKUP($AX$9,$AX$11:$BB$73,5,0)</f>
        <v>44047</v>
      </c>
      <c r="AY7" s="151"/>
      <c r="AZ7" s="36"/>
      <c r="BB7" s="527" t="s">
        <v>134</v>
      </c>
      <c r="BC7" s="522" t="s">
        <v>137</v>
      </c>
      <c r="BD7" s="523"/>
      <c r="BE7" s="523"/>
      <c r="BF7" s="523"/>
      <c r="BG7" s="524"/>
      <c r="BH7" s="524"/>
      <c r="BI7" s="525"/>
      <c r="BJ7" s="526"/>
      <c r="BM7" s="201"/>
      <c r="BN7" s="349" t="s">
        <v>81</v>
      </c>
      <c r="BO7" s="275"/>
      <c r="BP7" s="29"/>
      <c r="BQ7" s="201"/>
    </row>
    <row r="8" spans="1:71" ht="5.25" customHeight="1" x14ac:dyDescent="0.25">
      <c r="A8" s="36"/>
      <c r="B8" s="46"/>
      <c r="C8" s="70"/>
      <c r="D8" s="258"/>
      <c r="E8" s="63"/>
      <c r="F8" s="81"/>
      <c r="G8" s="61"/>
      <c r="H8" s="77"/>
      <c r="I8" s="61"/>
      <c r="J8" s="81"/>
      <c r="K8" s="61"/>
      <c r="L8" s="77"/>
      <c r="M8" s="61"/>
      <c r="N8" s="81"/>
      <c r="O8" s="61"/>
      <c r="P8" s="77"/>
      <c r="Q8" s="61"/>
      <c r="R8" s="49"/>
      <c r="S8" s="36"/>
      <c r="T8" s="46"/>
      <c r="U8" s="70"/>
      <c r="V8" s="258"/>
      <c r="W8" s="60"/>
      <c r="X8" s="79"/>
      <c r="Y8" s="60"/>
      <c r="Z8" s="80"/>
      <c r="AA8" s="49"/>
      <c r="AB8" s="36"/>
      <c r="AC8" s="46"/>
      <c r="AD8" s="70"/>
      <c r="AE8" s="258"/>
      <c r="AF8" s="60"/>
      <c r="AG8" s="82"/>
      <c r="AH8" s="61"/>
      <c r="AI8" s="78"/>
      <c r="AJ8" s="61"/>
      <c r="AK8" s="78"/>
      <c r="AL8" s="61"/>
      <c r="AM8" s="78"/>
      <c r="AN8" s="61"/>
      <c r="AO8" s="78"/>
      <c r="AP8" s="61"/>
      <c r="AQ8" s="78"/>
      <c r="AR8" s="150"/>
      <c r="AS8" s="33"/>
      <c r="AT8" s="46"/>
      <c r="AU8" s="70"/>
      <c r="AV8" s="258"/>
      <c r="AW8" s="61"/>
      <c r="AX8" s="78"/>
      <c r="AY8" s="151"/>
      <c r="AZ8" s="36"/>
      <c r="BB8" s="100"/>
      <c r="BC8" s="143"/>
      <c r="BI8" s="29"/>
      <c r="BJ8" s="29"/>
      <c r="BK8" s="29"/>
      <c r="BL8" s="29"/>
      <c r="BM8" s="29"/>
      <c r="BP8" s="29"/>
      <c r="BQ8" s="29"/>
    </row>
    <row r="9" spans="1:71" x14ac:dyDescent="0.25">
      <c r="A9" s="36"/>
      <c r="B9" s="46"/>
      <c r="C9" s="538"/>
      <c r="D9" s="539"/>
      <c r="E9" s="83"/>
      <c r="F9" s="355" t="s">
        <v>33</v>
      </c>
      <c r="G9" s="61"/>
      <c r="H9" s="271">
        <f>VLOOKUP($F$7,$F$11:$H$69,3,0)</f>
        <v>0.30347222222222198</v>
      </c>
      <c r="I9" s="61"/>
      <c r="J9" s="84" t="s">
        <v>1</v>
      </c>
      <c r="K9" s="61"/>
      <c r="L9" s="271">
        <f>VLOOKUP($J$7,$J$11:$L$73,3,0)</f>
        <v>0.30347222222222198</v>
      </c>
      <c r="M9" s="61"/>
      <c r="N9" s="85" t="s">
        <v>3</v>
      </c>
      <c r="O9" s="61"/>
      <c r="P9" s="271">
        <f>VLOOKUP($N$7,$N$11:$P$73,3,0)</f>
        <v>0.62847222222222199</v>
      </c>
      <c r="Q9" s="61"/>
      <c r="R9" s="49"/>
      <c r="S9" s="36"/>
      <c r="T9" s="46"/>
      <c r="U9" s="534" t="s">
        <v>63</v>
      </c>
      <c r="V9" s="535"/>
      <c r="W9" s="60"/>
      <c r="X9" s="74">
        <f>MAX($X$11:$X$73)</f>
        <v>34.9</v>
      </c>
      <c r="Y9" s="60"/>
      <c r="Z9" s="162">
        <f>VLOOKUP($X$9,$X$11:$AE$73,8,0)</f>
        <v>44071</v>
      </c>
      <c r="AA9" s="49"/>
      <c r="AB9" s="36"/>
      <c r="AC9" s="46"/>
      <c r="AD9" s="545">
        <f>534.5+AG5</f>
        <v>605.5</v>
      </c>
      <c r="AE9" s="546" t="s">
        <v>91</v>
      </c>
      <c r="AF9" s="60"/>
      <c r="AG9" s="86">
        <f>MAX($AG$11:$AG$73)</f>
        <v>25</v>
      </c>
      <c r="AH9" s="61"/>
      <c r="AI9" s="87">
        <f>MAX($AI$11:AI$73)</f>
        <v>0.26874999999999999</v>
      </c>
      <c r="AJ9" s="61"/>
      <c r="AK9" s="234" t="s">
        <v>74</v>
      </c>
      <c r="AL9" s="61"/>
      <c r="AM9" s="234" t="s">
        <v>75</v>
      </c>
      <c r="AN9" s="61"/>
      <c r="AO9" s="234" t="s">
        <v>76</v>
      </c>
      <c r="AP9" s="61"/>
      <c r="AQ9" s="234" t="s">
        <v>125</v>
      </c>
      <c r="AR9" s="150"/>
      <c r="AS9" s="33"/>
      <c r="AT9" s="46"/>
      <c r="AU9" s="470" t="s">
        <v>103</v>
      </c>
      <c r="AV9" s="469">
        <f>BB9+AX5</f>
        <v>83.875694444444449</v>
      </c>
      <c r="AW9" s="61"/>
      <c r="AX9" s="88">
        <f>MAX($AX$11:$AX$73)</f>
        <v>0.55763888888888891</v>
      </c>
      <c r="AY9" s="151"/>
      <c r="AZ9" s="36"/>
      <c r="BB9" s="471">
        <v>71.493055555555557</v>
      </c>
      <c r="BC9" s="143"/>
      <c r="BE9"/>
      <c r="BF9"/>
      <c r="BG9"/>
      <c r="BH9"/>
      <c r="BI9"/>
      <c r="BJ9"/>
      <c r="BK9"/>
      <c r="BL9"/>
      <c r="BM9"/>
      <c r="BN9" s="520" t="s">
        <v>129</v>
      </c>
      <c r="BO9" s="275"/>
      <c r="BP9" s="29"/>
      <c r="BQ9" s="201"/>
    </row>
    <row r="10" spans="1:71" ht="25.5" customHeight="1" thickBot="1" x14ac:dyDescent="0.3">
      <c r="A10" s="41"/>
      <c r="B10" s="46"/>
      <c r="C10" s="90"/>
      <c r="D10" s="91"/>
      <c r="E10" s="91"/>
      <c r="F10" s="282"/>
      <c r="G10" s="282"/>
      <c r="H10" s="282"/>
      <c r="I10" s="282"/>
      <c r="J10" s="91"/>
      <c r="K10" s="91"/>
      <c r="L10" s="91"/>
      <c r="M10" s="91"/>
      <c r="N10" s="91"/>
      <c r="O10" s="91"/>
      <c r="P10" s="91"/>
      <c r="Q10" s="282"/>
      <c r="R10" s="280"/>
      <c r="S10" s="93"/>
      <c r="T10" s="94"/>
      <c r="U10" s="90"/>
      <c r="V10" s="91"/>
      <c r="W10" s="91"/>
      <c r="X10" s="91"/>
      <c r="Y10" s="91"/>
      <c r="Z10" s="91"/>
      <c r="AA10" s="89"/>
      <c r="AB10" s="93"/>
      <c r="AC10" s="94"/>
      <c r="AD10" s="90"/>
      <c r="AE10" s="91"/>
      <c r="AF10" s="91"/>
      <c r="AG10" s="91"/>
      <c r="AH10" s="91"/>
      <c r="AI10" s="92"/>
      <c r="AJ10" s="91"/>
      <c r="AK10" s="92"/>
      <c r="AL10" s="91"/>
      <c r="AM10" s="92"/>
      <c r="AN10" s="91"/>
      <c r="AO10" s="92"/>
      <c r="AP10" s="91"/>
      <c r="AQ10" s="92"/>
      <c r="AR10" s="152"/>
      <c r="AS10" s="33"/>
      <c r="AT10" s="94"/>
      <c r="AU10" s="90"/>
      <c r="AV10" s="91"/>
      <c r="AW10" s="91"/>
      <c r="AX10" s="92"/>
      <c r="AY10" s="152"/>
      <c r="AZ10" s="95"/>
      <c r="BA10" s="240"/>
      <c r="BB10" s="144"/>
      <c r="BC10" s="220"/>
      <c r="BE10"/>
      <c r="BF10"/>
      <c r="BG10"/>
      <c r="BH10"/>
      <c r="BI10"/>
      <c r="BJ10"/>
      <c r="BK10"/>
      <c r="BL10"/>
      <c r="BM10"/>
      <c r="BN10" s="520" t="s">
        <v>129</v>
      </c>
      <c r="BO10" s="275"/>
      <c r="BP10" s="29"/>
      <c r="BQ10" s="201"/>
    </row>
    <row r="11" spans="1:71" s="396" customFormat="1" ht="27" customHeight="1" thickTop="1" x14ac:dyDescent="0.25">
      <c r="A11" s="277"/>
      <c r="B11" s="279"/>
      <c r="C11" s="96" t="str">
        <f>PROPER(TEXT(D11,"JJJJ"))</f>
        <v>Samedi</v>
      </c>
      <c r="D11" s="97">
        <v>44044</v>
      </c>
      <c r="E11" s="282"/>
      <c r="F11" s="352">
        <v>18.3</v>
      </c>
      <c r="G11" s="353"/>
      <c r="H11" s="98">
        <v>0</v>
      </c>
      <c r="I11" s="353"/>
      <c r="J11" s="352">
        <v>18.3</v>
      </c>
      <c r="K11" s="353"/>
      <c r="L11" s="98">
        <v>0</v>
      </c>
      <c r="M11" s="353"/>
      <c r="N11" s="352">
        <v>23</v>
      </c>
      <c r="O11" s="353"/>
      <c r="P11" s="98">
        <v>0.70902777777777803</v>
      </c>
      <c r="Q11" s="353"/>
      <c r="R11" s="280"/>
      <c r="S11" s="287"/>
      <c r="T11" s="285"/>
      <c r="U11" s="96" t="str">
        <f>$C11</f>
        <v>Samedi</v>
      </c>
      <c r="V11" s="97">
        <f>$D11</f>
        <v>44044</v>
      </c>
      <c r="W11" s="282"/>
      <c r="X11" s="101">
        <v>33.200000000000003</v>
      </c>
      <c r="Y11" s="282"/>
      <c r="Z11" s="98">
        <v>0.58194444444444404</v>
      </c>
      <c r="AA11" s="280"/>
      <c r="AB11" s="287"/>
      <c r="AC11" s="285"/>
      <c r="AD11" s="96" t="str">
        <f>$C11</f>
        <v>Samedi</v>
      </c>
      <c r="AE11" s="97">
        <f>$D11</f>
        <v>44044</v>
      </c>
      <c r="AF11" s="282"/>
      <c r="AG11" s="259">
        <v>0</v>
      </c>
      <c r="AH11" s="282"/>
      <c r="AI11" s="98">
        <v>0</v>
      </c>
      <c r="AJ11" s="282"/>
      <c r="AK11" s="98">
        <v>0</v>
      </c>
      <c r="AL11" s="282"/>
      <c r="AM11" s="98">
        <v>0</v>
      </c>
      <c r="AN11" s="282"/>
      <c r="AO11" s="98">
        <v>0</v>
      </c>
      <c r="AP11" s="282"/>
      <c r="AQ11" s="98">
        <v>0</v>
      </c>
      <c r="AR11" s="152"/>
      <c r="AS11" s="276"/>
      <c r="AT11" s="285"/>
      <c r="AU11" s="96" t="str">
        <f>$C11</f>
        <v>Samedi</v>
      </c>
      <c r="AV11" s="97">
        <f>$D11</f>
        <v>44044</v>
      </c>
      <c r="AW11" s="282"/>
      <c r="AX11" s="98">
        <v>0.47986111111111113</v>
      </c>
      <c r="AY11" s="152"/>
      <c r="AZ11" s="287"/>
      <c r="BA11" s="297"/>
      <c r="BB11" s="139">
        <f>D11</f>
        <v>44044</v>
      </c>
      <c r="BC11" s="140" t="str">
        <f>$C11</f>
        <v>Samedi</v>
      </c>
      <c r="BD11" s="295"/>
      <c r="BN11" s="275"/>
      <c r="BO11" s="275"/>
    </row>
    <row r="12" spans="1:71" s="396" customFormat="1" ht="5.25" customHeight="1" x14ac:dyDescent="0.25">
      <c r="A12" s="277"/>
      <c r="B12" s="279"/>
      <c r="C12" s="281"/>
      <c r="D12" s="282"/>
      <c r="E12" s="282"/>
      <c r="F12" s="282"/>
      <c r="G12" s="353"/>
      <c r="H12" s="353"/>
      <c r="I12" s="353"/>
      <c r="J12" s="282"/>
      <c r="K12" s="353"/>
      <c r="L12" s="353"/>
      <c r="M12" s="353"/>
      <c r="N12" s="282"/>
      <c r="O12" s="353"/>
      <c r="P12" s="353"/>
      <c r="Q12" s="353"/>
      <c r="R12" s="280"/>
      <c r="S12" s="287"/>
      <c r="T12" s="285"/>
      <c r="U12" s="281"/>
      <c r="V12" s="282"/>
      <c r="W12" s="282"/>
      <c r="X12" s="282"/>
      <c r="Y12" s="282"/>
      <c r="Z12" s="283"/>
      <c r="AA12" s="280"/>
      <c r="AB12" s="287"/>
      <c r="AC12" s="285"/>
      <c r="AD12" s="281"/>
      <c r="AE12" s="282"/>
      <c r="AF12" s="282"/>
      <c r="AG12" s="299"/>
      <c r="AH12" s="282"/>
      <c r="AI12" s="282"/>
      <c r="AJ12" s="282"/>
      <c r="AK12" s="282"/>
      <c r="AL12" s="282"/>
      <c r="AM12" s="282"/>
      <c r="AN12" s="282"/>
      <c r="AO12" s="282"/>
      <c r="AP12" s="282"/>
      <c r="AQ12" s="282"/>
      <c r="AR12" s="152"/>
      <c r="AS12" s="276"/>
      <c r="AT12" s="285"/>
      <c r="AU12" s="281"/>
      <c r="AV12" s="282"/>
      <c r="AW12" s="282"/>
      <c r="AX12" s="283"/>
      <c r="AY12" s="152"/>
      <c r="AZ12" s="287"/>
      <c r="BA12" s="297"/>
      <c r="BB12" s="344"/>
      <c r="BC12" s="343"/>
      <c r="BD12" s="295"/>
      <c r="BN12" s="275"/>
      <c r="BO12" s="275"/>
    </row>
    <row r="13" spans="1:71" s="396" customFormat="1" ht="27" customHeight="1" thickBot="1" x14ac:dyDescent="0.3">
      <c r="A13" s="277"/>
      <c r="B13" s="279"/>
      <c r="C13" s="96" t="str">
        <f>PROPER(TEXT(D13,"JJJJ"))</f>
        <v>Dimanche</v>
      </c>
      <c r="D13" s="97">
        <f>$D11+1</f>
        <v>44045</v>
      </c>
      <c r="E13" s="282"/>
      <c r="F13" s="352">
        <v>17</v>
      </c>
      <c r="G13" s="353"/>
      <c r="H13" s="98">
        <v>0.28333333333333299</v>
      </c>
      <c r="I13" s="353"/>
      <c r="J13" s="352">
        <v>17</v>
      </c>
      <c r="K13" s="353"/>
      <c r="L13" s="98">
        <v>0.28333333333333299</v>
      </c>
      <c r="M13" s="353"/>
      <c r="N13" s="352">
        <v>22.5</v>
      </c>
      <c r="O13" s="353"/>
      <c r="P13" s="98">
        <v>0.58541666666666703</v>
      </c>
      <c r="Q13" s="353"/>
      <c r="R13" s="280"/>
      <c r="S13" s="287"/>
      <c r="T13" s="285"/>
      <c r="U13" s="96" t="str">
        <f>$C13</f>
        <v>Dimanche</v>
      </c>
      <c r="V13" s="97">
        <f>$D13</f>
        <v>44045</v>
      </c>
      <c r="W13" s="282"/>
      <c r="X13" s="101">
        <v>29.5</v>
      </c>
      <c r="Y13" s="282"/>
      <c r="Z13" s="98">
        <v>0.69583333333333297</v>
      </c>
      <c r="AA13" s="280"/>
      <c r="AB13" s="287"/>
      <c r="AC13" s="285"/>
      <c r="AD13" s="96" t="str">
        <f>$C13</f>
        <v>Dimanche</v>
      </c>
      <c r="AE13" s="97">
        <f>$D13</f>
        <v>44045</v>
      </c>
      <c r="AF13" s="282"/>
      <c r="AG13" s="259">
        <v>0</v>
      </c>
      <c r="AH13" s="282"/>
      <c r="AI13" s="98">
        <v>0</v>
      </c>
      <c r="AJ13" s="282"/>
      <c r="AK13" s="98">
        <v>0</v>
      </c>
      <c r="AL13" s="282"/>
      <c r="AM13" s="98">
        <v>0</v>
      </c>
      <c r="AN13" s="282"/>
      <c r="AO13" s="98">
        <v>0</v>
      </c>
      <c r="AP13" s="282"/>
      <c r="AQ13" s="98">
        <v>0</v>
      </c>
      <c r="AR13" s="152"/>
      <c r="AS13" s="276"/>
      <c r="AT13" s="285"/>
      <c r="AU13" s="96" t="str">
        <f>$C13</f>
        <v>Dimanche</v>
      </c>
      <c r="AV13" s="97">
        <f>$D13</f>
        <v>44045</v>
      </c>
      <c r="AW13" s="282"/>
      <c r="AX13" s="98">
        <v>0.43958333333333333</v>
      </c>
      <c r="AY13" s="152"/>
      <c r="AZ13" s="287"/>
      <c r="BA13" s="297"/>
      <c r="BB13" s="139">
        <f>D13</f>
        <v>44045</v>
      </c>
      <c r="BC13" s="140" t="str">
        <f>$C13</f>
        <v>Dimanche</v>
      </c>
      <c r="BD13" s="295"/>
      <c r="BN13" s="275"/>
      <c r="BO13" s="275"/>
    </row>
    <row r="14" spans="1:71" s="396" customFormat="1" ht="27" customHeight="1" thickTop="1" thickBot="1" x14ac:dyDescent="0.3">
      <c r="A14" s="278"/>
      <c r="B14" s="279"/>
      <c r="C14" s="281"/>
      <c r="D14" s="282"/>
      <c r="E14" s="282"/>
      <c r="F14" s="353"/>
      <c r="G14" s="353"/>
      <c r="H14" s="353"/>
      <c r="I14" s="353"/>
      <c r="J14" s="353"/>
      <c r="K14" s="353"/>
      <c r="L14" s="353"/>
      <c r="M14" s="353"/>
      <c r="N14" s="353"/>
      <c r="O14" s="353"/>
      <c r="P14" s="353"/>
      <c r="Q14" s="353"/>
      <c r="R14" s="280"/>
      <c r="S14" s="284"/>
      <c r="T14" s="285"/>
      <c r="U14" s="281"/>
      <c r="V14" s="282"/>
      <c r="W14" s="282"/>
      <c r="X14" s="282"/>
      <c r="Y14" s="282"/>
      <c r="Z14" s="283"/>
      <c r="AA14" s="280"/>
      <c r="AB14" s="284"/>
      <c r="AC14" s="285"/>
      <c r="AD14" s="281"/>
      <c r="AE14" s="282"/>
      <c r="AF14" s="282"/>
      <c r="AG14" s="299"/>
      <c r="AH14" s="282"/>
      <c r="AI14" s="283"/>
      <c r="AJ14" s="282"/>
      <c r="AK14" s="283"/>
      <c r="AL14" s="282"/>
      <c r="AM14" s="283"/>
      <c r="AN14" s="282"/>
      <c r="AO14" s="283"/>
      <c r="AP14" s="282"/>
      <c r="AQ14" s="283"/>
      <c r="AR14" s="152"/>
      <c r="AS14" s="276"/>
      <c r="AT14" s="285"/>
      <c r="AU14" s="281"/>
      <c r="AV14" s="282"/>
      <c r="AW14" s="282"/>
      <c r="AX14" s="283"/>
      <c r="AY14" s="152"/>
      <c r="AZ14" s="286"/>
      <c r="BA14" s="296"/>
      <c r="BB14" s="291"/>
      <c r="BC14" s="292"/>
      <c r="BD14" s="295"/>
      <c r="BN14" s="275"/>
      <c r="BO14" s="275"/>
    </row>
    <row r="15" spans="1:71" s="396" customFormat="1" ht="27" customHeight="1" thickTop="1" x14ac:dyDescent="0.25">
      <c r="A15" s="277"/>
      <c r="B15" s="279"/>
      <c r="C15" s="96" t="str">
        <f>PROPER(TEXT(D15,"JJJJ"))</f>
        <v>Lundi</v>
      </c>
      <c r="D15" s="97">
        <f>$D13+1</f>
        <v>44046</v>
      </c>
      <c r="E15" s="282"/>
      <c r="F15" s="352">
        <v>16.2</v>
      </c>
      <c r="G15" s="353"/>
      <c r="H15" s="354">
        <v>0.11111111111111099</v>
      </c>
      <c r="I15" s="353"/>
      <c r="J15" s="352">
        <v>16.2</v>
      </c>
      <c r="K15" s="353"/>
      <c r="L15" s="354">
        <v>0.11111111111111099</v>
      </c>
      <c r="M15" s="353"/>
      <c r="N15" s="352">
        <v>20.9</v>
      </c>
      <c r="O15" s="353"/>
      <c r="P15" s="354">
        <v>0.59583333333333299</v>
      </c>
      <c r="Q15" s="353"/>
      <c r="R15" s="280"/>
      <c r="S15" s="287"/>
      <c r="T15" s="285"/>
      <c r="U15" s="96" t="str">
        <f>$C15</f>
        <v>Lundi</v>
      </c>
      <c r="V15" s="97">
        <f>$D15</f>
        <v>44046</v>
      </c>
      <c r="W15" s="282"/>
      <c r="X15" s="101">
        <v>31.4</v>
      </c>
      <c r="Y15" s="282"/>
      <c r="Z15" s="98" t="s">
        <v>138</v>
      </c>
      <c r="AA15" s="280"/>
      <c r="AB15" s="287"/>
      <c r="AC15" s="285"/>
      <c r="AD15" s="96" t="str">
        <f>$C15</f>
        <v>Lundi</v>
      </c>
      <c r="AE15" s="97">
        <f>$D15</f>
        <v>44046</v>
      </c>
      <c r="AF15" s="282"/>
      <c r="AG15" s="259">
        <v>0</v>
      </c>
      <c r="AH15" s="282"/>
      <c r="AI15" s="98">
        <v>0</v>
      </c>
      <c r="AJ15" s="282"/>
      <c r="AK15" s="98">
        <v>0</v>
      </c>
      <c r="AL15" s="282"/>
      <c r="AM15" s="98">
        <v>0</v>
      </c>
      <c r="AN15" s="282"/>
      <c r="AO15" s="98">
        <v>0</v>
      </c>
      <c r="AP15" s="282"/>
      <c r="AQ15" s="98">
        <v>0</v>
      </c>
      <c r="AR15" s="152"/>
      <c r="AS15" s="276"/>
      <c r="AT15" s="285"/>
      <c r="AU15" s="96" t="str">
        <f>$C15</f>
        <v>Lundi</v>
      </c>
      <c r="AV15" s="97">
        <f>$D15</f>
        <v>44046</v>
      </c>
      <c r="AW15" s="282"/>
      <c r="AX15" s="98">
        <v>0.46180555555555558</v>
      </c>
      <c r="AY15" s="152"/>
      <c r="AZ15" s="287"/>
      <c r="BA15" s="297"/>
      <c r="BB15" s="139">
        <f>D15</f>
        <v>44046</v>
      </c>
      <c r="BC15" s="140" t="str">
        <f>$C15</f>
        <v>Lundi</v>
      </c>
      <c r="BD15" s="295"/>
      <c r="BE15"/>
      <c r="BF15"/>
      <c r="BG15"/>
      <c r="BH15"/>
      <c r="BI15"/>
      <c r="BJ15"/>
      <c r="BK15"/>
      <c r="BL15"/>
      <c r="BM15"/>
      <c r="BO15" s="275"/>
    </row>
    <row r="16" spans="1:71" s="396" customFormat="1" ht="5.25" customHeight="1" x14ac:dyDescent="0.25">
      <c r="A16" s="277"/>
      <c r="B16" s="279"/>
      <c r="C16" s="281"/>
      <c r="D16" s="282"/>
      <c r="E16" s="282"/>
      <c r="F16" s="353"/>
      <c r="G16" s="353"/>
      <c r="H16" s="353"/>
      <c r="I16" s="353"/>
      <c r="J16" s="353"/>
      <c r="K16" s="353"/>
      <c r="L16" s="353"/>
      <c r="M16" s="353"/>
      <c r="N16" s="353"/>
      <c r="O16" s="353"/>
      <c r="P16" s="353"/>
      <c r="Q16" s="353"/>
      <c r="R16" s="280"/>
      <c r="S16" s="287"/>
      <c r="T16" s="285"/>
      <c r="U16" s="281"/>
      <c r="V16" s="282"/>
      <c r="W16" s="282"/>
      <c r="X16" s="282"/>
      <c r="Y16" s="282"/>
      <c r="Z16" s="283"/>
      <c r="AA16" s="280"/>
      <c r="AB16" s="287"/>
      <c r="AC16" s="285"/>
      <c r="AD16" s="281"/>
      <c r="AE16" s="282"/>
      <c r="AF16" s="282"/>
      <c r="AG16" s="299"/>
      <c r="AH16" s="282"/>
      <c r="AI16" s="282"/>
      <c r="AJ16" s="282"/>
      <c r="AK16" s="282"/>
      <c r="AL16" s="282"/>
      <c r="AM16" s="282"/>
      <c r="AN16" s="282"/>
      <c r="AO16" s="282"/>
      <c r="AP16" s="282"/>
      <c r="AQ16" s="282"/>
      <c r="AR16" s="152"/>
      <c r="AS16" s="276"/>
      <c r="AT16" s="285"/>
      <c r="AU16" s="281"/>
      <c r="AV16" s="282"/>
      <c r="AW16" s="282"/>
      <c r="AX16" s="283"/>
      <c r="AY16" s="152"/>
      <c r="AZ16" s="287"/>
      <c r="BA16" s="297"/>
      <c r="BB16" s="293"/>
      <c r="BC16" s="294"/>
      <c r="BD16" s="295"/>
      <c r="BE16"/>
      <c r="BF16"/>
      <c r="BG16"/>
      <c r="BH16"/>
      <c r="BI16"/>
      <c r="BJ16"/>
      <c r="BK16"/>
      <c r="BL16"/>
      <c r="BM16"/>
      <c r="BN16" s="275"/>
      <c r="BO16" s="275"/>
    </row>
    <row r="17" spans="1:67" s="396" customFormat="1" ht="27" customHeight="1" x14ac:dyDescent="0.25">
      <c r="A17" s="277"/>
      <c r="B17" s="279"/>
      <c r="C17" s="96" t="str">
        <f>PROPER(TEXT(D17,"JJJJ"))</f>
        <v>Mardi</v>
      </c>
      <c r="D17" s="97">
        <f>$D15+1</f>
        <v>44047</v>
      </c>
      <c r="E17" s="282"/>
      <c r="F17" s="352">
        <v>11.4</v>
      </c>
      <c r="G17" s="353"/>
      <c r="H17" s="354">
        <v>0.30069444444444399</v>
      </c>
      <c r="I17" s="353"/>
      <c r="J17" s="352">
        <v>11.4</v>
      </c>
      <c r="K17" s="353"/>
      <c r="L17" s="354">
        <v>0.30069444444444399</v>
      </c>
      <c r="M17" s="353"/>
      <c r="N17" s="352">
        <v>23.1</v>
      </c>
      <c r="O17" s="353"/>
      <c r="P17" s="354">
        <v>0.61805555555555602</v>
      </c>
      <c r="Q17" s="353"/>
      <c r="R17" s="280"/>
      <c r="S17" s="287"/>
      <c r="T17" s="285"/>
      <c r="U17" s="96" t="str">
        <f>$C17</f>
        <v>Mardi</v>
      </c>
      <c r="V17" s="97">
        <f>$D17</f>
        <v>44047</v>
      </c>
      <c r="W17" s="282"/>
      <c r="X17" s="101">
        <v>16.600000000000001</v>
      </c>
      <c r="Y17" s="282"/>
      <c r="Z17" s="98">
        <v>0.655555555555556</v>
      </c>
      <c r="AA17" s="280"/>
      <c r="AB17" s="287"/>
      <c r="AC17" s="285"/>
      <c r="AD17" s="96" t="str">
        <f>$C17</f>
        <v>Mardi</v>
      </c>
      <c r="AE17" s="97">
        <f>$D17</f>
        <v>44047</v>
      </c>
      <c r="AF17" s="282"/>
      <c r="AG17" s="259">
        <v>0</v>
      </c>
      <c r="AH17" s="282"/>
      <c r="AI17" s="98">
        <v>0</v>
      </c>
      <c r="AJ17" s="282"/>
      <c r="AK17" s="98">
        <v>0</v>
      </c>
      <c r="AL17" s="282"/>
      <c r="AM17" s="98">
        <v>0</v>
      </c>
      <c r="AN17" s="282"/>
      <c r="AO17" s="98">
        <v>0</v>
      </c>
      <c r="AP17" s="282"/>
      <c r="AQ17" s="98">
        <v>0</v>
      </c>
      <c r="AR17" s="152"/>
      <c r="AS17" s="276"/>
      <c r="AT17" s="285"/>
      <c r="AU17" s="96" t="str">
        <f>$C17</f>
        <v>Mardi</v>
      </c>
      <c r="AV17" s="97">
        <f>$D17</f>
        <v>44047</v>
      </c>
      <c r="AW17" s="282"/>
      <c r="AX17" s="98">
        <v>0.55763888888888891</v>
      </c>
      <c r="AY17" s="152"/>
      <c r="AZ17" s="287"/>
      <c r="BA17" s="297"/>
      <c r="BB17" s="139">
        <f>D17</f>
        <v>44047</v>
      </c>
      <c r="BC17" s="140" t="str">
        <f>$C17</f>
        <v>Mardi</v>
      </c>
      <c r="BD17" s="295"/>
      <c r="BE17"/>
      <c r="BF17"/>
      <c r="BG17"/>
      <c r="BH17"/>
      <c r="BI17"/>
      <c r="BJ17"/>
      <c r="BK17"/>
      <c r="BL17"/>
      <c r="BM17"/>
      <c r="BN17" s="275"/>
      <c r="BO17" s="275"/>
    </row>
    <row r="18" spans="1:67" s="396" customFormat="1" ht="5.25" customHeight="1" x14ac:dyDescent="0.25">
      <c r="A18" s="277"/>
      <c r="B18" s="279"/>
      <c r="C18" s="281"/>
      <c r="D18" s="282"/>
      <c r="E18" s="282"/>
      <c r="F18" s="282"/>
      <c r="G18" s="353"/>
      <c r="H18" s="353"/>
      <c r="I18" s="353"/>
      <c r="J18" s="282"/>
      <c r="K18" s="353"/>
      <c r="L18" s="353"/>
      <c r="M18" s="353"/>
      <c r="N18" s="282"/>
      <c r="O18" s="353"/>
      <c r="P18" s="353"/>
      <c r="Q18" s="353"/>
      <c r="R18" s="280"/>
      <c r="S18" s="287"/>
      <c r="T18" s="285"/>
      <c r="U18" s="281"/>
      <c r="V18" s="282"/>
      <c r="W18" s="282"/>
      <c r="X18" s="282"/>
      <c r="Y18" s="282"/>
      <c r="Z18" s="283"/>
      <c r="AA18" s="280"/>
      <c r="AB18" s="287"/>
      <c r="AC18" s="285"/>
      <c r="AD18" s="281"/>
      <c r="AE18" s="282"/>
      <c r="AF18" s="282"/>
      <c r="AG18" s="299"/>
      <c r="AH18" s="282"/>
      <c r="AI18" s="282"/>
      <c r="AJ18" s="282"/>
      <c r="AK18" s="282"/>
      <c r="AL18" s="282"/>
      <c r="AM18" s="282"/>
      <c r="AN18" s="282"/>
      <c r="AO18" s="282"/>
      <c r="AP18" s="282"/>
      <c r="AQ18" s="282"/>
      <c r="AR18" s="152"/>
      <c r="AS18" s="276"/>
      <c r="AT18" s="285"/>
      <c r="AU18" s="281"/>
      <c r="AV18" s="282"/>
      <c r="AW18" s="282"/>
      <c r="AX18" s="283"/>
      <c r="AY18" s="152"/>
      <c r="AZ18" s="287"/>
      <c r="BA18" s="297"/>
      <c r="BB18" s="293"/>
      <c r="BC18" s="294"/>
      <c r="BD18" s="295"/>
      <c r="BE18"/>
      <c r="BF18"/>
      <c r="BG18"/>
      <c r="BH18"/>
      <c r="BI18"/>
      <c r="BJ18"/>
      <c r="BK18"/>
      <c r="BL18"/>
      <c r="BM18"/>
      <c r="BN18" s="275"/>
      <c r="BO18" s="275"/>
    </row>
    <row r="19" spans="1:67" s="272" customFormat="1" ht="27" customHeight="1" x14ac:dyDescent="0.25">
      <c r="A19" s="277"/>
      <c r="B19" s="279"/>
      <c r="C19" s="96" t="str">
        <f>PROPER(TEXT(D19,"JJJJ"))</f>
        <v>Mercredi</v>
      </c>
      <c r="D19" s="97">
        <f>$D17+1</f>
        <v>44048</v>
      </c>
      <c r="E19" s="282"/>
      <c r="F19" s="352">
        <v>11</v>
      </c>
      <c r="G19" s="353"/>
      <c r="H19" s="354">
        <v>0.297222222222222</v>
      </c>
      <c r="I19" s="353"/>
      <c r="J19" s="352">
        <v>11</v>
      </c>
      <c r="K19" s="353"/>
      <c r="L19" s="354">
        <v>0.297222222222222</v>
      </c>
      <c r="M19" s="353"/>
      <c r="N19" s="352">
        <v>26.6</v>
      </c>
      <c r="O19" s="353"/>
      <c r="P19" s="354">
        <v>0.59027777777777801</v>
      </c>
      <c r="Q19" s="353"/>
      <c r="R19" s="280"/>
      <c r="S19" s="287"/>
      <c r="T19" s="285"/>
      <c r="U19" s="96" t="str">
        <f>$C19</f>
        <v>Mercredi</v>
      </c>
      <c r="V19" s="97">
        <f>$D19</f>
        <v>44048</v>
      </c>
      <c r="W19" s="282"/>
      <c r="X19" s="101">
        <v>20.2</v>
      </c>
      <c r="Y19" s="282"/>
      <c r="Z19" s="98">
        <v>0.70069444444444495</v>
      </c>
      <c r="AA19" s="280"/>
      <c r="AB19" s="287"/>
      <c r="AC19" s="285"/>
      <c r="AD19" s="96" t="str">
        <f>$C19</f>
        <v>Mercredi</v>
      </c>
      <c r="AE19" s="97">
        <f>$D19</f>
        <v>44048</v>
      </c>
      <c r="AF19" s="282"/>
      <c r="AG19" s="259">
        <v>0</v>
      </c>
      <c r="AH19" s="282"/>
      <c r="AI19" s="98">
        <v>0</v>
      </c>
      <c r="AJ19" s="282"/>
      <c r="AK19" s="98">
        <v>0</v>
      </c>
      <c r="AL19" s="282"/>
      <c r="AM19" s="98">
        <v>0</v>
      </c>
      <c r="AN19" s="282"/>
      <c r="AO19" s="98">
        <v>0</v>
      </c>
      <c r="AP19" s="282"/>
      <c r="AQ19" s="98">
        <v>0</v>
      </c>
      <c r="AR19" s="152"/>
      <c r="AS19" s="276"/>
      <c r="AT19" s="285"/>
      <c r="AU19" s="96" t="str">
        <f>$C19</f>
        <v>Mercredi</v>
      </c>
      <c r="AV19" s="97">
        <f>$D19</f>
        <v>44048</v>
      </c>
      <c r="AW19" s="282"/>
      <c r="AX19" s="98">
        <v>0.54861111111111116</v>
      </c>
      <c r="AY19" s="152"/>
      <c r="AZ19" s="287"/>
      <c r="BA19" s="297"/>
      <c r="BB19" s="139">
        <f>D19</f>
        <v>44048</v>
      </c>
      <c r="BC19" s="140" t="str">
        <f>$C19</f>
        <v>Mercredi</v>
      </c>
      <c r="BD19" s="295"/>
      <c r="BE19"/>
      <c r="BF19"/>
      <c r="BG19"/>
      <c r="BH19"/>
      <c r="BI19"/>
      <c r="BJ19"/>
      <c r="BK19"/>
      <c r="BL19"/>
      <c r="BM19"/>
      <c r="BN19" s="275"/>
      <c r="BO19" s="275"/>
    </row>
    <row r="20" spans="1:67" s="272" customFormat="1" ht="5.25" customHeight="1" x14ac:dyDescent="0.25">
      <c r="A20" s="277"/>
      <c r="B20" s="279"/>
      <c r="C20" s="281"/>
      <c r="D20" s="282"/>
      <c r="E20" s="282"/>
      <c r="F20" s="282"/>
      <c r="G20" s="353"/>
      <c r="H20" s="353"/>
      <c r="I20" s="353"/>
      <c r="J20" s="282"/>
      <c r="K20" s="353"/>
      <c r="L20" s="353"/>
      <c r="M20" s="353"/>
      <c r="N20" s="282"/>
      <c r="O20" s="353"/>
      <c r="P20" s="353"/>
      <c r="Q20" s="353"/>
      <c r="R20" s="280"/>
      <c r="S20" s="287"/>
      <c r="T20" s="285"/>
      <c r="U20" s="281"/>
      <c r="V20" s="282"/>
      <c r="W20" s="282"/>
      <c r="X20" s="282"/>
      <c r="Y20" s="282"/>
      <c r="Z20" s="283"/>
      <c r="AA20" s="280"/>
      <c r="AB20" s="287"/>
      <c r="AC20" s="285"/>
      <c r="AD20" s="281"/>
      <c r="AE20" s="282"/>
      <c r="AF20" s="282"/>
      <c r="AG20" s="299"/>
      <c r="AH20" s="282"/>
      <c r="AI20" s="282"/>
      <c r="AJ20" s="282"/>
      <c r="AK20" s="282"/>
      <c r="AL20" s="282"/>
      <c r="AM20" s="282"/>
      <c r="AN20" s="282"/>
      <c r="AO20" s="282"/>
      <c r="AP20" s="282"/>
      <c r="AQ20" s="282"/>
      <c r="AR20" s="152"/>
      <c r="AS20" s="276"/>
      <c r="AT20" s="285"/>
      <c r="AU20" s="281"/>
      <c r="AV20" s="282"/>
      <c r="AW20" s="282"/>
      <c r="AX20" s="283"/>
      <c r="AY20" s="152"/>
      <c r="AZ20" s="287"/>
      <c r="BA20" s="297"/>
      <c r="BB20" s="293"/>
      <c r="BC20" s="294"/>
      <c r="BD20" s="295"/>
      <c r="BE20"/>
      <c r="BF20"/>
      <c r="BG20"/>
      <c r="BH20"/>
      <c r="BI20"/>
      <c r="BJ20"/>
      <c r="BK20"/>
      <c r="BL20"/>
      <c r="BM20"/>
      <c r="BN20" s="275"/>
      <c r="BO20" s="275"/>
    </row>
    <row r="21" spans="1:67" s="272" customFormat="1" ht="27" customHeight="1" x14ac:dyDescent="0.25">
      <c r="A21" s="277"/>
      <c r="B21" s="279"/>
      <c r="C21" s="96" t="str">
        <f>PROPER(TEXT(D21,"JJJJ"))</f>
        <v>Jeudi</v>
      </c>
      <c r="D21" s="97">
        <f>$D19+1</f>
        <v>44049</v>
      </c>
      <c r="E21" s="282"/>
      <c r="F21" s="352">
        <v>14.5</v>
      </c>
      <c r="G21" s="353"/>
      <c r="H21" s="354">
        <v>0.29513888888888901</v>
      </c>
      <c r="I21" s="353"/>
      <c r="J21" s="352">
        <v>14.5</v>
      </c>
      <c r="K21" s="353"/>
      <c r="L21" s="354">
        <v>0.29513888888888901</v>
      </c>
      <c r="M21" s="353"/>
      <c r="N21" s="352">
        <v>33.4</v>
      </c>
      <c r="O21" s="353"/>
      <c r="P21" s="354">
        <v>0.62222222222222201</v>
      </c>
      <c r="Q21" s="353"/>
      <c r="R21" s="280"/>
      <c r="S21" s="287"/>
      <c r="T21" s="285"/>
      <c r="U21" s="96" t="str">
        <f>$C21</f>
        <v>Jeudi</v>
      </c>
      <c r="V21" s="97">
        <f>$D21</f>
        <v>44049</v>
      </c>
      <c r="W21" s="282"/>
      <c r="X21" s="101">
        <v>18.3</v>
      </c>
      <c r="Y21" s="282"/>
      <c r="Z21" s="98">
        <v>0.64166666666666705</v>
      </c>
      <c r="AA21" s="280"/>
      <c r="AB21" s="287"/>
      <c r="AC21" s="285"/>
      <c r="AD21" s="96" t="str">
        <f>$C21</f>
        <v>Jeudi</v>
      </c>
      <c r="AE21" s="97">
        <f>$D21</f>
        <v>44049</v>
      </c>
      <c r="AF21" s="282"/>
      <c r="AG21" s="259">
        <v>0</v>
      </c>
      <c r="AH21" s="282"/>
      <c r="AI21" s="98">
        <v>0</v>
      </c>
      <c r="AJ21" s="282"/>
      <c r="AK21" s="98">
        <v>0</v>
      </c>
      <c r="AL21" s="282"/>
      <c r="AM21" s="98">
        <v>0</v>
      </c>
      <c r="AN21" s="282"/>
      <c r="AO21" s="98">
        <v>0</v>
      </c>
      <c r="AP21" s="282"/>
      <c r="AQ21" s="98">
        <v>0</v>
      </c>
      <c r="AR21" s="152"/>
      <c r="AS21" s="276"/>
      <c r="AT21" s="285"/>
      <c r="AU21" s="96" t="str">
        <f>$C21</f>
        <v>Jeudi</v>
      </c>
      <c r="AV21" s="97">
        <f>$D21</f>
        <v>44049</v>
      </c>
      <c r="AW21" s="282"/>
      <c r="AX21" s="98">
        <v>0.5444444444444444</v>
      </c>
      <c r="AY21" s="152"/>
      <c r="AZ21" s="287"/>
      <c r="BA21" s="297"/>
      <c r="BB21" s="139">
        <f>D21</f>
        <v>44049</v>
      </c>
      <c r="BC21" s="140" t="str">
        <f>$C21</f>
        <v>Jeudi</v>
      </c>
      <c r="BD21" s="295"/>
      <c r="BE21"/>
      <c r="BF21"/>
      <c r="BG21"/>
      <c r="BH21"/>
      <c r="BI21"/>
      <c r="BJ21"/>
      <c r="BK21"/>
      <c r="BL21"/>
      <c r="BM21"/>
      <c r="BN21" s="275"/>
      <c r="BO21" s="275"/>
    </row>
    <row r="22" spans="1:67" s="272" customFormat="1" ht="5.25" customHeight="1" x14ac:dyDescent="0.25">
      <c r="A22" s="277"/>
      <c r="B22" s="279"/>
      <c r="C22" s="281"/>
      <c r="D22" s="282"/>
      <c r="E22" s="282"/>
      <c r="F22" s="282"/>
      <c r="G22" s="353"/>
      <c r="H22" s="353"/>
      <c r="I22" s="353"/>
      <c r="J22" s="282"/>
      <c r="K22" s="353"/>
      <c r="L22" s="353"/>
      <c r="M22" s="353"/>
      <c r="N22" s="282"/>
      <c r="O22" s="353"/>
      <c r="P22" s="353"/>
      <c r="Q22" s="353"/>
      <c r="R22" s="280"/>
      <c r="S22" s="287"/>
      <c r="T22" s="285"/>
      <c r="U22" s="281"/>
      <c r="V22" s="282"/>
      <c r="W22" s="282"/>
      <c r="X22" s="282"/>
      <c r="Y22" s="282"/>
      <c r="Z22" s="283"/>
      <c r="AA22" s="280"/>
      <c r="AB22" s="287"/>
      <c r="AC22" s="285"/>
      <c r="AD22" s="281"/>
      <c r="AE22" s="282"/>
      <c r="AF22" s="282"/>
      <c r="AG22" s="299"/>
      <c r="AH22" s="282"/>
      <c r="AI22" s="282"/>
      <c r="AJ22" s="282"/>
      <c r="AK22" s="282"/>
      <c r="AL22" s="282"/>
      <c r="AM22" s="282"/>
      <c r="AN22" s="282"/>
      <c r="AO22" s="282"/>
      <c r="AP22" s="282"/>
      <c r="AQ22" s="282"/>
      <c r="AR22" s="152"/>
      <c r="AS22" s="276"/>
      <c r="AT22" s="285"/>
      <c r="AU22" s="281"/>
      <c r="AV22" s="282"/>
      <c r="AW22" s="282"/>
      <c r="AX22" s="283"/>
      <c r="AY22" s="152"/>
      <c r="AZ22" s="287"/>
      <c r="BA22" s="297"/>
      <c r="BB22" s="289"/>
      <c r="BC22" s="290"/>
      <c r="BD22" s="295"/>
      <c r="BE22"/>
      <c r="BF22"/>
      <c r="BG22"/>
      <c r="BH22"/>
      <c r="BI22"/>
      <c r="BJ22"/>
      <c r="BK22"/>
      <c r="BL22"/>
      <c r="BM22"/>
      <c r="BN22" s="275"/>
      <c r="BO22" s="275"/>
    </row>
    <row r="23" spans="1:67" s="272" customFormat="1" ht="27" customHeight="1" x14ac:dyDescent="0.25">
      <c r="A23" s="277"/>
      <c r="B23" s="279"/>
      <c r="C23" s="96" t="str">
        <f>PROPER(TEXT(D23,"JJJJ"))</f>
        <v>Vendredi</v>
      </c>
      <c r="D23" s="97">
        <f>$D21+1</f>
        <v>44050</v>
      </c>
      <c r="E23" s="282"/>
      <c r="F23" s="352">
        <v>18.2</v>
      </c>
      <c r="G23" s="353"/>
      <c r="H23" s="354">
        <v>0.26944444444444399</v>
      </c>
      <c r="I23" s="353"/>
      <c r="J23" s="352">
        <v>18.2</v>
      </c>
      <c r="K23" s="353"/>
      <c r="L23" s="354">
        <v>0.26944444444444399</v>
      </c>
      <c r="M23" s="353"/>
      <c r="N23" s="352">
        <v>36.299999999999997</v>
      </c>
      <c r="O23" s="353"/>
      <c r="P23" s="354">
        <v>0.62847222222222199</v>
      </c>
      <c r="Q23" s="353"/>
      <c r="R23" s="280"/>
      <c r="S23" s="287"/>
      <c r="T23" s="285"/>
      <c r="U23" s="96" t="str">
        <f>$C23</f>
        <v>Vendredi</v>
      </c>
      <c r="V23" s="97">
        <f>$D23</f>
        <v>44050</v>
      </c>
      <c r="W23" s="282"/>
      <c r="X23" s="101">
        <v>16.600000000000001</v>
      </c>
      <c r="Y23" s="282"/>
      <c r="Z23" s="98">
        <v>0.70347222222222205</v>
      </c>
      <c r="AA23" s="280"/>
      <c r="AB23" s="287"/>
      <c r="AC23" s="285"/>
      <c r="AD23" s="96" t="str">
        <f>$C23</f>
        <v>Vendredi</v>
      </c>
      <c r="AE23" s="97">
        <f>$D23</f>
        <v>44050</v>
      </c>
      <c r="AF23" s="282"/>
      <c r="AG23" s="259">
        <v>0</v>
      </c>
      <c r="AH23" s="282"/>
      <c r="AI23" s="98">
        <v>0</v>
      </c>
      <c r="AJ23" s="282"/>
      <c r="AK23" s="98">
        <v>0</v>
      </c>
      <c r="AL23" s="282"/>
      <c r="AM23" s="98">
        <v>0</v>
      </c>
      <c r="AN23" s="282"/>
      <c r="AO23" s="98">
        <v>0</v>
      </c>
      <c r="AP23" s="282"/>
      <c r="AQ23" s="98">
        <v>0</v>
      </c>
      <c r="AR23" s="152"/>
      <c r="AS23" s="276"/>
      <c r="AT23" s="285"/>
      <c r="AU23" s="96" t="str">
        <f>$C23</f>
        <v>Vendredi</v>
      </c>
      <c r="AV23" s="97">
        <f>$D23</f>
        <v>44050</v>
      </c>
      <c r="AW23" s="282"/>
      <c r="AX23" s="98">
        <v>0.54722222222222217</v>
      </c>
      <c r="AY23" s="152"/>
      <c r="AZ23" s="287"/>
      <c r="BA23" s="297"/>
      <c r="BB23" s="139">
        <f>D23</f>
        <v>44050</v>
      </c>
      <c r="BC23" s="140" t="str">
        <f>$C23</f>
        <v>Vendredi</v>
      </c>
      <c r="BD23" s="295"/>
      <c r="BE23"/>
      <c r="BF23"/>
      <c r="BG23"/>
      <c r="BH23"/>
      <c r="BI23"/>
      <c r="BJ23"/>
      <c r="BK23"/>
      <c r="BL23"/>
      <c r="BM23"/>
      <c r="BN23" s="275"/>
      <c r="BO23" s="275"/>
    </row>
    <row r="24" spans="1:67" s="396" customFormat="1" ht="5.25" customHeight="1" x14ac:dyDescent="0.25">
      <c r="A24" s="277"/>
      <c r="B24" s="279"/>
      <c r="C24" s="281"/>
      <c r="D24" s="282"/>
      <c r="E24" s="282"/>
      <c r="F24" s="282"/>
      <c r="G24" s="353"/>
      <c r="H24" s="353"/>
      <c r="I24" s="353"/>
      <c r="J24" s="282"/>
      <c r="K24" s="353"/>
      <c r="L24" s="353"/>
      <c r="M24" s="353"/>
      <c r="N24" s="282"/>
      <c r="O24" s="353"/>
      <c r="P24" s="353"/>
      <c r="Q24" s="353"/>
      <c r="R24" s="280"/>
      <c r="S24" s="287"/>
      <c r="T24" s="285"/>
      <c r="U24" s="281"/>
      <c r="V24" s="282"/>
      <c r="W24" s="282"/>
      <c r="X24" s="282"/>
      <c r="Y24" s="282"/>
      <c r="Z24" s="283"/>
      <c r="AA24" s="280"/>
      <c r="AB24" s="287"/>
      <c r="AC24" s="285"/>
      <c r="AD24" s="281"/>
      <c r="AE24" s="282"/>
      <c r="AF24" s="282"/>
      <c r="AG24" s="299"/>
      <c r="AH24" s="282"/>
      <c r="AI24" s="282"/>
      <c r="AJ24" s="282"/>
      <c r="AK24" s="282"/>
      <c r="AL24" s="282"/>
      <c r="AM24" s="282"/>
      <c r="AN24" s="282"/>
      <c r="AO24" s="282"/>
      <c r="AP24" s="282"/>
      <c r="AQ24" s="282"/>
      <c r="AR24" s="152"/>
      <c r="AS24" s="276"/>
      <c r="AT24" s="285"/>
      <c r="AU24" s="281"/>
      <c r="AV24" s="282"/>
      <c r="AW24" s="282"/>
      <c r="AX24" s="283"/>
      <c r="AY24" s="152"/>
      <c r="AZ24" s="287"/>
      <c r="BA24" s="297"/>
      <c r="BB24" s="289"/>
      <c r="BC24" s="290"/>
      <c r="BD24" s="295"/>
      <c r="BN24" s="275"/>
      <c r="BO24" s="275"/>
    </row>
    <row r="25" spans="1:67" s="272" customFormat="1" ht="27" customHeight="1" x14ac:dyDescent="0.25">
      <c r="A25" s="277"/>
      <c r="B25" s="279"/>
      <c r="C25" s="96" t="str">
        <f>PROPER(TEXT(D25,"JJJJ"))</f>
        <v>Samedi</v>
      </c>
      <c r="D25" s="97">
        <f>$D23+1</f>
        <v>44051</v>
      </c>
      <c r="E25" s="282"/>
      <c r="F25" s="352">
        <v>21</v>
      </c>
      <c r="G25" s="353"/>
      <c r="H25" s="354">
        <v>0.91249999999999998</v>
      </c>
      <c r="I25" s="353"/>
      <c r="J25" s="352">
        <v>21</v>
      </c>
      <c r="K25" s="353"/>
      <c r="L25" s="354">
        <v>0.91249999999999998</v>
      </c>
      <c r="M25" s="353"/>
      <c r="N25" s="352">
        <v>26.8</v>
      </c>
      <c r="O25" s="353"/>
      <c r="P25" s="354">
        <v>0.64166666666666705</v>
      </c>
      <c r="Q25" s="353"/>
      <c r="R25" s="280"/>
      <c r="S25" s="287"/>
      <c r="T25" s="285"/>
      <c r="U25" s="96" t="str">
        <f>$C25</f>
        <v>Samedi</v>
      </c>
      <c r="V25" s="97">
        <f>$D25</f>
        <v>44051</v>
      </c>
      <c r="W25" s="282"/>
      <c r="X25" s="101">
        <v>21.9</v>
      </c>
      <c r="Y25" s="282"/>
      <c r="Z25" s="98">
        <v>0.78263888888888899</v>
      </c>
      <c r="AA25" s="280"/>
      <c r="AB25" s="287"/>
      <c r="AC25" s="285"/>
      <c r="AD25" s="96" t="str">
        <f>$C25</f>
        <v>Samedi</v>
      </c>
      <c r="AE25" s="97">
        <f>$D25</f>
        <v>44051</v>
      </c>
      <c r="AF25" s="282"/>
      <c r="AG25" s="259">
        <v>0</v>
      </c>
      <c r="AH25" s="282"/>
      <c r="AI25" s="98">
        <v>0</v>
      </c>
      <c r="AJ25" s="282"/>
      <c r="AK25" s="98">
        <v>0</v>
      </c>
      <c r="AL25" s="282"/>
      <c r="AM25" s="98">
        <v>0</v>
      </c>
      <c r="AN25" s="282"/>
      <c r="AO25" s="98">
        <v>0</v>
      </c>
      <c r="AP25" s="282"/>
      <c r="AQ25" s="98">
        <v>0</v>
      </c>
      <c r="AR25" s="152"/>
      <c r="AS25" s="276"/>
      <c r="AT25" s="285"/>
      <c r="AU25" s="96" t="str">
        <f>$C25</f>
        <v>Samedi</v>
      </c>
      <c r="AV25" s="97">
        <f>$D25</f>
        <v>44051</v>
      </c>
      <c r="AW25" s="282"/>
      <c r="AX25" s="98">
        <v>0.51180555555555551</v>
      </c>
      <c r="AY25" s="152"/>
      <c r="AZ25" s="287"/>
      <c r="BA25" s="297"/>
      <c r="BB25" s="139">
        <f>D25</f>
        <v>44051</v>
      </c>
      <c r="BC25" s="140" t="str">
        <f>$C25</f>
        <v>Samedi</v>
      </c>
      <c r="BD25" s="295"/>
      <c r="BE25"/>
      <c r="BF25"/>
      <c r="BG25"/>
      <c r="BH25"/>
      <c r="BI25"/>
      <c r="BJ25"/>
      <c r="BK25"/>
      <c r="BL25"/>
      <c r="BM25"/>
      <c r="BN25" s="275"/>
      <c r="BO25" s="275"/>
    </row>
    <row r="26" spans="1:67" s="272" customFormat="1" ht="5.25" customHeight="1" x14ac:dyDescent="0.25">
      <c r="A26" s="277"/>
      <c r="B26" s="279"/>
      <c r="C26" s="281"/>
      <c r="D26" s="282"/>
      <c r="E26" s="282"/>
      <c r="F26" s="282"/>
      <c r="G26" s="353"/>
      <c r="H26" s="353"/>
      <c r="I26" s="353"/>
      <c r="J26" s="282"/>
      <c r="K26" s="353"/>
      <c r="L26" s="353"/>
      <c r="M26" s="353"/>
      <c r="N26" s="282"/>
      <c r="O26" s="353"/>
      <c r="P26" s="353"/>
      <c r="Q26" s="353"/>
      <c r="R26" s="280"/>
      <c r="S26" s="287"/>
      <c r="T26" s="285"/>
      <c r="U26" s="281"/>
      <c r="V26" s="282"/>
      <c r="W26" s="282"/>
      <c r="X26" s="282"/>
      <c r="Y26" s="282"/>
      <c r="Z26" s="283"/>
      <c r="AA26" s="280"/>
      <c r="AB26" s="287"/>
      <c r="AC26" s="285"/>
      <c r="AD26" s="281"/>
      <c r="AE26" s="282"/>
      <c r="AF26" s="282"/>
      <c r="AG26" s="299"/>
      <c r="AH26" s="282"/>
      <c r="AI26" s="282"/>
      <c r="AJ26" s="282"/>
      <c r="AK26" s="282"/>
      <c r="AL26" s="282"/>
      <c r="AM26" s="282"/>
      <c r="AN26" s="282"/>
      <c r="AO26" s="282"/>
      <c r="AP26" s="282"/>
      <c r="AQ26" s="282"/>
      <c r="AR26" s="152"/>
      <c r="AS26" s="276"/>
      <c r="AT26" s="285"/>
      <c r="AU26" s="281"/>
      <c r="AV26" s="282"/>
      <c r="AW26" s="282"/>
      <c r="AX26" s="283"/>
      <c r="AY26" s="152"/>
      <c r="AZ26" s="287"/>
      <c r="BA26" s="297"/>
      <c r="BB26" s="344"/>
      <c r="BC26" s="343"/>
      <c r="BD26" s="295"/>
      <c r="BE26"/>
      <c r="BF26"/>
      <c r="BG26"/>
      <c r="BH26"/>
      <c r="BI26"/>
      <c r="BJ26"/>
      <c r="BK26"/>
      <c r="BL26"/>
      <c r="BM26"/>
      <c r="BN26" s="275"/>
      <c r="BO26" s="275"/>
    </row>
    <row r="27" spans="1:67" s="272" customFormat="1" ht="27" customHeight="1" thickBot="1" x14ac:dyDescent="0.3">
      <c r="A27" s="277"/>
      <c r="B27" s="279"/>
      <c r="C27" s="96" t="str">
        <f>PROPER(TEXT(D27,"JJJJ"))</f>
        <v>Dimanche</v>
      </c>
      <c r="D27" s="97">
        <f>$D25+1</f>
        <v>44052</v>
      </c>
      <c r="E27" s="282"/>
      <c r="F27" s="352">
        <v>18.399999999999999</v>
      </c>
      <c r="G27" s="353"/>
      <c r="H27" s="354">
        <v>0.28749999999999998</v>
      </c>
      <c r="I27" s="353"/>
      <c r="J27" s="352">
        <v>18.399999999999999</v>
      </c>
      <c r="K27" s="353"/>
      <c r="L27" s="354">
        <v>0.28749999999999998</v>
      </c>
      <c r="M27" s="353"/>
      <c r="N27" s="352">
        <v>30</v>
      </c>
      <c r="O27" s="353"/>
      <c r="P27" s="354">
        <v>0.72777777777777797</v>
      </c>
      <c r="Q27" s="353"/>
      <c r="R27" s="280"/>
      <c r="S27" s="287"/>
      <c r="T27" s="285"/>
      <c r="U27" s="96" t="str">
        <f>$C27</f>
        <v>Dimanche</v>
      </c>
      <c r="V27" s="97">
        <f>$D27</f>
        <v>44052</v>
      </c>
      <c r="W27" s="282"/>
      <c r="X27" s="101">
        <v>18.3</v>
      </c>
      <c r="Y27" s="282"/>
      <c r="Z27" s="98">
        <v>0.122222222222222</v>
      </c>
      <c r="AA27" s="280"/>
      <c r="AB27" s="287"/>
      <c r="AC27" s="285"/>
      <c r="AD27" s="96" t="str">
        <f>$C27</f>
        <v>Dimanche</v>
      </c>
      <c r="AE27" s="97">
        <f>$D27</f>
        <v>44052</v>
      </c>
      <c r="AF27" s="282"/>
      <c r="AG27" s="259">
        <v>0</v>
      </c>
      <c r="AH27" s="282"/>
      <c r="AI27" s="98">
        <v>0</v>
      </c>
      <c r="AJ27" s="282"/>
      <c r="AK27" s="98">
        <v>0</v>
      </c>
      <c r="AL27" s="282"/>
      <c r="AM27" s="98">
        <v>0</v>
      </c>
      <c r="AN27" s="282"/>
      <c r="AO27" s="98">
        <v>0</v>
      </c>
      <c r="AP27" s="282"/>
      <c r="AQ27" s="98">
        <v>0</v>
      </c>
      <c r="AR27" s="152"/>
      <c r="AS27" s="276"/>
      <c r="AT27" s="285"/>
      <c r="AU27" s="96" t="str">
        <f>$C27</f>
        <v>Dimanche</v>
      </c>
      <c r="AV27" s="97">
        <f>$D27</f>
        <v>44052</v>
      </c>
      <c r="AW27" s="282"/>
      <c r="AX27" s="98">
        <v>0.51388888888888895</v>
      </c>
      <c r="AY27" s="152"/>
      <c r="AZ27" s="287"/>
      <c r="BA27" s="297"/>
      <c r="BB27" s="139">
        <f>D27</f>
        <v>44052</v>
      </c>
      <c r="BC27" s="140" t="str">
        <f>$C27</f>
        <v>Dimanche</v>
      </c>
      <c r="BD27" s="295"/>
      <c r="BE27"/>
      <c r="BF27"/>
      <c r="BG27"/>
      <c r="BH27"/>
      <c r="BI27"/>
      <c r="BJ27"/>
      <c r="BK27"/>
      <c r="BL27"/>
      <c r="BM27"/>
      <c r="BN27" s="275"/>
      <c r="BO27" s="275"/>
    </row>
    <row r="28" spans="1:67" s="272" customFormat="1" ht="27" customHeight="1" thickTop="1" thickBot="1" x14ac:dyDescent="0.3">
      <c r="A28" s="278"/>
      <c r="B28" s="279"/>
      <c r="C28" s="281"/>
      <c r="D28" s="282"/>
      <c r="E28" s="282"/>
      <c r="F28" s="353"/>
      <c r="G28" s="353"/>
      <c r="H28" s="353"/>
      <c r="I28" s="353"/>
      <c r="J28" s="353"/>
      <c r="K28" s="353"/>
      <c r="L28" s="353"/>
      <c r="M28" s="353"/>
      <c r="N28" s="353"/>
      <c r="O28" s="353"/>
      <c r="P28" s="353"/>
      <c r="Q28" s="353"/>
      <c r="R28" s="280"/>
      <c r="S28" s="284"/>
      <c r="T28" s="285"/>
      <c r="U28" s="281"/>
      <c r="V28" s="282"/>
      <c r="W28" s="282"/>
      <c r="X28" s="282"/>
      <c r="Y28" s="282"/>
      <c r="Z28" s="283"/>
      <c r="AA28" s="280"/>
      <c r="AB28" s="284"/>
      <c r="AC28" s="285"/>
      <c r="AD28" s="281"/>
      <c r="AE28" s="282"/>
      <c r="AF28" s="282"/>
      <c r="AG28" s="299"/>
      <c r="AH28" s="282"/>
      <c r="AI28" s="283"/>
      <c r="AJ28" s="282"/>
      <c r="AK28" s="283"/>
      <c r="AL28" s="282"/>
      <c r="AM28" s="283"/>
      <c r="AN28" s="282"/>
      <c r="AO28" s="283"/>
      <c r="AP28" s="282"/>
      <c r="AQ28" s="283"/>
      <c r="AR28" s="152"/>
      <c r="AS28" s="276"/>
      <c r="AT28" s="285"/>
      <c r="AU28" s="281"/>
      <c r="AV28" s="282"/>
      <c r="AW28" s="282"/>
      <c r="AX28" s="283"/>
      <c r="AY28" s="152"/>
      <c r="AZ28" s="286"/>
      <c r="BA28" s="296"/>
      <c r="BB28" s="291"/>
      <c r="BC28" s="292"/>
      <c r="BD28" s="295"/>
      <c r="BE28"/>
      <c r="BF28"/>
      <c r="BG28"/>
      <c r="BH28"/>
      <c r="BI28"/>
      <c r="BJ28"/>
      <c r="BK28"/>
      <c r="BL28"/>
      <c r="BM28"/>
      <c r="BN28" s="275"/>
      <c r="BO28" s="275"/>
    </row>
    <row r="29" spans="1:67" s="272" customFormat="1" ht="27" customHeight="1" thickTop="1" x14ac:dyDescent="0.25">
      <c r="A29" s="277"/>
      <c r="B29" s="279"/>
      <c r="C29" s="96" t="str">
        <f>PROPER(TEXT(D29,"JJJJ"))</f>
        <v>Lundi</v>
      </c>
      <c r="D29" s="97">
        <f>$D27+1</f>
        <v>44053</v>
      </c>
      <c r="E29" s="282"/>
      <c r="F29" s="352">
        <v>20.8</v>
      </c>
      <c r="G29" s="353"/>
      <c r="H29" s="354">
        <v>0.28472222222222199</v>
      </c>
      <c r="I29" s="353"/>
      <c r="J29" s="352">
        <v>20.8</v>
      </c>
      <c r="K29" s="353"/>
      <c r="L29" s="354">
        <v>0.28472222222222199</v>
      </c>
      <c r="M29" s="353"/>
      <c r="N29" s="352">
        <v>30.4</v>
      </c>
      <c r="O29" s="353"/>
      <c r="P29" s="354">
        <v>0.57361111111111096</v>
      </c>
      <c r="Q29" s="353"/>
      <c r="R29" s="280"/>
      <c r="S29" s="287"/>
      <c r="T29" s="285"/>
      <c r="U29" s="96" t="str">
        <f>$C29</f>
        <v>Lundi</v>
      </c>
      <c r="V29" s="97">
        <f>$D29</f>
        <v>44053</v>
      </c>
      <c r="W29" s="282"/>
      <c r="X29" s="101">
        <v>23.8</v>
      </c>
      <c r="Y29" s="282"/>
      <c r="Z29" s="98">
        <v>0.33888888888888902</v>
      </c>
      <c r="AA29" s="280"/>
      <c r="AB29" s="287"/>
      <c r="AC29" s="285"/>
      <c r="AD29" s="96" t="str">
        <f>$C29</f>
        <v>Lundi</v>
      </c>
      <c r="AE29" s="97">
        <f>$D29</f>
        <v>44053</v>
      </c>
      <c r="AF29" s="282"/>
      <c r="AG29" s="259">
        <v>4.8</v>
      </c>
      <c r="AH29" s="282"/>
      <c r="AI29" s="98">
        <v>9.930555555555555E-2</v>
      </c>
      <c r="AJ29" s="282"/>
      <c r="AK29" s="98">
        <v>4.3055555555555555E-2</v>
      </c>
      <c r="AL29" s="282"/>
      <c r="AM29" s="98">
        <v>5.6250000000000001E-2</v>
      </c>
      <c r="AN29" s="282"/>
      <c r="AO29" s="98">
        <v>0</v>
      </c>
      <c r="AP29" s="282"/>
      <c r="AQ29" s="98">
        <v>0</v>
      </c>
      <c r="AR29" s="152"/>
      <c r="AS29" s="276"/>
      <c r="AT29" s="285"/>
      <c r="AU29" s="96" t="str">
        <f>$C29</f>
        <v>Lundi</v>
      </c>
      <c r="AV29" s="97">
        <f>$D29</f>
        <v>44053</v>
      </c>
      <c r="AW29" s="282"/>
      <c r="AX29" s="98">
        <v>0.40277777777777779</v>
      </c>
      <c r="AY29" s="152"/>
      <c r="AZ29" s="287"/>
      <c r="BA29" s="297"/>
      <c r="BB29" s="139">
        <f>D29</f>
        <v>44053</v>
      </c>
      <c r="BC29" s="140" t="str">
        <f>$C29</f>
        <v>Lundi</v>
      </c>
      <c r="BD29" s="295"/>
      <c r="BE29"/>
      <c r="BF29"/>
      <c r="BG29"/>
      <c r="BH29"/>
      <c r="BI29"/>
      <c r="BJ29"/>
      <c r="BK29"/>
      <c r="BL29"/>
      <c r="BM29"/>
      <c r="BN29" s="275"/>
      <c r="BO29" s="275"/>
    </row>
    <row r="30" spans="1:67" s="272" customFormat="1" ht="5.25" customHeight="1" x14ac:dyDescent="0.25">
      <c r="A30" s="277"/>
      <c r="B30" s="279"/>
      <c r="C30" s="281"/>
      <c r="D30" s="282"/>
      <c r="E30" s="282"/>
      <c r="F30" s="353"/>
      <c r="G30" s="353"/>
      <c r="H30" s="353"/>
      <c r="I30" s="353"/>
      <c r="J30" s="353"/>
      <c r="K30" s="353"/>
      <c r="L30" s="353"/>
      <c r="M30" s="353"/>
      <c r="N30" s="353"/>
      <c r="O30" s="353"/>
      <c r="P30" s="353"/>
      <c r="Q30" s="353"/>
      <c r="R30" s="280"/>
      <c r="S30" s="287"/>
      <c r="T30" s="285"/>
      <c r="U30" s="281"/>
      <c r="V30" s="282"/>
      <c r="W30" s="282"/>
      <c r="X30" s="282"/>
      <c r="Y30" s="282"/>
      <c r="Z30" s="283"/>
      <c r="AA30" s="280"/>
      <c r="AB30" s="287"/>
      <c r="AC30" s="285"/>
      <c r="AD30" s="281"/>
      <c r="AE30" s="282"/>
      <c r="AF30" s="282"/>
      <c r="AG30" s="299"/>
      <c r="AH30" s="282"/>
      <c r="AI30" s="282"/>
      <c r="AJ30" s="282"/>
      <c r="AK30" s="282"/>
      <c r="AL30" s="282"/>
      <c r="AM30" s="282"/>
      <c r="AN30" s="282"/>
      <c r="AO30" s="282"/>
      <c r="AP30" s="282"/>
      <c r="AQ30" s="282"/>
      <c r="AR30" s="152"/>
      <c r="AS30" s="276"/>
      <c r="AT30" s="285"/>
      <c r="AU30" s="281"/>
      <c r="AV30" s="282"/>
      <c r="AW30" s="282"/>
      <c r="AX30" s="283"/>
      <c r="AY30" s="152"/>
      <c r="AZ30" s="287"/>
      <c r="BA30" s="297"/>
      <c r="BB30" s="293"/>
      <c r="BC30" s="294"/>
      <c r="BD30" s="295"/>
      <c r="BE30"/>
      <c r="BF30"/>
      <c r="BG30"/>
      <c r="BH30"/>
      <c r="BI30"/>
      <c r="BJ30"/>
      <c r="BK30"/>
      <c r="BL30"/>
      <c r="BM30"/>
      <c r="BN30" s="275"/>
      <c r="BO30" s="275"/>
    </row>
    <row r="31" spans="1:67" s="272" customFormat="1" ht="27" customHeight="1" x14ac:dyDescent="0.25">
      <c r="A31" s="277"/>
      <c r="B31" s="279"/>
      <c r="C31" s="96" t="str">
        <f>PROPER(TEXT(D31,"JJJJ"))</f>
        <v>Mardi</v>
      </c>
      <c r="D31" s="97">
        <f>$D29+1</f>
        <v>44054</v>
      </c>
      <c r="E31" s="282"/>
      <c r="F31" s="352">
        <v>20.100000000000001</v>
      </c>
      <c r="G31" s="353"/>
      <c r="H31" s="354">
        <v>0.31666666666666698</v>
      </c>
      <c r="I31" s="353"/>
      <c r="J31" s="352">
        <v>20.100000000000001</v>
      </c>
      <c r="K31" s="353"/>
      <c r="L31" s="354">
        <v>0.31666666666666698</v>
      </c>
      <c r="M31" s="353"/>
      <c r="N31" s="352">
        <v>31.5</v>
      </c>
      <c r="O31" s="353"/>
      <c r="P31" s="354">
        <v>0.67013888888888895</v>
      </c>
      <c r="Q31" s="353"/>
      <c r="R31" s="280"/>
      <c r="S31" s="287"/>
      <c r="T31" s="285"/>
      <c r="U31" s="96" t="str">
        <f>$C31</f>
        <v>Mardi</v>
      </c>
      <c r="V31" s="97">
        <f>$D31</f>
        <v>44054</v>
      </c>
      <c r="W31" s="282"/>
      <c r="X31" s="101">
        <v>20.100000000000001</v>
      </c>
      <c r="Y31" s="282"/>
      <c r="Z31" s="98">
        <v>0.87152777777777801</v>
      </c>
      <c r="AA31" s="280"/>
      <c r="AB31" s="287"/>
      <c r="AC31" s="285"/>
      <c r="AD31" s="96" t="str">
        <f>$C31</f>
        <v>Mardi</v>
      </c>
      <c r="AE31" s="97">
        <f>$D31</f>
        <v>44054</v>
      </c>
      <c r="AF31" s="282"/>
      <c r="AG31" s="259">
        <v>0</v>
      </c>
      <c r="AH31" s="282"/>
      <c r="AI31" s="98">
        <v>0</v>
      </c>
      <c r="AJ31" s="282"/>
      <c r="AK31" s="98">
        <v>0</v>
      </c>
      <c r="AL31" s="282"/>
      <c r="AM31" s="98">
        <v>0</v>
      </c>
      <c r="AN31" s="282"/>
      <c r="AO31" s="98">
        <v>0</v>
      </c>
      <c r="AP31" s="282"/>
      <c r="AQ31" s="98">
        <v>0</v>
      </c>
      <c r="AR31" s="152"/>
      <c r="AS31" s="276"/>
      <c r="AT31" s="285"/>
      <c r="AU31" s="96" t="str">
        <f>$C31</f>
        <v>Mardi</v>
      </c>
      <c r="AV31" s="97">
        <f>$D31</f>
        <v>44054</v>
      </c>
      <c r="AW31" s="282"/>
      <c r="AX31" s="98">
        <v>0.46736111111111112</v>
      </c>
      <c r="AY31" s="152"/>
      <c r="AZ31" s="287"/>
      <c r="BA31" s="297"/>
      <c r="BB31" s="139">
        <f>D31</f>
        <v>44054</v>
      </c>
      <c r="BC31" s="140" t="str">
        <f>$C31</f>
        <v>Mardi</v>
      </c>
      <c r="BD31" s="295"/>
      <c r="BE31"/>
      <c r="BF31"/>
      <c r="BG31"/>
      <c r="BH31"/>
      <c r="BI31"/>
      <c r="BJ31"/>
      <c r="BK31"/>
      <c r="BL31"/>
      <c r="BM31"/>
      <c r="BN31" s="275"/>
      <c r="BO31" s="275"/>
    </row>
    <row r="32" spans="1:67" s="272" customFormat="1" ht="5.25" customHeight="1" x14ac:dyDescent="0.25">
      <c r="A32" s="277"/>
      <c r="B32" s="279"/>
      <c r="C32" s="281"/>
      <c r="D32" s="282"/>
      <c r="E32" s="282"/>
      <c r="F32" s="282"/>
      <c r="G32" s="353"/>
      <c r="H32" s="353"/>
      <c r="I32" s="353"/>
      <c r="J32" s="282"/>
      <c r="K32" s="353"/>
      <c r="L32" s="353"/>
      <c r="M32" s="353"/>
      <c r="N32" s="282"/>
      <c r="O32" s="353"/>
      <c r="P32" s="353"/>
      <c r="Q32" s="353"/>
      <c r="R32" s="280"/>
      <c r="S32" s="287"/>
      <c r="T32" s="285"/>
      <c r="U32" s="281"/>
      <c r="V32" s="282"/>
      <c r="W32" s="282"/>
      <c r="X32" s="282"/>
      <c r="Y32" s="282"/>
      <c r="Z32" s="283"/>
      <c r="AA32" s="280"/>
      <c r="AB32" s="287"/>
      <c r="AC32" s="285"/>
      <c r="AD32" s="281"/>
      <c r="AE32" s="282"/>
      <c r="AF32" s="282"/>
      <c r="AG32" s="299"/>
      <c r="AH32" s="282"/>
      <c r="AI32" s="282"/>
      <c r="AJ32" s="282"/>
      <c r="AK32" s="282"/>
      <c r="AL32" s="282"/>
      <c r="AM32" s="282"/>
      <c r="AN32" s="282"/>
      <c r="AO32" s="282"/>
      <c r="AP32" s="282"/>
      <c r="AQ32" s="282"/>
      <c r="AR32" s="152"/>
      <c r="AS32" s="276"/>
      <c r="AT32" s="285"/>
      <c r="AU32" s="281"/>
      <c r="AV32" s="282"/>
      <c r="AW32" s="282"/>
      <c r="AX32" s="283"/>
      <c r="AY32" s="152"/>
      <c r="AZ32" s="287"/>
      <c r="BA32" s="297"/>
      <c r="BB32" s="293"/>
      <c r="BC32" s="294"/>
      <c r="BD32" s="295"/>
      <c r="BE32"/>
      <c r="BF32"/>
      <c r="BG32"/>
      <c r="BH32"/>
      <c r="BI32"/>
      <c r="BJ32"/>
      <c r="BK32"/>
      <c r="BL32"/>
      <c r="BM32"/>
      <c r="BN32" s="275"/>
      <c r="BO32" s="275"/>
    </row>
    <row r="33" spans="1:67" s="272" customFormat="1" ht="27" customHeight="1" x14ac:dyDescent="0.25">
      <c r="A33" s="277"/>
      <c r="B33" s="279"/>
      <c r="C33" s="96" t="str">
        <f>PROPER(TEXT(D33,"JJJJ"))</f>
        <v>Mercredi</v>
      </c>
      <c r="D33" s="97">
        <f>$D31+1</f>
        <v>44055</v>
      </c>
      <c r="E33" s="282"/>
      <c r="F33" s="352">
        <v>19.8</v>
      </c>
      <c r="G33" s="353"/>
      <c r="H33" s="354">
        <v>0.53402777777777799</v>
      </c>
      <c r="I33" s="353"/>
      <c r="J33" s="352">
        <v>19.8</v>
      </c>
      <c r="K33" s="353"/>
      <c r="L33" s="354">
        <v>0.53402777777777799</v>
      </c>
      <c r="M33" s="353"/>
      <c r="N33" s="352">
        <v>28.8</v>
      </c>
      <c r="O33" s="353"/>
      <c r="P33" s="354">
        <v>0.78263888888888899</v>
      </c>
      <c r="Q33" s="353"/>
      <c r="R33" s="280"/>
      <c r="S33" s="287"/>
      <c r="T33" s="285"/>
      <c r="U33" s="96" t="str">
        <f>$C33</f>
        <v>Mercredi</v>
      </c>
      <c r="V33" s="97">
        <f>$D33</f>
        <v>44055</v>
      </c>
      <c r="W33" s="282"/>
      <c r="X33" s="101">
        <v>25.6</v>
      </c>
      <c r="Y33" s="282"/>
      <c r="Z33" s="98">
        <v>0.32083333333333303</v>
      </c>
      <c r="AA33" s="280"/>
      <c r="AB33" s="287"/>
      <c r="AC33" s="285"/>
      <c r="AD33" s="96" t="str">
        <f>$C33</f>
        <v>Mercredi</v>
      </c>
      <c r="AE33" s="97">
        <f>$D33</f>
        <v>44055</v>
      </c>
      <c r="AF33" s="282"/>
      <c r="AG33" s="259">
        <v>25</v>
      </c>
      <c r="AH33" s="282"/>
      <c r="AI33" s="98">
        <v>0.26874999999999999</v>
      </c>
      <c r="AJ33" s="282"/>
      <c r="AK33" s="98">
        <v>0</v>
      </c>
      <c r="AL33" s="282"/>
      <c r="AM33" s="98">
        <v>0.16944444444444445</v>
      </c>
      <c r="AN33" s="282"/>
      <c r="AO33" s="98">
        <v>9.930555555555555E-2</v>
      </c>
      <c r="AP33" s="282"/>
      <c r="AQ33" s="98">
        <v>0</v>
      </c>
      <c r="AR33" s="152"/>
      <c r="AS33" s="276"/>
      <c r="AT33" s="285"/>
      <c r="AU33" s="96" t="str">
        <f>$C33</f>
        <v>Mercredi</v>
      </c>
      <c r="AV33" s="97">
        <f>$D33</f>
        <v>44055</v>
      </c>
      <c r="AW33" s="282"/>
      <c r="AX33" s="98">
        <v>0.29444444444444445</v>
      </c>
      <c r="AY33" s="152"/>
      <c r="AZ33" s="287"/>
      <c r="BA33" s="297"/>
      <c r="BB33" s="139">
        <f>D33</f>
        <v>44055</v>
      </c>
      <c r="BC33" s="140" t="str">
        <f>$C33</f>
        <v>Mercredi</v>
      </c>
      <c r="BD33" s="295"/>
      <c r="BE33"/>
      <c r="BF33"/>
      <c r="BG33"/>
      <c r="BH33"/>
      <c r="BI33"/>
      <c r="BJ33"/>
      <c r="BK33"/>
      <c r="BL33"/>
      <c r="BM33"/>
      <c r="BN33" s="275"/>
      <c r="BO33" s="275"/>
    </row>
    <row r="34" spans="1:67" s="272" customFormat="1" ht="5.25" customHeight="1" x14ac:dyDescent="0.25">
      <c r="A34" s="277"/>
      <c r="B34" s="279"/>
      <c r="C34" s="281"/>
      <c r="D34" s="282"/>
      <c r="E34" s="282"/>
      <c r="F34" s="282"/>
      <c r="G34" s="353"/>
      <c r="H34" s="353"/>
      <c r="I34" s="353"/>
      <c r="J34" s="282"/>
      <c r="K34" s="353"/>
      <c r="L34" s="353"/>
      <c r="M34" s="353"/>
      <c r="N34" s="282"/>
      <c r="O34" s="353"/>
      <c r="P34" s="353"/>
      <c r="Q34" s="353"/>
      <c r="R34" s="280"/>
      <c r="S34" s="287"/>
      <c r="T34" s="285"/>
      <c r="U34" s="281"/>
      <c r="V34" s="282"/>
      <c r="W34" s="282"/>
      <c r="X34" s="282"/>
      <c r="Y34" s="282"/>
      <c r="Z34" s="283"/>
      <c r="AA34" s="280"/>
      <c r="AB34" s="287"/>
      <c r="AC34" s="285"/>
      <c r="AD34" s="281"/>
      <c r="AE34" s="282"/>
      <c r="AF34" s="282"/>
      <c r="AG34" s="299"/>
      <c r="AH34" s="282"/>
      <c r="AI34" s="282"/>
      <c r="AJ34" s="282"/>
      <c r="AK34" s="282"/>
      <c r="AL34" s="282"/>
      <c r="AM34" s="282"/>
      <c r="AN34" s="282"/>
      <c r="AO34" s="282"/>
      <c r="AP34" s="282"/>
      <c r="AQ34" s="282"/>
      <c r="AR34" s="152"/>
      <c r="AS34" s="276"/>
      <c r="AT34" s="285"/>
      <c r="AU34" s="281"/>
      <c r="AV34" s="282"/>
      <c r="AW34" s="282"/>
      <c r="AX34" s="283"/>
      <c r="AY34" s="152"/>
      <c r="AZ34" s="287"/>
      <c r="BA34" s="297"/>
      <c r="BB34" s="293"/>
      <c r="BC34" s="294"/>
      <c r="BD34" s="295"/>
      <c r="BE34"/>
      <c r="BF34"/>
      <c r="BG34"/>
      <c r="BH34"/>
      <c r="BI34"/>
      <c r="BJ34"/>
      <c r="BK34"/>
      <c r="BL34"/>
      <c r="BM34"/>
      <c r="BN34" s="275"/>
      <c r="BO34" s="275"/>
    </row>
    <row r="35" spans="1:67" s="272" customFormat="1" ht="27" customHeight="1" x14ac:dyDescent="0.25">
      <c r="A35" s="277"/>
      <c r="B35" s="279"/>
      <c r="C35" s="96" t="str">
        <f>PROPER(TEXT(D35,"JJJJ"))</f>
        <v>Jeudi</v>
      </c>
      <c r="D35" s="97">
        <f>$D33+1</f>
        <v>44056</v>
      </c>
      <c r="E35" s="282"/>
      <c r="F35" s="352">
        <v>19</v>
      </c>
      <c r="G35" s="353"/>
      <c r="H35" s="354">
        <v>9.30555555555556E-2</v>
      </c>
      <c r="I35" s="353"/>
      <c r="J35" s="352">
        <v>19</v>
      </c>
      <c r="K35" s="353"/>
      <c r="L35" s="354">
        <v>9.30555555555556E-2</v>
      </c>
      <c r="M35" s="353"/>
      <c r="N35" s="352">
        <v>25.1</v>
      </c>
      <c r="O35" s="353"/>
      <c r="P35" s="354">
        <v>0.66527777777777797</v>
      </c>
      <c r="Q35" s="353"/>
      <c r="R35" s="280"/>
      <c r="S35" s="287"/>
      <c r="T35" s="285"/>
      <c r="U35" s="96" t="str">
        <f>$C35</f>
        <v>Jeudi</v>
      </c>
      <c r="V35" s="97">
        <f>$D35</f>
        <v>44056</v>
      </c>
      <c r="W35" s="282"/>
      <c r="X35" s="101">
        <v>29.5</v>
      </c>
      <c r="Y35" s="282"/>
      <c r="Z35" s="98">
        <v>0.80625000000000002</v>
      </c>
      <c r="AA35" s="280"/>
      <c r="AB35" s="287"/>
      <c r="AC35" s="285"/>
      <c r="AD35" s="96" t="str">
        <f>$C35</f>
        <v>Jeudi</v>
      </c>
      <c r="AE35" s="97">
        <f>$D35</f>
        <v>44056</v>
      </c>
      <c r="AF35" s="282"/>
      <c r="AG35" s="259">
        <v>16</v>
      </c>
      <c r="AH35" s="282"/>
      <c r="AI35" s="98">
        <v>0.2388888888888889</v>
      </c>
      <c r="AJ35" s="282"/>
      <c r="AK35" s="98">
        <v>8.4027777777777785E-2</v>
      </c>
      <c r="AL35" s="282"/>
      <c r="AM35" s="98">
        <v>0</v>
      </c>
      <c r="AN35" s="282"/>
      <c r="AO35" s="98">
        <v>2.9166666666666667E-2</v>
      </c>
      <c r="AP35" s="282"/>
      <c r="AQ35" s="98">
        <v>0.12638888888888888</v>
      </c>
      <c r="AR35" s="152"/>
      <c r="AS35" s="276"/>
      <c r="AT35" s="285"/>
      <c r="AU35" s="96" t="str">
        <f>$C35</f>
        <v>Jeudi</v>
      </c>
      <c r="AV35" s="97">
        <f>$D35</f>
        <v>44056</v>
      </c>
      <c r="AW35" s="282"/>
      <c r="AX35" s="98">
        <v>0.37638888888888888</v>
      </c>
      <c r="AY35" s="152"/>
      <c r="AZ35" s="287"/>
      <c r="BA35" s="297"/>
      <c r="BB35" s="139">
        <f>D35</f>
        <v>44056</v>
      </c>
      <c r="BC35" s="140" t="str">
        <f>$C35</f>
        <v>Jeudi</v>
      </c>
      <c r="BD35" s="295"/>
      <c r="BE35"/>
      <c r="BF35"/>
      <c r="BG35"/>
      <c r="BH35"/>
      <c r="BI35"/>
      <c r="BJ35"/>
      <c r="BK35"/>
      <c r="BL35"/>
      <c r="BM35"/>
      <c r="BN35" s="275"/>
      <c r="BO35" s="275"/>
    </row>
    <row r="36" spans="1:67" s="272" customFormat="1" ht="5.25" customHeight="1" x14ac:dyDescent="0.25">
      <c r="A36" s="277"/>
      <c r="B36" s="279"/>
      <c r="C36" s="281"/>
      <c r="D36" s="282"/>
      <c r="E36" s="282"/>
      <c r="F36" s="282"/>
      <c r="G36" s="353"/>
      <c r="H36" s="353"/>
      <c r="I36" s="353"/>
      <c r="J36" s="282"/>
      <c r="K36" s="353"/>
      <c r="L36" s="353"/>
      <c r="M36" s="353"/>
      <c r="N36" s="282"/>
      <c r="O36" s="353"/>
      <c r="P36" s="353"/>
      <c r="Q36" s="353"/>
      <c r="R36" s="280"/>
      <c r="S36" s="287"/>
      <c r="T36" s="285"/>
      <c r="U36" s="281"/>
      <c r="V36" s="282"/>
      <c r="W36" s="282"/>
      <c r="X36" s="282"/>
      <c r="Y36" s="282"/>
      <c r="Z36" s="283"/>
      <c r="AA36" s="280"/>
      <c r="AB36" s="287"/>
      <c r="AC36" s="285"/>
      <c r="AD36" s="281"/>
      <c r="AE36" s="282"/>
      <c r="AF36" s="282"/>
      <c r="AG36" s="299"/>
      <c r="AH36" s="282"/>
      <c r="AI36" s="282"/>
      <c r="AJ36" s="282"/>
      <c r="AK36" s="282"/>
      <c r="AL36" s="282"/>
      <c r="AM36" s="282"/>
      <c r="AN36" s="282"/>
      <c r="AO36" s="282"/>
      <c r="AP36" s="282"/>
      <c r="AQ36" s="282"/>
      <c r="AR36" s="152"/>
      <c r="AS36" s="276"/>
      <c r="AT36" s="285"/>
      <c r="AU36" s="281"/>
      <c r="AV36" s="282"/>
      <c r="AW36" s="282"/>
      <c r="AX36" s="283"/>
      <c r="AY36" s="152"/>
      <c r="AZ36" s="287"/>
      <c r="BA36" s="297"/>
      <c r="BB36" s="289"/>
      <c r="BC36" s="290"/>
      <c r="BD36" s="295"/>
      <c r="BE36"/>
      <c r="BF36"/>
      <c r="BG36"/>
      <c r="BH36"/>
      <c r="BI36"/>
      <c r="BJ36"/>
      <c r="BK36"/>
      <c r="BL36"/>
      <c r="BM36"/>
      <c r="BN36" s="275"/>
      <c r="BO36" s="275"/>
    </row>
    <row r="37" spans="1:67" s="272" customFormat="1" ht="27" customHeight="1" thickBot="1" x14ac:dyDescent="0.3">
      <c r="A37" s="277"/>
      <c r="B37" s="279"/>
      <c r="C37" s="96" t="str">
        <f>PROPER(TEXT(D37,"JJJJ"))</f>
        <v>Vendredi</v>
      </c>
      <c r="D37" s="97">
        <f>$D35+1</f>
        <v>44057</v>
      </c>
      <c r="E37" s="282"/>
      <c r="F37" s="352">
        <v>18</v>
      </c>
      <c r="G37" s="353"/>
      <c r="H37" s="354">
        <v>0.30347222222222198</v>
      </c>
      <c r="I37" s="353"/>
      <c r="J37" s="352">
        <v>18</v>
      </c>
      <c r="K37" s="353"/>
      <c r="L37" s="354">
        <v>0.30347222222222198</v>
      </c>
      <c r="M37" s="353"/>
      <c r="N37" s="352">
        <v>23.4</v>
      </c>
      <c r="O37" s="353"/>
      <c r="P37" s="354">
        <v>0.71111111111111103</v>
      </c>
      <c r="Q37" s="353"/>
      <c r="R37" s="280"/>
      <c r="S37" s="287"/>
      <c r="T37" s="285"/>
      <c r="U37" s="96" t="str">
        <f>$C37</f>
        <v>Vendredi</v>
      </c>
      <c r="V37" s="97">
        <f>$D37</f>
        <v>44057</v>
      </c>
      <c r="W37" s="282"/>
      <c r="X37" s="101">
        <v>25.6</v>
      </c>
      <c r="Y37" s="282"/>
      <c r="Z37" s="98">
        <v>0.66319444444444398</v>
      </c>
      <c r="AA37" s="280"/>
      <c r="AB37" s="287"/>
      <c r="AC37" s="285"/>
      <c r="AD37" s="96" t="str">
        <f>$C37</f>
        <v>Vendredi</v>
      </c>
      <c r="AE37" s="97">
        <f>$D37</f>
        <v>44057</v>
      </c>
      <c r="AF37" s="282"/>
      <c r="AG37" s="259">
        <v>0.3</v>
      </c>
      <c r="AH37" s="282"/>
      <c r="AI37" s="98">
        <v>4.8611111111111112E-2</v>
      </c>
      <c r="AJ37" s="282"/>
      <c r="AK37" s="98">
        <v>4.8611111111111112E-2</v>
      </c>
      <c r="AL37" s="282"/>
      <c r="AM37" s="98">
        <v>0</v>
      </c>
      <c r="AN37" s="282"/>
      <c r="AO37" s="98">
        <v>0</v>
      </c>
      <c r="AP37" s="282"/>
      <c r="AQ37" s="98">
        <v>0</v>
      </c>
      <c r="AR37" s="152"/>
      <c r="AS37" s="276"/>
      <c r="AT37" s="285"/>
      <c r="AU37" s="96" t="str">
        <f>$C37</f>
        <v>Vendredi</v>
      </c>
      <c r="AV37" s="97">
        <f>$D37</f>
        <v>44057</v>
      </c>
      <c r="AW37" s="282"/>
      <c r="AX37" s="98">
        <v>0.5131944444444444</v>
      </c>
      <c r="AY37" s="152"/>
      <c r="AZ37" s="287"/>
      <c r="BA37" s="297"/>
      <c r="BB37" s="139">
        <f>D37</f>
        <v>44057</v>
      </c>
      <c r="BC37" s="140" t="str">
        <f>$C37</f>
        <v>Vendredi</v>
      </c>
      <c r="BD37" s="295"/>
      <c r="BE37"/>
      <c r="BF37"/>
      <c r="BG37"/>
      <c r="BH37"/>
      <c r="BI37"/>
      <c r="BJ37"/>
      <c r="BK37"/>
      <c r="BL37"/>
      <c r="BM37"/>
      <c r="BN37" s="275"/>
      <c r="BO37" s="275"/>
    </row>
    <row r="38" spans="1:67" s="396" customFormat="1" ht="27" customHeight="1" thickTop="1" thickBot="1" x14ac:dyDescent="0.3">
      <c r="A38" s="278"/>
      <c r="B38" s="279"/>
      <c r="C38" s="281"/>
      <c r="D38" s="282"/>
      <c r="E38" s="282"/>
      <c r="F38" s="353"/>
      <c r="G38" s="353"/>
      <c r="H38" s="353"/>
      <c r="I38" s="353"/>
      <c r="J38" s="353"/>
      <c r="K38" s="353"/>
      <c r="L38" s="353"/>
      <c r="M38" s="353"/>
      <c r="N38" s="353"/>
      <c r="O38" s="353"/>
      <c r="P38" s="353"/>
      <c r="Q38" s="353"/>
      <c r="R38" s="280"/>
      <c r="S38" s="284"/>
      <c r="T38" s="285"/>
      <c r="U38" s="281"/>
      <c r="V38" s="282"/>
      <c r="W38" s="282"/>
      <c r="X38" s="282"/>
      <c r="Y38" s="282"/>
      <c r="Z38" s="283"/>
      <c r="AA38" s="280"/>
      <c r="AB38" s="284"/>
      <c r="AC38" s="285"/>
      <c r="AD38" s="281"/>
      <c r="AE38" s="282"/>
      <c r="AF38" s="282"/>
      <c r="AG38" s="299"/>
      <c r="AH38" s="282"/>
      <c r="AI38" s="283"/>
      <c r="AJ38" s="282"/>
      <c r="AK38" s="283"/>
      <c r="AL38" s="282"/>
      <c r="AM38" s="283"/>
      <c r="AN38" s="282"/>
      <c r="AO38" s="283"/>
      <c r="AP38" s="282"/>
      <c r="AQ38" s="283"/>
      <c r="AR38" s="152"/>
      <c r="AS38" s="276"/>
      <c r="AT38" s="285"/>
      <c r="AU38" s="281"/>
      <c r="AV38" s="282"/>
      <c r="AW38" s="282"/>
      <c r="AX38" s="283"/>
      <c r="AY38" s="152"/>
      <c r="AZ38" s="286"/>
      <c r="BA38" s="296"/>
      <c r="BB38" s="291"/>
      <c r="BC38" s="292"/>
      <c r="BD38" s="295"/>
      <c r="BE38"/>
      <c r="BF38"/>
      <c r="BG38"/>
      <c r="BH38"/>
      <c r="BI38"/>
      <c r="BJ38"/>
      <c r="BK38"/>
      <c r="BL38"/>
      <c r="BM38"/>
      <c r="BN38" s="275"/>
      <c r="BO38" s="275"/>
    </row>
    <row r="39" spans="1:67" s="272" customFormat="1" ht="27" customHeight="1" thickTop="1" x14ac:dyDescent="0.25">
      <c r="A39" s="277"/>
      <c r="B39" s="279"/>
      <c r="C39" s="96" t="str">
        <f>PROPER(TEXT(D39,"JJJJ"))</f>
        <v>Samedi</v>
      </c>
      <c r="D39" s="97">
        <f>$D37+1</f>
        <v>44058</v>
      </c>
      <c r="E39" s="282"/>
      <c r="F39" s="352">
        <v>14.8</v>
      </c>
      <c r="G39" s="353"/>
      <c r="H39" s="354">
        <v>0.26805555555555599</v>
      </c>
      <c r="I39" s="353"/>
      <c r="J39" s="352">
        <v>14.8</v>
      </c>
      <c r="K39" s="353"/>
      <c r="L39" s="354">
        <v>0.26805555555555599</v>
      </c>
      <c r="M39" s="353"/>
      <c r="N39" s="352">
        <v>28.1</v>
      </c>
      <c r="O39" s="353"/>
      <c r="P39" s="354">
        <v>0.76597222222222205</v>
      </c>
      <c r="Q39" s="353"/>
      <c r="R39" s="280"/>
      <c r="S39" s="287"/>
      <c r="T39" s="285"/>
      <c r="U39" s="96" t="str">
        <f>$C39</f>
        <v>Samedi</v>
      </c>
      <c r="V39" s="97">
        <f>$D39</f>
        <v>44058</v>
      </c>
      <c r="W39" s="282"/>
      <c r="X39" s="101">
        <v>20.2</v>
      </c>
      <c r="Y39" s="282"/>
      <c r="Z39" s="98">
        <v>0.95347222222222205</v>
      </c>
      <c r="AA39" s="280"/>
      <c r="AB39" s="287"/>
      <c r="AC39" s="285"/>
      <c r="AD39" s="96" t="str">
        <f>$C39</f>
        <v>Samedi</v>
      </c>
      <c r="AE39" s="97">
        <f>$D39</f>
        <v>44058</v>
      </c>
      <c r="AF39" s="282"/>
      <c r="AG39" s="259">
        <v>0</v>
      </c>
      <c r="AH39" s="282"/>
      <c r="AI39" s="98">
        <v>0</v>
      </c>
      <c r="AJ39" s="282"/>
      <c r="AK39" s="98">
        <v>0</v>
      </c>
      <c r="AL39" s="282"/>
      <c r="AM39" s="98">
        <v>0</v>
      </c>
      <c r="AN39" s="282"/>
      <c r="AO39" s="98">
        <v>0</v>
      </c>
      <c r="AP39" s="282"/>
      <c r="AQ39" s="98">
        <v>0</v>
      </c>
      <c r="AR39" s="152"/>
      <c r="AS39" s="276"/>
      <c r="AT39" s="285"/>
      <c r="AU39" s="96" t="str">
        <f>$C39</f>
        <v>Samedi</v>
      </c>
      <c r="AV39" s="97">
        <f>$D39</f>
        <v>44058</v>
      </c>
      <c r="AW39" s="282"/>
      <c r="AX39" s="98">
        <v>0.36666666666666664</v>
      </c>
      <c r="AY39" s="152"/>
      <c r="AZ39" s="287"/>
      <c r="BA39" s="297"/>
      <c r="BB39" s="139">
        <f>D39</f>
        <v>44058</v>
      </c>
      <c r="BC39" s="140" t="str">
        <f>$C39</f>
        <v>Samedi</v>
      </c>
      <c r="BD39" s="295"/>
      <c r="BE39"/>
      <c r="BF39"/>
      <c r="BG39"/>
      <c r="BH39"/>
      <c r="BI39"/>
      <c r="BJ39"/>
      <c r="BK39"/>
      <c r="BL39"/>
      <c r="BM39"/>
      <c r="BN39" s="275"/>
      <c r="BO39" s="275"/>
    </row>
    <row r="40" spans="1:67" s="272" customFormat="1" ht="5.25" customHeight="1" x14ac:dyDescent="0.25">
      <c r="A40" s="277"/>
      <c r="B40" s="279"/>
      <c r="C40" s="281"/>
      <c r="D40" s="282"/>
      <c r="E40" s="282"/>
      <c r="F40" s="282"/>
      <c r="G40" s="353"/>
      <c r="H40" s="353"/>
      <c r="I40" s="353"/>
      <c r="J40" s="282"/>
      <c r="K40" s="353"/>
      <c r="L40" s="353"/>
      <c r="M40" s="353"/>
      <c r="N40" s="282"/>
      <c r="O40" s="353"/>
      <c r="P40" s="353"/>
      <c r="Q40" s="353"/>
      <c r="R40" s="280"/>
      <c r="S40" s="287"/>
      <c r="T40" s="285"/>
      <c r="U40" s="281"/>
      <c r="V40" s="282"/>
      <c r="W40" s="282"/>
      <c r="X40" s="282"/>
      <c r="Y40" s="282"/>
      <c r="Z40" s="283"/>
      <c r="AA40" s="280"/>
      <c r="AB40" s="287"/>
      <c r="AC40" s="285"/>
      <c r="AD40" s="281"/>
      <c r="AE40" s="282"/>
      <c r="AF40" s="282"/>
      <c r="AG40" s="299"/>
      <c r="AH40" s="282"/>
      <c r="AI40" s="282"/>
      <c r="AJ40" s="282"/>
      <c r="AK40" s="282"/>
      <c r="AL40" s="282"/>
      <c r="AM40" s="282"/>
      <c r="AN40" s="282"/>
      <c r="AO40" s="282"/>
      <c r="AP40" s="282"/>
      <c r="AQ40" s="282"/>
      <c r="AR40" s="152"/>
      <c r="AS40" s="276"/>
      <c r="AT40" s="285"/>
      <c r="AU40" s="281"/>
      <c r="AV40" s="282"/>
      <c r="AW40" s="282"/>
      <c r="AX40" s="283"/>
      <c r="AY40" s="152"/>
      <c r="AZ40" s="287"/>
      <c r="BA40" s="297"/>
      <c r="BB40" s="344"/>
      <c r="BC40" s="343"/>
      <c r="BD40" s="295"/>
      <c r="BE40"/>
      <c r="BF40"/>
      <c r="BG40"/>
      <c r="BH40"/>
      <c r="BI40"/>
      <c r="BJ40"/>
      <c r="BK40"/>
      <c r="BL40"/>
      <c r="BM40"/>
      <c r="BN40" s="275"/>
      <c r="BO40" s="275"/>
    </row>
    <row r="41" spans="1:67" s="272" customFormat="1" ht="27" customHeight="1" x14ac:dyDescent="0.25">
      <c r="A41" s="277"/>
      <c r="B41" s="279"/>
      <c r="C41" s="96" t="str">
        <f>PROPER(TEXT(D41,"JJJJ"))</f>
        <v>Dimanche</v>
      </c>
      <c r="D41" s="97">
        <f>$D39+1</f>
        <v>44059</v>
      </c>
      <c r="E41" s="282"/>
      <c r="F41" s="352">
        <v>16.600000000000001</v>
      </c>
      <c r="G41" s="353"/>
      <c r="H41" s="354">
        <v>0.14652777777777801</v>
      </c>
      <c r="I41" s="353"/>
      <c r="J41" s="352">
        <v>16.600000000000001</v>
      </c>
      <c r="K41" s="353"/>
      <c r="L41" s="354">
        <v>0.14652777777777801</v>
      </c>
      <c r="M41" s="353"/>
      <c r="N41" s="352">
        <v>24.2</v>
      </c>
      <c r="O41" s="353"/>
      <c r="P41" s="354">
        <v>0.6875</v>
      </c>
      <c r="Q41" s="353"/>
      <c r="R41" s="280"/>
      <c r="S41" s="287"/>
      <c r="T41" s="285"/>
      <c r="U41" s="96" t="str">
        <f>$C41</f>
        <v>Dimanche</v>
      </c>
      <c r="V41" s="97">
        <f>$D41</f>
        <v>44059</v>
      </c>
      <c r="W41" s="282"/>
      <c r="X41" s="101">
        <v>21.9</v>
      </c>
      <c r="Y41" s="282"/>
      <c r="Z41" s="98">
        <v>0.83888888888888902</v>
      </c>
      <c r="AA41" s="280"/>
      <c r="AB41" s="287"/>
      <c r="AC41" s="285"/>
      <c r="AD41" s="96" t="str">
        <f>$C41</f>
        <v>Dimanche</v>
      </c>
      <c r="AE41" s="97">
        <f>$D41</f>
        <v>44059</v>
      </c>
      <c r="AF41" s="282"/>
      <c r="AG41" s="259">
        <v>4.3</v>
      </c>
      <c r="AH41" s="282"/>
      <c r="AI41" s="98">
        <v>4.7222222222222221E-2</v>
      </c>
      <c r="AJ41" s="282"/>
      <c r="AK41" s="98">
        <v>0</v>
      </c>
      <c r="AL41" s="282"/>
      <c r="AM41" s="98">
        <v>7.6388888888888886E-3</v>
      </c>
      <c r="AN41" s="282"/>
      <c r="AO41" s="98">
        <v>3.9583333333333331E-2</v>
      </c>
      <c r="AP41" s="282"/>
      <c r="AQ41" s="98">
        <v>0</v>
      </c>
      <c r="AR41" s="152"/>
      <c r="AS41" s="276"/>
      <c r="AT41" s="285"/>
      <c r="AU41" s="96" t="str">
        <f>$C41</f>
        <v>Dimanche</v>
      </c>
      <c r="AV41" s="97">
        <f>$D41</f>
        <v>44059</v>
      </c>
      <c r="AW41" s="282"/>
      <c r="AX41" s="98">
        <v>0.44027777777777777</v>
      </c>
      <c r="AY41" s="152"/>
      <c r="AZ41" s="287"/>
      <c r="BA41" s="297"/>
      <c r="BB41" s="139">
        <f>D41</f>
        <v>44059</v>
      </c>
      <c r="BC41" s="140" t="str">
        <f>$C41</f>
        <v>Dimanche</v>
      </c>
      <c r="BD41" s="295"/>
      <c r="BE41"/>
      <c r="BF41"/>
      <c r="BG41"/>
      <c r="BH41"/>
      <c r="BI41"/>
      <c r="BJ41"/>
      <c r="BK41"/>
      <c r="BL41"/>
      <c r="BM41"/>
      <c r="BN41" s="275"/>
      <c r="BO41" s="275"/>
    </row>
    <row r="42" spans="1:67" s="396" customFormat="1" ht="5.25" customHeight="1" x14ac:dyDescent="0.25">
      <c r="A42" s="277"/>
      <c r="B42" s="279"/>
      <c r="C42" s="281"/>
      <c r="D42" s="282"/>
      <c r="E42" s="282"/>
      <c r="F42" s="282"/>
      <c r="G42" s="353"/>
      <c r="H42" s="353"/>
      <c r="I42" s="353"/>
      <c r="J42" s="282"/>
      <c r="K42" s="353"/>
      <c r="L42" s="353"/>
      <c r="M42" s="353"/>
      <c r="N42" s="282"/>
      <c r="O42" s="353"/>
      <c r="P42" s="353"/>
      <c r="Q42" s="353"/>
      <c r="R42" s="280"/>
      <c r="S42" s="287"/>
      <c r="T42" s="285"/>
      <c r="U42" s="281"/>
      <c r="V42" s="282"/>
      <c r="W42" s="282"/>
      <c r="X42" s="282"/>
      <c r="Y42" s="282"/>
      <c r="Z42" s="283"/>
      <c r="AA42" s="280"/>
      <c r="AB42" s="287"/>
      <c r="AC42" s="285"/>
      <c r="AD42" s="281"/>
      <c r="AE42" s="282"/>
      <c r="AF42" s="282"/>
      <c r="AG42" s="299"/>
      <c r="AH42" s="282"/>
      <c r="AI42" s="282"/>
      <c r="AJ42" s="282"/>
      <c r="AK42" s="282"/>
      <c r="AL42" s="282"/>
      <c r="AM42" s="282"/>
      <c r="AN42" s="282"/>
      <c r="AO42" s="282"/>
      <c r="AP42" s="282"/>
      <c r="AQ42" s="282"/>
      <c r="AR42" s="152"/>
      <c r="AS42" s="276"/>
      <c r="AT42" s="285"/>
      <c r="AU42" s="281"/>
      <c r="AV42" s="282"/>
      <c r="AW42" s="282"/>
      <c r="AX42" s="283"/>
      <c r="AY42" s="152"/>
      <c r="AZ42" s="287"/>
      <c r="BA42" s="297"/>
      <c r="BB42" s="344"/>
      <c r="BC42" s="343"/>
      <c r="BD42" s="295"/>
      <c r="BE42"/>
      <c r="BF42"/>
      <c r="BG42"/>
      <c r="BH42"/>
      <c r="BI42"/>
      <c r="BJ42"/>
      <c r="BK42"/>
      <c r="BL42"/>
      <c r="BM42"/>
      <c r="BN42" s="275"/>
      <c r="BO42" s="275"/>
    </row>
    <row r="43" spans="1:67" s="272" customFormat="1" ht="27" customHeight="1" x14ac:dyDescent="0.25">
      <c r="A43" s="277"/>
      <c r="B43" s="279"/>
      <c r="C43" s="96" t="str">
        <f>PROPER(TEXT(D43,"JJJJ"))</f>
        <v>Lundi</v>
      </c>
      <c r="D43" s="97">
        <f>$D41+1</f>
        <v>44060</v>
      </c>
      <c r="E43" s="282"/>
      <c r="F43" s="352">
        <v>16.899999999999999</v>
      </c>
      <c r="G43" s="353"/>
      <c r="H43" s="354">
        <v>0.115972222222222</v>
      </c>
      <c r="I43" s="353"/>
      <c r="J43" s="352">
        <v>16.899999999999999</v>
      </c>
      <c r="K43" s="353"/>
      <c r="L43" s="354">
        <v>0.115972222222222</v>
      </c>
      <c r="M43" s="353"/>
      <c r="N43" s="352">
        <v>24.9</v>
      </c>
      <c r="O43" s="353"/>
      <c r="P43" s="354">
        <v>0.69027777777777799</v>
      </c>
      <c r="Q43" s="353"/>
      <c r="R43" s="280"/>
      <c r="S43" s="287"/>
      <c r="T43" s="285"/>
      <c r="U43" s="96" t="str">
        <f>$C43</f>
        <v>Lundi</v>
      </c>
      <c r="V43" s="97">
        <f>$D43</f>
        <v>44060</v>
      </c>
      <c r="W43" s="282"/>
      <c r="X43" s="101">
        <v>20.2</v>
      </c>
      <c r="Y43" s="282"/>
      <c r="Z43" s="98">
        <v>0.25486111111111098</v>
      </c>
      <c r="AA43" s="280"/>
      <c r="AB43" s="287"/>
      <c r="AC43" s="285"/>
      <c r="AD43" s="96" t="str">
        <f>$C43</f>
        <v>Lundi</v>
      </c>
      <c r="AE43" s="97">
        <f>$D43</f>
        <v>44060</v>
      </c>
      <c r="AF43" s="282"/>
      <c r="AG43" s="259">
        <v>10.9</v>
      </c>
      <c r="AH43" s="282"/>
      <c r="AI43" s="98">
        <v>0.18541666666666667</v>
      </c>
      <c r="AJ43" s="282"/>
      <c r="AK43" s="98">
        <v>0.14444444444444443</v>
      </c>
      <c r="AL43" s="282"/>
      <c r="AM43" s="98">
        <v>4.027777777777778E-2</v>
      </c>
      <c r="AN43" s="282"/>
      <c r="AO43" s="98">
        <v>6.9444444444444447E-4</v>
      </c>
      <c r="AP43" s="282"/>
      <c r="AQ43" s="98">
        <v>0</v>
      </c>
      <c r="AR43" s="152"/>
      <c r="AS43" s="276"/>
      <c r="AT43" s="285"/>
      <c r="AU43" s="96" t="str">
        <f>$C43</f>
        <v>Lundi</v>
      </c>
      <c r="AV43" s="97">
        <f>$D43</f>
        <v>44060</v>
      </c>
      <c r="AW43" s="282"/>
      <c r="AX43" s="98">
        <v>0.47083333333333333</v>
      </c>
      <c r="AY43" s="152"/>
      <c r="AZ43" s="287"/>
      <c r="BA43" s="297"/>
      <c r="BB43" s="139">
        <f>D43</f>
        <v>44060</v>
      </c>
      <c r="BC43" s="140" t="str">
        <f>$C43</f>
        <v>Lundi</v>
      </c>
      <c r="BD43" s="295"/>
      <c r="BE43"/>
      <c r="BF43"/>
      <c r="BG43"/>
      <c r="BH43"/>
      <c r="BI43"/>
      <c r="BJ43"/>
      <c r="BK43"/>
      <c r="BL43"/>
      <c r="BM43"/>
      <c r="BN43" s="275"/>
      <c r="BO43" s="275"/>
    </row>
    <row r="44" spans="1:67" s="272" customFormat="1" ht="5.25" customHeight="1" x14ac:dyDescent="0.25">
      <c r="A44" s="277"/>
      <c r="B44" s="279"/>
      <c r="C44" s="281"/>
      <c r="D44" s="282"/>
      <c r="E44" s="282"/>
      <c r="F44" s="282"/>
      <c r="G44" s="353"/>
      <c r="H44" s="353"/>
      <c r="I44" s="353"/>
      <c r="J44" s="282"/>
      <c r="K44" s="353"/>
      <c r="L44" s="353"/>
      <c r="M44" s="353"/>
      <c r="N44" s="282"/>
      <c r="O44" s="353"/>
      <c r="P44" s="353"/>
      <c r="Q44" s="353"/>
      <c r="R44" s="280"/>
      <c r="S44" s="287"/>
      <c r="T44" s="285"/>
      <c r="U44" s="281"/>
      <c r="V44" s="282"/>
      <c r="W44" s="282"/>
      <c r="X44" s="282"/>
      <c r="Y44" s="282"/>
      <c r="Z44" s="283"/>
      <c r="AA44" s="280"/>
      <c r="AB44" s="287"/>
      <c r="AC44" s="285"/>
      <c r="AD44" s="281"/>
      <c r="AE44" s="282"/>
      <c r="AF44" s="282"/>
      <c r="AG44" s="299"/>
      <c r="AH44" s="282"/>
      <c r="AI44" s="282"/>
      <c r="AJ44" s="282"/>
      <c r="AK44" s="282"/>
      <c r="AL44" s="282"/>
      <c r="AM44" s="282"/>
      <c r="AN44" s="282"/>
      <c r="AO44" s="282"/>
      <c r="AP44" s="282"/>
      <c r="AQ44" s="282"/>
      <c r="AR44" s="152"/>
      <c r="AS44" s="276"/>
      <c r="AT44" s="285"/>
      <c r="AU44" s="281"/>
      <c r="AV44" s="282"/>
      <c r="AW44" s="282"/>
      <c r="AX44" s="283"/>
      <c r="AY44" s="152"/>
      <c r="AZ44" s="287"/>
      <c r="BA44" s="297"/>
      <c r="BB44" s="293"/>
      <c r="BC44" s="294"/>
      <c r="BD44" s="295"/>
      <c r="BE44"/>
      <c r="BF44"/>
      <c r="BG44"/>
      <c r="BH44"/>
      <c r="BI44"/>
      <c r="BJ44"/>
      <c r="BK44"/>
      <c r="BL44"/>
      <c r="BM44"/>
      <c r="BN44" s="275"/>
      <c r="BO44" s="275"/>
    </row>
    <row r="45" spans="1:67" s="272" customFormat="1" ht="27" customHeight="1" x14ac:dyDescent="0.25">
      <c r="A45" s="277"/>
      <c r="B45" s="279"/>
      <c r="C45" s="96" t="str">
        <f>PROPER(TEXT(D45,"JJJJ"))</f>
        <v>Mardi</v>
      </c>
      <c r="D45" s="97">
        <f>$D43+1</f>
        <v>44061</v>
      </c>
      <c r="E45" s="282"/>
      <c r="F45" s="352">
        <v>16.399999999999999</v>
      </c>
      <c r="G45" s="353"/>
      <c r="H45" s="354">
        <v>0.25763888888888897</v>
      </c>
      <c r="I45" s="353"/>
      <c r="J45" s="352">
        <v>16.399999999999999</v>
      </c>
      <c r="K45" s="353"/>
      <c r="L45" s="354">
        <v>0.25763888888888897</v>
      </c>
      <c r="M45" s="353"/>
      <c r="N45" s="352">
        <v>25.5</v>
      </c>
      <c r="O45" s="353"/>
      <c r="P45" s="354">
        <v>0.63749999999999996</v>
      </c>
      <c r="Q45" s="353"/>
      <c r="R45" s="280"/>
      <c r="S45" s="287"/>
      <c r="T45" s="285"/>
      <c r="U45" s="96" t="str">
        <f>$C45</f>
        <v>Mardi</v>
      </c>
      <c r="V45" s="97">
        <f>$D45</f>
        <v>44061</v>
      </c>
      <c r="W45" s="282"/>
      <c r="X45" s="101">
        <v>18.399999999999999</v>
      </c>
      <c r="Y45" s="282"/>
      <c r="Z45" s="98">
        <v>0.61527777777777803</v>
      </c>
      <c r="AA45" s="280"/>
      <c r="AB45" s="287"/>
      <c r="AC45" s="285"/>
      <c r="AD45" s="96" t="str">
        <f>$C45</f>
        <v>Mardi</v>
      </c>
      <c r="AE45" s="97">
        <f>$D45</f>
        <v>44061</v>
      </c>
      <c r="AF45" s="282"/>
      <c r="AG45" s="259">
        <v>0</v>
      </c>
      <c r="AH45" s="282"/>
      <c r="AI45" s="98">
        <v>0</v>
      </c>
      <c r="AJ45" s="282"/>
      <c r="AK45" s="98">
        <v>0</v>
      </c>
      <c r="AL45" s="282"/>
      <c r="AM45" s="98">
        <v>0</v>
      </c>
      <c r="AN45" s="282"/>
      <c r="AO45" s="98">
        <v>0</v>
      </c>
      <c r="AP45" s="282"/>
      <c r="AQ45" s="98">
        <v>0</v>
      </c>
      <c r="AR45" s="152"/>
      <c r="AS45" s="276"/>
      <c r="AT45" s="285"/>
      <c r="AU45" s="96" t="str">
        <f>$C45</f>
        <v>Mardi</v>
      </c>
      <c r="AV45" s="97">
        <f>$D45</f>
        <v>44061</v>
      </c>
      <c r="AW45" s="282"/>
      <c r="AX45" s="98">
        <v>0.50208333333333333</v>
      </c>
      <c r="AY45" s="152"/>
      <c r="AZ45" s="287"/>
      <c r="BA45" s="297"/>
      <c r="BB45" s="139">
        <f>D45</f>
        <v>44061</v>
      </c>
      <c r="BC45" s="140" t="str">
        <f>$C45</f>
        <v>Mardi</v>
      </c>
      <c r="BD45" s="295"/>
      <c r="BE45"/>
      <c r="BF45"/>
      <c r="BG45"/>
      <c r="BH45"/>
      <c r="BI45"/>
      <c r="BJ45"/>
      <c r="BK45"/>
      <c r="BL45"/>
      <c r="BM45"/>
      <c r="BN45" s="275"/>
      <c r="BO45" s="275"/>
    </row>
    <row r="46" spans="1:67" s="272" customFormat="1" ht="5.25" customHeight="1" x14ac:dyDescent="0.25">
      <c r="A46" s="277"/>
      <c r="B46" s="279"/>
      <c r="C46" s="281"/>
      <c r="D46" s="282"/>
      <c r="E46" s="282"/>
      <c r="F46" s="282"/>
      <c r="G46" s="353"/>
      <c r="H46" s="353"/>
      <c r="I46" s="353"/>
      <c r="J46" s="282"/>
      <c r="K46" s="353"/>
      <c r="L46" s="353"/>
      <c r="M46" s="353"/>
      <c r="N46" s="282"/>
      <c r="O46" s="353"/>
      <c r="P46" s="353"/>
      <c r="Q46" s="353"/>
      <c r="R46" s="280"/>
      <c r="S46" s="287"/>
      <c r="T46" s="285"/>
      <c r="U46" s="281"/>
      <c r="V46" s="282"/>
      <c r="W46" s="282"/>
      <c r="X46" s="282"/>
      <c r="Y46" s="282"/>
      <c r="Z46" s="283"/>
      <c r="AA46" s="280"/>
      <c r="AB46" s="287"/>
      <c r="AC46" s="285"/>
      <c r="AD46" s="281"/>
      <c r="AE46" s="282"/>
      <c r="AF46" s="282"/>
      <c r="AG46" s="299"/>
      <c r="AH46" s="282"/>
      <c r="AI46" s="282"/>
      <c r="AJ46" s="282"/>
      <c r="AK46" s="282"/>
      <c r="AL46" s="282"/>
      <c r="AM46" s="282"/>
      <c r="AN46" s="282"/>
      <c r="AO46" s="282"/>
      <c r="AP46" s="282"/>
      <c r="AQ46" s="282"/>
      <c r="AR46" s="152"/>
      <c r="AS46" s="276"/>
      <c r="AT46" s="285"/>
      <c r="AU46" s="281"/>
      <c r="AV46" s="282"/>
      <c r="AW46" s="282"/>
      <c r="AX46" s="283"/>
      <c r="AY46" s="152"/>
      <c r="AZ46" s="287"/>
      <c r="BA46" s="297"/>
      <c r="BB46" s="293"/>
      <c r="BC46" s="294"/>
      <c r="BD46" s="295"/>
      <c r="BE46"/>
      <c r="BF46"/>
      <c r="BG46"/>
      <c r="BH46"/>
      <c r="BI46"/>
      <c r="BJ46"/>
      <c r="BK46"/>
      <c r="BL46"/>
      <c r="BM46"/>
      <c r="BN46" s="275"/>
      <c r="BO46" s="275"/>
    </row>
    <row r="47" spans="1:67" s="272" customFormat="1" ht="27" customHeight="1" x14ac:dyDescent="0.25">
      <c r="A47" s="277"/>
      <c r="B47" s="279"/>
      <c r="C47" s="96" t="str">
        <f>PROPER(TEXT(D47,"JJJJ"))</f>
        <v>Mercredi</v>
      </c>
      <c r="D47" s="97">
        <f>$D45+1</f>
        <v>44062</v>
      </c>
      <c r="E47" s="282"/>
      <c r="F47" s="352">
        <v>19.7</v>
      </c>
      <c r="G47" s="353"/>
      <c r="H47" s="98">
        <v>0.35625000000000001</v>
      </c>
      <c r="I47" s="353"/>
      <c r="J47" s="352">
        <v>19.7</v>
      </c>
      <c r="K47" s="353"/>
      <c r="L47" s="98">
        <v>0.35625000000000001</v>
      </c>
      <c r="M47" s="353"/>
      <c r="N47" s="352">
        <v>27.4</v>
      </c>
      <c r="O47" s="353"/>
      <c r="P47" s="98">
        <v>0.70208333333333295</v>
      </c>
      <c r="Q47" s="353"/>
      <c r="R47" s="280"/>
      <c r="S47" s="287"/>
      <c r="T47" s="285"/>
      <c r="U47" s="96" t="str">
        <f>$C47</f>
        <v>Mercredi</v>
      </c>
      <c r="V47" s="97">
        <f>$D47</f>
        <v>44062</v>
      </c>
      <c r="W47" s="282"/>
      <c r="X47" s="101">
        <v>16.600000000000001</v>
      </c>
      <c r="Y47" s="282"/>
      <c r="Z47" s="98">
        <v>0.22222222222222199</v>
      </c>
      <c r="AA47" s="280"/>
      <c r="AB47" s="287"/>
      <c r="AC47" s="285"/>
      <c r="AD47" s="96" t="str">
        <f>$C47</f>
        <v>Mercredi</v>
      </c>
      <c r="AE47" s="97">
        <f>$D47</f>
        <v>44062</v>
      </c>
      <c r="AF47" s="282"/>
      <c r="AG47" s="259">
        <v>3.1</v>
      </c>
      <c r="AH47" s="282"/>
      <c r="AI47" s="98">
        <v>0.15694444444444444</v>
      </c>
      <c r="AJ47" s="282"/>
      <c r="AK47" s="98">
        <v>0</v>
      </c>
      <c r="AL47" s="282"/>
      <c r="AM47" s="98">
        <v>0.15694444444444444</v>
      </c>
      <c r="AN47" s="282"/>
      <c r="AO47" s="98">
        <v>0</v>
      </c>
      <c r="AP47" s="282"/>
      <c r="AQ47" s="98">
        <v>0</v>
      </c>
      <c r="AR47" s="152"/>
      <c r="AS47" s="276"/>
      <c r="AT47" s="285"/>
      <c r="AU47" s="96" t="str">
        <f>$C47</f>
        <v>Mercredi</v>
      </c>
      <c r="AV47" s="97">
        <f>$D47</f>
        <v>44062</v>
      </c>
      <c r="AW47" s="282"/>
      <c r="AX47" s="98">
        <v>0.3888888888888889</v>
      </c>
      <c r="AY47" s="152"/>
      <c r="AZ47" s="287"/>
      <c r="BA47" s="297"/>
      <c r="BB47" s="139">
        <f>D47</f>
        <v>44062</v>
      </c>
      <c r="BC47" s="140" t="str">
        <f>$C47</f>
        <v>Mercredi</v>
      </c>
      <c r="BD47" s="295"/>
      <c r="BE47"/>
      <c r="BF47"/>
      <c r="BG47"/>
      <c r="BH47"/>
      <c r="BI47"/>
      <c r="BJ47"/>
      <c r="BK47"/>
      <c r="BL47"/>
      <c r="BM47"/>
      <c r="BN47" s="275"/>
      <c r="BO47" s="275"/>
    </row>
    <row r="48" spans="1:67" s="272" customFormat="1" ht="5.25" customHeight="1" x14ac:dyDescent="0.25">
      <c r="A48" s="277"/>
      <c r="B48" s="279"/>
      <c r="C48" s="281"/>
      <c r="D48" s="282"/>
      <c r="E48" s="282"/>
      <c r="F48" s="282"/>
      <c r="G48" s="353"/>
      <c r="H48" s="353"/>
      <c r="I48" s="353"/>
      <c r="J48" s="282"/>
      <c r="K48" s="353"/>
      <c r="L48" s="353"/>
      <c r="M48" s="353"/>
      <c r="N48" s="282"/>
      <c r="O48" s="353"/>
      <c r="P48" s="353"/>
      <c r="Q48" s="353"/>
      <c r="R48" s="280"/>
      <c r="S48" s="287"/>
      <c r="T48" s="285"/>
      <c r="U48" s="281"/>
      <c r="V48" s="282"/>
      <c r="W48" s="282"/>
      <c r="X48" s="282"/>
      <c r="Y48" s="282"/>
      <c r="Z48" s="283"/>
      <c r="AA48" s="280"/>
      <c r="AB48" s="287"/>
      <c r="AC48" s="285"/>
      <c r="AD48" s="281"/>
      <c r="AE48" s="282"/>
      <c r="AF48" s="282"/>
      <c r="AG48" s="299"/>
      <c r="AH48" s="282"/>
      <c r="AI48" s="282"/>
      <c r="AJ48" s="282"/>
      <c r="AK48" s="282"/>
      <c r="AL48" s="282"/>
      <c r="AM48" s="282"/>
      <c r="AN48" s="282"/>
      <c r="AO48" s="282"/>
      <c r="AP48" s="282"/>
      <c r="AQ48" s="282"/>
      <c r="AR48" s="152"/>
      <c r="AS48" s="276"/>
      <c r="AT48" s="285"/>
      <c r="AU48" s="281"/>
      <c r="AV48" s="282"/>
      <c r="AW48" s="282"/>
      <c r="AX48" s="283"/>
      <c r="AY48" s="152"/>
      <c r="AZ48" s="287"/>
      <c r="BA48" s="297"/>
      <c r="BB48" s="293"/>
      <c r="BC48" s="294"/>
      <c r="BD48" s="295"/>
      <c r="BE48"/>
      <c r="BF48"/>
      <c r="BG48"/>
      <c r="BH48"/>
      <c r="BI48"/>
      <c r="BJ48"/>
      <c r="BK48"/>
      <c r="BL48"/>
      <c r="BM48"/>
      <c r="BN48" s="275"/>
      <c r="BO48" s="275"/>
    </row>
    <row r="49" spans="1:67" s="272" customFormat="1" ht="27" customHeight="1" x14ac:dyDescent="0.25">
      <c r="A49" s="277"/>
      <c r="B49" s="279"/>
      <c r="C49" s="96" t="str">
        <f>PROPER(TEXT(D49,"JJJJ"))</f>
        <v>Jeudi</v>
      </c>
      <c r="D49" s="97">
        <f>$D47+1</f>
        <v>44063</v>
      </c>
      <c r="E49" s="282"/>
      <c r="F49" s="352">
        <v>20.2</v>
      </c>
      <c r="G49" s="353"/>
      <c r="H49" s="98">
        <v>0.202083333333333</v>
      </c>
      <c r="I49" s="353"/>
      <c r="J49" s="352">
        <v>20.2</v>
      </c>
      <c r="K49" s="353"/>
      <c r="L49" s="98">
        <v>0.202083333333333</v>
      </c>
      <c r="M49" s="353"/>
      <c r="N49" s="352">
        <v>27.6</v>
      </c>
      <c r="O49" s="353"/>
      <c r="P49" s="98">
        <v>0.72847222222222197</v>
      </c>
      <c r="Q49" s="353"/>
      <c r="R49" s="280"/>
      <c r="S49" s="287"/>
      <c r="T49" s="285"/>
      <c r="U49" s="96" t="str">
        <f>$C49</f>
        <v>Jeudi</v>
      </c>
      <c r="V49" s="97">
        <f>$D49</f>
        <v>44063</v>
      </c>
      <c r="W49" s="282"/>
      <c r="X49" s="101">
        <v>25.6</v>
      </c>
      <c r="Y49" s="282"/>
      <c r="Z49" s="98">
        <v>6.4583333333333298E-2</v>
      </c>
      <c r="AA49" s="280"/>
      <c r="AB49" s="287"/>
      <c r="AC49" s="285"/>
      <c r="AD49" s="96" t="str">
        <f>$C49</f>
        <v>Jeudi</v>
      </c>
      <c r="AE49" s="97">
        <f>$D49</f>
        <v>44063</v>
      </c>
      <c r="AF49" s="282"/>
      <c r="AG49" s="259">
        <v>0.7</v>
      </c>
      <c r="AH49" s="282"/>
      <c r="AI49" s="98">
        <v>1.1805555555555555E-2</v>
      </c>
      <c r="AJ49" s="282"/>
      <c r="AK49" s="98">
        <v>0</v>
      </c>
      <c r="AL49" s="282"/>
      <c r="AM49" s="98">
        <v>0</v>
      </c>
      <c r="AN49" s="282"/>
      <c r="AO49" s="98">
        <v>0</v>
      </c>
      <c r="AP49" s="282"/>
      <c r="AQ49" s="98">
        <v>1.1805555555555555E-2</v>
      </c>
      <c r="AR49" s="152"/>
      <c r="AS49" s="276"/>
      <c r="AT49" s="285"/>
      <c r="AU49" s="96" t="str">
        <f>$C49</f>
        <v>Jeudi</v>
      </c>
      <c r="AV49" s="97">
        <f>$D49</f>
        <v>44063</v>
      </c>
      <c r="AW49" s="282"/>
      <c r="AX49" s="98">
        <v>0.46041666666666664</v>
      </c>
      <c r="AY49" s="152"/>
      <c r="AZ49" s="287"/>
      <c r="BA49" s="297"/>
      <c r="BB49" s="139">
        <f>D49</f>
        <v>44063</v>
      </c>
      <c r="BC49" s="140" t="str">
        <f>$C49</f>
        <v>Jeudi</v>
      </c>
      <c r="BD49" s="295"/>
      <c r="BE49"/>
      <c r="BF49"/>
      <c r="BG49"/>
      <c r="BH49"/>
      <c r="BI49"/>
      <c r="BJ49"/>
      <c r="BK49"/>
      <c r="BL49"/>
      <c r="BM49"/>
      <c r="BN49" s="275"/>
      <c r="BO49" s="275"/>
    </row>
    <row r="50" spans="1:67" s="272" customFormat="1" ht="5.25" customHeight="1" x14ac:dyDescent="0.25">
      <c r="A50" s="277"/>
      <c r="B50" s="279"/>
      <c r="C50" s="281"/>
      <c r="D50" s="282"/>
      <c r="E50" s="282"/>
      <c r="F50" s="282"/>
      <c r="G50" s="353"/>
      <c r="H50" s="353"/>
      <c r="I50" s="353"/>
      <c r="J50" s="282"/>
      <c r="K50" s="353"/>
      <c r="L50" s="353"/>
      <c r="M50" s="353"/>
      <c r="N50" s="282"/>
      <c r="O50" s="353"/>
      <c r="P50" s="353"/>
      <c r="Q50" s="353"/>
      <c r="R50" s="280"/>
      <c r="S50" s="287"/>
      <c r="T50" s="285"/>
      <c r="U50" s="281"/>
      <c r="V50" s="282"/>
      <c r="W50" s="282"/>
      <c r="X50" s="282"/>
      <c r="Y50" s="282"/>
      <c r="Z50" s="283"/>
      <c r="AA50" s="280"/>
      <c r="AB50" s="287"/>
      <c r="AC50" s="285"/>
      <c r="AD50" s="281"/>
      <c r="AE50" s="282"/>
      <c r="AF50" s="282"/>
      <c r="AG50" s="299"/>
      <c r="AH50" s="282"/>
      <c r="AI50" s="282"/>
      <c r="AJ50" s="282"/>
      <c r="AK50" s="282"/>
      <c r="AL50" s="282"/>
      <c r="AM50" s="282"/>
      <c r="AN50" s="282"/>
      <c r="AO50" s="282"/>
      <c r="AP50" s="282"/>
      <c r="AQ50" s="282"/>
      <c r="AR50" s="152"/>
      <c r="AS50" s="276"/>
      <c r="AT50" s="285"/>
      <c r="AU50" s="281"/>
      <c r="AV50" s="282"/>
      <c r="AW50" s="282"/>
      <c r="AX50" s="283"/>
      <c r="AY50" s="152"/>
      <c r="AZ50" s="287"/>
      <c r="BA50" s="297"/>
      <c r="BB50" s="293"/>
      <c r="BC50" s="294"/>
      <c r="BD50" s="295"/>
      <c r="BE50"/>
      <c r="BF50"/>
      <c r="BG50"/>
      <c r="BH50"/>
      <c r="BI50"/>
      <c r="BJ50"/>
      <c r="BK50"/>
      <c r="BL50"/>
      <c r="BM50"/>
      <c r="BN50" s="275"/>
      <c r="BO50" s="275"/>
    </row>
    <row r="51" spans="1:67" s="272" customFormat="1" ht="27" customHeight="1" thickBot="1" x14ac:dyDescent="0.3">
      <c r="A51" s="277"/>
      <c r="B51" s="279"/>
      <c r="C51" s="96" t="str">
        <f>PROPER(TEXT(D51,"JJJJ"))</f>
        <v>Vendredi</v>
      </c>
      <c r="D51" s="97">
        <f>$D49+1</f>
        <v>44064</v>
      </c>
      <c r="E51" s="282"/>
      <c r="F51" s="352">
        <v>20</v>
      </c>
      <c r="G51" s="353"/>
      <c r="H51" s="98">
        <v>0.172222222222222</v>
      </c>
      <c r="I51" s="353"/>
      <c r="J51" s="352">
        <v>20</v>
      </c>
      <c r="K51" s="353"/>
      <c r="L51" s="98">
        <v>0.172222222222222</v>
      </c>
      <c r="M51" s="353"/>
      <c r="N51" s="352">
        <v>25.2</v>
      </c>
      <c r="O51" s="353"/>
      <c r="P51" s="98">
        <v>0.61875000000000002</v>
      </c>
      <c r="Q51" s="353"/>
      <c r="R51" s="280"/>
      <c r="S51" s="287"/>
      <c r="T51" s="285"/>
      <c r="U51" s="96" t="str">
        <f>$C51</f>
        <v>Vendredi</v>
      </c>
      <c r="V51" s="97">
        <f>$D51</f>
        <v>44064</v>
      </c>
      <c r="W51" s="282"/>
      <c r="X51" s="101">
        <v>23.8</v>
      </c>
      <c r="Y51" s="282"/>
      <c r="Z51" s="98">
        <v>7.0138888888888903E-2</v>
      </c>
      <c r="AA51" s="280"/>
      <c r="AB51" s="287"/>
      <c r="AC51" s="285"/>
      <c r="AD51" s="96" t="str">
        <f>$C51</f>
        <v>Vendredi</v>
      </c>
      <c r="AE51" s="97">
        <f>$D51</f>
        <v>44064</v>
      </c>
      <c r="AF51" s="282"/>
      <c r="AG51" s="259">
        <v>1.6</v>
      </c>
      <c r="AH51" s="282"/>
      <c r="AI51" s="98">
        <v>8.1944444444444445E-2</v>
      </c>
      <c r="AJ51" s="282"/>
      <c r="AK51" s="98">
        <v>8.1944444444444445E-2</v>
      </c>
      <c r="AL51" s="282"/>
      <c r="AM51" s="98">
        <v>0</v>
      </c>
      <c r="AN51" s="282"/>
      <c r="AO51" s="98">
        <v>0</v>
      </c>
      <c r="AP51" s="282"/>
      <c r="AQ51" s="98">
        <v>0</v>
      </c>
      <c r="AR51" s="152"/>
      <c r="AS51" s="276"/>
      <c r="AT51" s="285"/>
      <c r="AU51" s="96" t="str">
        <f>$C51</f>
        <v>Vendredi</v>
      </c>
      <c r="AV51" s="97">
        <f>$D51</f>
        <v>44064</v>
      </c>
      <c r="AW51" s="282"/>
      <c r="AX51" s="98">
        <v>0.48541666666666666</v>
      </c>
      <c r="AY51" s="152"/>
      <c r="AZ51" s="287"/>
      <c r="BA51" s="297"/>
      <c r="BB51" s="139">
        <f>D51</f>
        <v>44064</v>
      </c>
      <c r="BC51" s="140" t="str">
        <f>$C51</f>
        <v>Vendredi</v>
      </c>
      <c r="BD51" s="295"/>
      <c r="BE51"/>
      <c r="BF51"/>
      <c r="BG51"/>
      <c r="BH51"/>
      <c r="BI51"/>
      <c r="BJ51"/>
      <c r="BK51"/>
      <c r="BL51"/>
      <c r="BM51"/>
      <c r="BN51" s="275"/>
      <c r="BO51" s="275"/>
    </row>
    <row r="52" spans="1:67" s="396" customFormat="1" ht="27" customHeight="1" thickTop="1" thickBot="1" x14ac:dyDescent="0.3">
      <c r="A52" s="278"/>
      <c r="B52" s="279"/>
      <c r="C52" s="281"/>
      <c r="D52" s="282"/>
      <c r="E52" s="282"/>
      <c r="F52" s="353"/>
      <c r="G52" s="353"/>
      <c r="H52" s="353"/>
      <c r="I52" s="353"/>
      <c r="J52" s="353"/>
      <c r="K52" s="353"/>
      <c r="L52" s="353"/>
      <c r="M52" s="353"/>
      <c r="N52" s="353"/>
      <c r="O52" s="353"/>
      <c r="P52" s="353"/>
      <c r="Q52" s="353"/>
      <c r="R52" s="280"/>
      <c r="S52" s="284"/>
      <c r="T52" s="285"/>
      <c r="U52" s="281"/>
      <c r="V52" s="282"/>
      <c r="W52" s="282"/>
      <c r="X52" s="282"/>
      <c r="Y52" s="282"/>
      <c r="Z52" s="283"/>
      <c r="AA52" s="280"/>
      <c r="AB52" s="284"/>
      <c r="AC52" s="285"/>
      <c r="AD52" s="281"/>
      <c r="AE52" s="282"/>
      <c r="AF52" s="282"/>
      <c r="AG52" s="299"/>
      <c r="AH52" s="282"/>
      <c r="AI52" s="283"/>
      <c r="AJ52" s="282"/>
      <c r="AK52" s="283"/>
      <c r="AL52" s="282"/>
      <c r="AM52" s="283"/>
      <c r="AN52" s="282"/>
      <c r="AO52" s="283"/>
      <c r="AP52" s="282"/>
      <c r="AQ52" s="283"/>
      <c r="AR52" s="152"/>
      <c r="AS52" s="276"/>
      <c r="AT52" s="285"/>
      <c r="AU52" s="281"/>
      <c r="AV52" s="282"/>
      <c r="AW52" s="282"/>
      <c r="AX52" s="283"/>
      <c r="AY52" s="152"/>
      <c r="AZ52" s="286"/>
      <c r="BA52" s="296"/>
      <c r="BB52" s="291"/>
      <c r="BC52" s="292"/>
      <c r="BD52" s="295"/>
      <c r="BE52"/>
      <c r="BF52"/>
      <c r="BG52"/>
      <c r="BH52"/>
      <c r="BI52"/>
      <c r="BJ52"/>
      <c r="BK52"/>
      <c r="BL52"/>
      <c r="BM52"/>
      <c r="BN52" s="275"/>
      <c r="BO52" s="275"/>
    </row>
    <row r="53" spans="1:67" s="272" customFormat="1" ht="27" customHeight="1" thickTop="1" x14ac:dyDescent="0.25">
      <c r="A53" s="277"/>
      <c r="B53" s="279"/>
      <c r="C53" s="96" t="str">
        <f>PROPER(TEXT(D53,"JJJJ"))</f>
        <v>Samedi</v>
      </c>
      <c r="D53" s="97">
        <f>$D51+1</f>
        <v>44065</v>
      </c>
      <c r="E53" s="282"/>
      <c r="F53" s="352">
        <v>17.899999999999999</v>
      </c>
      <c r="G53" s="353"/>
      <c r="H53" s="98">
        <v>0.27708333333333302</v>
      </c>
      <c r="I53" s="353"/>
      <c r="J53" s="352">
        <v>17.899999999999999</v>
      </c>
      <c r="K53" s="353"/>
      <c r="L53" s="98">
        <v>0.27708333333333302</v>
      </c>
      <c r="M53" s="353"/>
      <c r="N53" s="352">
        <v>23.6</v>
      </c>
      <c r="O53" s="353"/>
      <c r="P53" s="98">
        <v>0.56666666666666698</v>
      </c>
      <c r="Q53" s="353"/>
      <c r="R53" s="280"/>
      <c r="S53" s="287"/>
      <c r="T53" s="285"/>
      <c r="U53" s="96" t="str">
        <f>$C53</f>
        <v>Samedi</v>
      </c>
      <c r="V53" s="97">
        <f>$D53</f>
        <v>44065</v>
      </c>
      <c r="W53" s="282"/>
      <c r="X53" s="101">
        <v>31.4</v>
      </c>
      <c r="Y53" s="282"/>
      <c r="Z53" s="98">
        <v>0.72916666666666696</v>
      </c>
      <c r="AA53" s="280"/>
      <c r="AB53" s="287"/>
      <c r="AC53" s="285"/>
      <c r="AD53" s="96" t="str">
        <f>$C53</f>
        <v>Samedi</v>
      </c>
      <c r="AE53" s="97">
        <f>$D53</f>
        <v>44065</v>
      </c>
      <c r="AF53" s="282"/>
      <c r="AG53" s="259">
        <v>1.7</v>
      </c>
      <c r="AH53" s="282"/>
      <c r="AI53" s="98">
        <v>6.7361111111111108E-2</v>
      </c>
      <c r="AJ53" s="282"/>
      <c r="AK53" s="98">
        <v>5.6250000000000001E-2</v>
      </c>
      <c r="AL53" s="282"/>
      <c r="AM53" s="98">
        <v>1.1111111111111112E-2</v>
      </c>
      <c r="AN53" s="282"/>
      <c r="AO53" s="98">
        <v>0</v>
      </c>
      <c r="AP53" s="282"/>
      <c r="AQ53" s="98">
        <v>0</v>
      </c>
      <c r="AR53" s="152"/>
      <c r="AS53" s="276"/>
      <c r="AT53" s="285"/>
      <c r="AU53" s="96" t="str">
        <f>$C53</f>
        <v>Samedi</v>
      </c>
      <c r="AV53" s="97">
        <f>$D53</f>
        <v>44065</v>
      </c>
      <c r="AW53" s="282"/>
      <c r="AX53" s="98">
        <v>0.46319444444444446</v>
      </c>
      <c r="AY53" s="152"/>
      <c r="AZ53" s="287"/>
      <c r="BA53" s="297"/>
      <c r="BB53" s="139">
        <f>D53</f>
        <v>44065</v>
      </c>
      <c r="BC53" s="140" t="str">
        <f>$C53</f>
        <v>Samedi</v>
      </c>
      <c r="BD53" s="295"/>
      <c r="BE53"/>
      <c r="BF53"/>
      <c r="BG53"/>
      <c r="BH53"/>
      <c r="BI53"/>
      <c r="BJ53"/>
      <c r="BK53"/>
      <c r="BL53"/>
      <c r="BM53"/>
      <c r="BN53" s="275"/>
      <c r="BO53" s="275"/>
    </row>
    <row r="54" spans="1:67" s="272" customFormat="1" ht="5.25" customHeight="1" x14ac:dyDescent="0.25">
      <c r="A54" s="277"/>
      <c r="B54" s="279"/>
      <c r="C54" s="281"/>
      <c r="D54" s="282"/>
      <c r="E54" s="282"/>
      <c r="F54" s="282"/>
      <c r="G54" s="353"/>
      <c r="H54" s="353"/>
      <c r="I54" s="353"/>
      <c r="J54" s="282"/>
      <c r="K54" s="353"/>
      <c r="L54" s="353"/>
      <c r="M54" s="353"/>
      <c r="N54" s="282"/>
      <c r="O54" s="353"/>
      <c r="P54" s="353"/>
      <c r="Q54" s="353"/>
      <c r="R54" s="280"/>
      <c r="S54" s="287"/>
      <c r="T54" s="285"/>
      <c r="U54" s="281"/>
      <c r="V54" s="282"/>
      <c r="W54" s="282"/>
      <c r="X54" s="282"/>
      <c r="Y54" s="282"/>
      <c r="Z54" s="283"/>
      <c r="AA54" s="280"/>
      <c r="AB54" s="287"/>
      <c r="AC54" s="285"/>
      <c r="AD54" s="281"/>
      <c r="AE54" s="282"/>
      <c r="AF54" s="282"/>
      <c r="AG54" s="299"/>
      <c r="AH54" s="282"/>
      <c r="AI54" s="282"/>
      <c r="AJ54" s="282"/>
      <c r="AK54" s="282"/>
      <c r="AL54" s="282"/>
      <c r="AM54" s="282"/>
      <c r="AN54" s="282"/>
      <c r="AO54" s="282"/>
      <c r="AP54" s="282"/>
      <c r="AQ54" s="282"/>
      <c r="AR54" s="152"/>
      <c r="AS54" s="276"/>
      <c r="AT54" s="285"/>
      <c r="AU54" s="281"/>
      <c r="AV54" s="282"/>
      <c r="AW54" s="282"/>
      <c r="AX54" s="283"/>
      <c r="AY54" s="152"/>
      <c r="AZ54" s="287"/>
      <c r="BA54" s="297"/>
      <c r="BB54" s="344"/>
      <c r="BC54" s="343"/>
      <c r="BD54" s="295"/>
      <c r="BE54"/>
      <c r="BF54"/>
      <c r="BG54"/>
      <c r="BH54"/>
      <c r="BI54"/>
      <c r="BJ54"/>
      <c r="BK54"/>
      <c r="BL54"/>
      <c r="BM54"/>
      <c r="BN54" s="275"/>
      <c r="BO54" s="275"/>
    </row>
    <row r="55" spans="1:67" s="272" customFormat="1" ht="27" customHeight="1" x14ac:dyDescent="0.25">
      <c r="A55" s="277"/>
      <c r="B55" s="279"/>
      <c r="C55" s="96" t="str">
        <f>PROPER(TEXT(D55,"JJJJ"))</f>
        <v>Dimanche</v>
      </c>
      <c r="D55" s="97">
        <f>$D53+1</f>
        <v>44066</v>
      </c>
      <c r="E55" s="282"/>
      <c r="F55" s="352">
        <v>15.9</v>
      </c>
      <c r="G55" s="353"/>
      <c r="H55" s="98">
        <v>0.31041666666666701</v>
      </c>
      <c r="I55" s="353"/>
      <c r="J55" s="352">
        <v>15.9</v>
      </c>
      <c r="K55" s="353"/>
      <c r="L55" s="98">
        <v>0.31041666666666701</v>
      </c>
      <c r="M55" s="353"/>
      <c r="N55" s="352">
        <v>23.2</v>
      </c>
      <c r="O55" s="353"/>
      <c r="P55" s="98">
        <v>0.58958333333333302</v>
      </c>
      <c r="Q55" s="353"/>
      <c r="R55" s="280"/>
      <c r="S55" s="287"/>
      <c r="T55" s="285"/>
      <c r="U55" s="96" t="str">
        <f>$C55</f>
        <v>Dimanche</v>
      </c>
      <c r="V55" s="97">
        <f>$D55</f>
        <v>44066</v>
      </c>
      <c r="W55" s="282"/>
      <c r="X55" s="101">
        <v>23.8</v>
      </c>
      <c r="Y55" s="282"/>
      <c r="Z55" s="98">
        <v>0.66180555555555598</v>
      </c>
      <c r="AA55" s="280"/>
      <c r="AB55" s="287"/>
      <c r="AC55" s="285"/>
      <c r="AD55" s="96" t="str">
        <f>$C55</f>
        <v>Dimanche</v>
      </c>
      <c r="AE55" s="97">
        <f>$D55</f>
        <v>44066</v>
      </c>
      <c r="AF55" s="282"/>
      <c r="AG55" s="259">
        <v>0</v>
      </c>
      <c r="AH55" s="282"/>
      <c r="AI55" s="98">
        <v>0</v>
      </c>
      <c r="AJ55" s="282"/>
      <c r="AK55" s="98">
        <v>0</v>
      </c>
      <c r="AL55" s="282"/>
      <c r="AM55" s="98">
        <v>0</v>
      </c>
      <c r="AN55" s="282"/>
      <c r="AO55" s="98">
        <v>0</v>
      </c>
      <c r="AP55" s="282"/>
      <c r="AQ55" s="98">
        <v>0</v>
      </c>
      <c r="AR55" s="152"/>
      <c r="AS55" s="276"/>
      <c r="AT55" s="285"/>
      <c r="AU55" s="96" t="str">
        <f>$C55</f>
        <v>Dimanche</v>
      </c>
      <c r="AV55" s="97">
        <f>$D55</f>
        <v>44066</v>
      </c>
      <c r="AW55" s="282"/>
      <c r="AX55" s="98">
        <v>0.50555555555555554</v>
      </c>
      <c r="AY55" s="152"/>
      <c r="AZ55" s="287"/>
      <c r="BA55" s="297"/>
      <c r="BB55" s="139">
        <f>D55</f>
        <v>44066</v>
      </c>
      <c r="BC55" s="140" t="str">
        <f>$C55</f>
        <v>Dimanche</v>
      </c>
      <c r="BD55" s="295"/>
      <c r="BE55"/>
      <c r="BF55"/>
      <c r="BG55"/>
      <c r="BH55"/>
      <c r="BI55"/>
      <c r="BJ55"/>
      <c r="BK55"/>
      <c r="BL55"/>
      <c r="BM55"/>
      <c r="BN55" s="275"/>
      <c r="BO55" s="275"/>
    </row>
    <row r="56" spans="1:67" s="396" customFormat="1" ht="5.25" customHeight="1" x14ac:dyDescent="0.25">
      <c r="A56" s="277"/>
      <c r="B56" s="279"/>
      <c r="C56" s="281"/>
      <c r="D56" s="282"/>
      <c r="E56" s="282"/>
      <c r="F56" s="282"/>
      <c r="G56" s="353"/>
      <c r="H56" s="353"/>
      <c r="I56" s="353"/>
      <c r="J56" s="282"/>
      <c r="K56" s="353"/>
      <c r="L56" s="353"/>
      <c r="M56" s="353"/>
      <c r="N56" s="282"/>
      <c r="O56" s="353"/>
      <c r="P56" s="353"/>
      <c r="Q56" s="353"/>
      <c r="R56" s="280"/>
      <c r="S56" s="287"/>
      <c r="T56" s="285"/>
      <c r="U56" s="281"/>
      <c r="V56" s="282"/>
      <c r="W56" s="282"/>
      <c r="X56" s="282"/>
      <c r="Y56" s="282"/>
      <c r="Z56" s="283"/>
      <c r="AA56" s="280"/>
      <c r="AB56" s="287"/>
      <c r="AC56" s="285"/>
      <c r="AD56" s="281"/>
      <c r="AE56" s="282"/>
      <c r="AF56" s="282"/>
      <c r="AG56" s="299"/>
      <c r="AH56" s="282"/>
      <c r="AI56" s="282"/>
      <c r="AJ56" s="282"/>
      <c r="AK56" s="282"/>
      <c r="AL56" s="282"/>
      <c r="AM56" s="282"/>
      <c r="AN56" s="282"/>
      <c r="AO56" s="282"/>
      <c r="AP56" s="282"/>
      <c r="AQ56" s="282"/>
      <c r="AR56" s="152"/>
      <c r="AS56" s="276"/>
      <c r="AT56" s="285"/>
      <c r="AU56" s="281"/>
      <c r="AV56" s="282"/>
      <c r="AW56" s="282"/>
      <c r="AX56" s="283"/>
      <c r="AY56" s="152"/>
      <c r="AZ56" s="287"/>
      <c r="BA56" s="297"/>
      <c r="BB56" s="344"/>
      <c r="BC56" s="343"/>
      <c r="BD56" s="295"/>
      <c r="BE56"/>
      <c r="BF56"/>
      <c r="BG56"/>
      <c r="BH56"/>
      <c r="BI56"/>
      <c r="BJ56"/>
      <c r="BK56"/>
      <c r="BL56"/>
      <c r="BM56"/>
      <c r="BN56" s="275"/>
      <c r="BO56" s="275"/>
    </row>
    <row r="57" spans="1:67" s="272" customFormat="1" ht="27" customHeight="1" x14ac:dyDescent="0.25">
      <c r="A57" s="277"/>
      <c r="B57" s="279"/>
      <c r="C57" s="96" t="str">
        <f>PROPER(TEXT(D57,"JJJJ"))</f>
        <v>Lundi</v>
      </c>
      <c r="D57" s="97">
        <f>$D55+1</f>
        <v>44067</v>
      </c>
      <c r="E57" s="282"/>
      <c r="F57" s="352">
        <v>13.5</v>
      </c>
      <c r="G57" s="353"/>
      <c r="H57" s="98">
        <v>0.202777777777778</v>
      </c>
      <c r="I57" s="353"/>
      <c r="J57" s="352">
        <v>13.5</v>
      </c>
      <c r="K57" s="353"/>
      <c r="L57" s="98">
        <v>0.202777777777778</v>
      </c>
      <c r="M57" s="353"/>
      <c r="N57" s="352">
        <v>22.7</v>
      </c>
      <c r="O57" s="353"/>
      <c r="P57" s="98">
        <v>0.72152777777777799</v>
      </c>
      <c r="Q57" s="353"/>
      <c r="R57" s="280"/>
      <c r="S57" s="287"/>
      <c r="T57" s="285"/>
      <c r="U57" s="96" t="str">
        <f>$C57</f>
        <v>Lundi</v>
      </c>
      <c r="V57" s="97">
        <f>$D57</f>
        <v>44067</v>
      </c>
      <c r="W57" s="282"/>
      <c r="X57" s="101">
        <v>20.100000000000001</v>
      </c>
      <c r="Y57" s="282"/>
      <c r="Z57" s="98">
        <v>0.64930555555555602</v>
      </c>
      <c r="AA57" s="280"/>
      <c r="AB57" s="287"/>
      <c r="AC57" s="285"/>
      <c r="AD57" s="96" t="str">
        <f>$C57</f>
        <v>Lundi</v>
      </c>
      <c r="AE57" s="97">
        <f>$D57</f>
        <v>44067</v>
      </c>
      <c r="AF57" s="282"/>
      <c r="AG57" s="259">
        <v>0</v>
      </c>
      <c r="AH57" s="282"/>
      <c r="AI57" s="98">
        <v>0</v>
      </c>
      <c r="AJ57" s="282"/>
      <c r="AK57" s="98">
        <v>0</v>
      </c>
      <c r="AL57" s="282"/>
      <c r="AM57" s="98">
        <v>0</v>
      </c>
      <c r="AN57" s="282"/>
      <c r="AO57" s="98">
        <v>0</v>
      </c>
      <c r="AP57" s="282"/>
      <c r="AQ57" s="98">
        <v>0</v>
      </c>
      <c r="AR57" s="152"/>
      <c r="AS57" s="276"/>
      <c r="AT57" s="285"/>
      <c r="AU57" s="96" t="str">
        <f>$C57</f>
        <v>Lundi</v>
      </c>
      <c r="AV57" s="97">
        <f>$D57</f>
        <v>44067</v>
      </c>
      <c r="AW57" s="282"/>
      <c r="AX57" s="98">
        <v>0.49166666666666664</v>
      </c>
      <c r="AY57" s="152"/>
      <c r="AZ57" s="287"/>
      <c r="BA57" s="297"/>
      <c r="BB57" s="139">
        <f>D57</f>
        <v>44067</v>
      </c>
      <c r="BC57" s="140" t="str">
        <f>$C57</f>
        <v>Lundi</v>
      </c>
      <c r="BD57" s="295"/>
      <c r="BE57"/>
      <c r="BF57"/>
      <c r="BG57"/>
      <c r="BH57"/>
      <c r="BI57"/>
      <c r="BJ57"/>
      <c r="BK57"/>
      <c r="BL57"/>
      <c r="BM57"/>
      <c r="BN57" s="275"/>
      <c r="BO57" s="275"/>
    </row>
    <row r="58" spans="1:67" s="396" customFormat="1" ht="5.25" customHeight="1" x14ac:dyDescent="0.25">
      <c r="A58" s="277"/>
      <c r="B58" s="279"/>
      <c r="C58" s="281"/>
      <c r="D58" s="282"/>
      <c r="E58" s="282"/>
      <c r="F58" s="282"/>
      <c r="G58" s="353"/>
      <c r="H58" s="353"/>
      <c r="I58" s="353"/>
      <c r="J58" s="282"/>
      <c r="K58" s="353"/>
      <c r="L58" s="353"/>
      <c r="M58" s="353"/>
      <c r="N58" s="282"/>
      <c r="O58" s="353"/>
      <c r="P58" s="353"/>
      <c r="Q58" s="353"/>
      <c r="R58" s="280"/>
      <c r="S58" s="287"/>
      <c r="T58" s="285"/>
      <c r="U58" s="281"/>
      <c r="V58" s="282"/>
      <c r="W58" s="282"/>
      <c r="X58" s="282"/>
      <c r="Y58" s="282"/>
      <c r="Z58" s="283"/>
      <c r="AA58" s="280"/>
      <c r="AB58" s="287"/>
      <c r="AC58" s="285"/>
      <c r="AD58" s="281"/>
      <c r="AE58" s="282"/>
      <c r="AF58" s="282"/>
      <c r="AG58" s="299"/>
      <c r="AH58" s="282"/>
      <c r="AI58" s="282"/>
      <c r="AJ58" s="282"/>
      <c r="AK58" s="282"/>
      <c r="AL58" s="282"/>
      <c r="AM58" s="282"/>
      <c r="AN58" s="282"/>
      <c r="AO58" s="282"/>
      <c r="AP58" s="282"/>
      <c r="AQ58" s="282"/>
      <c r="AR58" s="152"/>
      <c r="AS58" s="276"/>
      <c r="AT58" s="285"/>
      <c r="AU58" s="281"/>
      <c r="AV58" s="282"/>
      <c r="AW58" s="282"/>
      <c r="AX58" s="283"/>
      <c r="AY58" s="152"/>
      <c r="AZ58" s="287"/>
      <c r="BA58" s="297"/>
      <c r="BB58" s="344"/>
      <c r="BC58" s="343"/>
      <c r="BD58" s="295"/>
      <c r="BE58"/>
      <c r="BF58"/>
      <c r="BG58"/>
      <c r="BH58"/>
      <c r="BI58"/>
      <c r="BJ58"/>
      <c r="BK58"/>
      <c r="BL58"/>
      <c r="BM58"/>
      <c r="BN58" s="275"/>
      <c r="BO58" s="275"/>
    </row>
    <row r="59" spans="1:67" s="396" customFormat="1" ht="27" customHeight="1" x14ac:dyDescent="0.25">
      <c r="A59" s="277"/>
      <c r="B59" s="279"/>
      <c r="C59" s="96" t="str">
        <f>PROPER(TEXT(D59,"JJJJ"))</f>
        <v>Mardi</v>
      </c>
      <c r="D59" s="97">
        <f>$D57+1</f>
        <v>44068</v>
      </c>
      <c r="E59" s="282"/>
      <c r="F59" s="352">
        <v>16.399999999999999</v>
      </c>
      <c r="G59" s="353"/>
      <c r="H59" s="98">
        <v>5.4166666666666703E-2</v>
      </c>
      <c r="I59" s="353"/>
      <c r="J59" s="352">
        <v>16.399999999999999</v>
      </c>
      <c r="K59" s="353"/>
      <c r="L59" s="98">
        <v>5.4166666666666703E-2</v>
      </c>
      <c r="M59" s="353"/>
      <c r="N59" s="352">
        <v>25.1</v>
      </c>
      <c r="O59" s="353"/>
      <c r="P59" s="98">
        <v>0.51458333333333295</v>
      </c>
      <c r="Q59" s="353"/>
      <c r="R59" s="280"/>
      <c r="S59" s="287"/>
      <c r="T59" s="285"/>
      <c r="U59" s="96" t="str">
        <f>$C59</f>
        <v>Mardi</v>
      </c>
      <c r="V59" s="97">
        <f>$D59</f>
        <v>44068</v>
      </c>
      <c r="W59" s="282"/>
      <c r="X59" s="101">
        <v>29.5</v>
      </c>
      <c r="Y59" s="282"/>
      <c r="Z59" s="98">
        <v>0.85416666666666696</v>
      </c>
      <c r="AA59" s="280"/>
      <c r="AB59" s="287"/>
      <c r="AC59" s="285"/>
      <c r="AD59" s="96" t="str">
        <f>$C59</f>
        <v>Mardi</v>
      </c>
      <c r="AE59" s="97">
        <f>$D59</f>
        <v>44068</v>
      </c>
      <c r="AF59" s="282"/>
      <c r="AG59" s="259">
        <v>0</v>
      </c>
      <c r="AH59" s="282"/>
      <c r="AI59" s="98">
        <v>0</v>
      </c>
      <c r="AJ59" s="282"/>
      <c r="AK59" s="98">
        <v>0</v>
      </c>
      <c r="AL59" s="282"/>
      <c r="AM59" s="98">
        <v>0</v>
      </c>
      <c r="AN59" s="282"/>
      <c r="AO59" s="98">
        <v>0</v>
      </c>
      <c r="AP59" s="282"/>
      <c r="AQ59" s="98">
        <v>0</v>
      </c>
      <c r="AR59" s="152"/>
      <c r="AS59" s="276"/>
      <c r="AT59" s="285"/>
      <c r="AU59" s="96" t="str">
        <f>$C59</f>
        <v>Mardi</v>
      </c>
      <c r="AV59" s="97">
        <f>$D59</f>
        <v>44068</v>
      </c>
      <c r="AW59" s="282"/>
      <c r="AX59" s="98">
        <v>0.41388888888888886</v>
      </c>
      <c r="AY59" s="152"/>
      <c r="AZ59" s="287"/>
      <c r="BA59" s="297"/>
      <c r="BB59" s="139">
        <f>D59</f>
        <v>44068</v>
      </c>
      <c r="BC59" s="140" t="str">
        <f>$C59</f>
        <v>Mardi</v>
      </c>
      <c r="BD59" s="295"/>
      <c r="BE59"/>
      <c r="BF59"/>
      <c r="BG59"/>
      <c r="BH59"/>
      <c r="BI59"/>
      <c r="BJ59"/>
      <c r="BK59"/>
      <c r="BL59"/>
      <c r="BM59"/>
      <c r="BN59" s="275"/>
      <c r="BO59" s="275"/>
    </row>
    <row r="60" spans="1:67" s="396" customFormat="1" ht="5.25" customHeight="1" x14ac:dyDescent="0.25">
      <c r="A60" s="277"/>
      <c r="B60" s="279"/>
      <c r="C60" s="281"/>
      <c r="D60" s="282"/>
      <c r="E60" s="282"/>
      <c r="F60" s="282"/>
      <c r="G60" s="353"/>
      <c r="H60" s="353"/>
      <c r="I60" s="353"/>
      <c r="J60" s="282"/>
      <c r="K60" s="353"/>
      <c r="L60" s="353"/>
      <c r="M60" s="353"/>
      <c r="N60" s="282"/>
      <c r="O60" s="353"/>
      <c r="P60" s="353"/>
      <c r="Q60" s="353"/>
      <c r="R60" s="280"/>
      <c r="S60" s="287"/>
      <c r="T60" s="285"/>
      <c r="U60" s="281"/>
      <c r="V60" s="282"/>
      <c r="W60" s="282"/>
      <c r="X60" s="282"/>
      <c r="Y60" s="282"/>
      <c r="Z60" s="283"/>
      <c r="AA60" s="280"/>
      <c r="AB60" s="287"/>
      <c r="AC60" s="285"/>
      <c r="AD60" s="281"/>
      <c r="AE60" s="282"/>
      <c r="AF60" s="282"/>
      <c r="AG60" s="299"/>
      <c r="AH60" s="282"/>
      <c r="AI60" s="282"/>
      <c r="AJ60" s="282"/>
      <c r="AK60" s="282"/>
      <c r="AL60" s="282"/>
      <c r="AM60" s="282"/>
      <c r="AN60" s="282"/>
      <c r="AO60" s="282"/>
      <c r="AP60" s="282"/>
      <c r="AQ60" s="282"/>
      <c r="AR60" s="152"/>
      <c r="AS60" s="276"/>
      <c r="AT60" s="285"/>
      <c r="AU60" s="281"/>
      <c r="AV60" s="282"/>
      <c r="AW60" s="282"/>
      <c r="AX60" s="283"/>
      <c r="AY60" s="152"/>
      <c r="AZ60" s="287"/>
      <c r="BA60" s="297"/>
      <c r="BB60" s="293"/>
      <c r="BC60" s="294"/>
      <c r="BD60" s="295"/>
      <c r="BE60"/>
      <c r="BF60"/>
      <c r="BG60"/>
      <c r="BH60"/>
      <c r="BI60"/>
      <c r="BJ60"/>
      <c r="BK60"/>
      <c r="BL60"/>
      <c r="BM60"/>
      <c r="BN60" s="275"/>
      <c r="BO60" s="275"/>
    </row>
    <row r="61" spans="1:67" s="396" customFormat="1" ht="27" customHeight="1" x14ac:dyDescent="0.25">
      <c r="A61" s="277"/>
      <c r="B61" s="279"/>
      <c r="C61" s="96" t="str">
        <f>PROPER(TEXT(D61,"JJJJ"))</f>
        <v>Mercredi</v>
      </c>
      <c r="D61" s="97">
        <f>$D59+1</f>
        <v>44069</v>
      </c>
      <c r="E61" s="282"/>
      <c r="F61" s="352">
        <v>17.2</v>
      </c>
      <c r="G61" s="353"/>
      <c r="H61" s="98">
        <v>0.98819444444444404</v>
      </c>
      <c r="I61" s="353"/>
      <c r="J61" s="352">
        <v>17.2</v>
      </c>
      <c r="K61" s="353"/>
      <c r="L61" s="98">
        <v>0.98819444444444404</v>
      </c>
      <c r="M61" s="353"/>
      <c r="N61" s="352">
        <v>23.8</v>
      </c>
      <c r="O61" s="353"/>
      <c r="P61" s="98">
        <v>0.56597222222222199</v>
      </c>
      <c r="Q61" s="353"/>
      <c r="R61" s="280"/>
      <c r="S61" s="287"/>
      <c r="T61" s="285"/>
      <c r="U61" s="96" t="str">
        <f>$C61</f>
        <v>Mercredi</v>
      </c>
      <c r="V61" s="97">
        <f>$D61</f>
        <v>44069</v>
      </c>
      <c r="W61" s="282"/>
      <c r="X61" s="101">
        <v>22</v>
      </c>
      <c r="Y61" s="282"/>
      <c r="Z61" s="98">
        <v>0.105555555555556</v>
      </c>
      <c r="AA61" s="280"/>
      <c r="AB61" s="287"/>
      <c r="AC61" s="285"/>
      <c r="AD61" s="96" t="str">
        <f>$C61</f>
        <v>Mercredi</v>
      </c>
      <c r="AE61" s="97">
        <f>$D61</f>
        <v>44069</v>
      </c>
      <c r="AF61" s="282"/>
      <c r="AG61" s="259">
        <v>0</v>
      </c>
      <c r="AH61" s="282"/>
      <c r="AI61" s="98">
        <v>0</v>
      </c>
      <c r="AJ61" s="282"/>
      <c r="AK61" s="98">
        <v>0</v>
      </c>
      <c r="AL61" s="282"/>
      <c r="AM61" s="98">
        <v>0</v>
      </c>
      <c r="AN61" s="282"/>
      <c r="AO61" s="98">
        <v>0</v>
      </c>
      <c r="AP61" s="282"/>
      <c r="AQ61" s="98">
        <v>0</v>
      </c>
      <c r="AR61" s="152"/>
      <c r="AS61" s="276"/>
      <c r="AT61" s="285"/>
      <c r="AU61" s="96" t="str">
        <f>$C61</f>
        <v>Mercredi</v>
      </c>
      <c r="AV61" s="97">
        <f>$D61</f>
        <v>44069</v>
      </c>
      <c r="AW61" s="282"/>
      <c r="AX61" s="98">
        <v>0.4</v>
      </c>
      <c r="AY61" s="152"/>
      <c r="AZ61" s="287"/>
      <c r="BA61" s="297"/>
      <c r="BB61" s="139">
        <f>D61</f>
        <v>44069</v>
      </c>
      <c r="BC61" s="140" t="str">
        <f>$C61</f>
        <v>Mercredi</v>
      </c>
      <c r="BD61" s="295"/>
      <c r="BE61"/>
      <c r="BF61"/>
      <c r="BG61"/>
      <c r="BH61"/>
      <c r="BI61"/>
      <c r="BJ61"/>
      <c r="BK61"/>
      <c r="BL61"/>
      <c r="BM61"/>
      <c r="BN61" s="275"/>
      <c r="BO61" s="275"/>
    </row>
    <row r="62" spans="1:67" s="272" customFormat="1" ht="5.25" customHeight="1" x14ac:dyDescent="0.25">
      <c r="A62" s="277"/>
      <c r="B62" s="279"/>
      <c r="C62" s="281"/>
      <c r="D62" s="282"/>
      <c r="E62" s="282"/>
      <c r="F62" s="282"/>
      <c r="G62" s="353"/>
      <c r="H62" s="353"/>
      <c r="I62" s="353"/>
      <c r="J62" s="282"/>
      <c r="K62" s="353"/>
      <c r="L62" s="353"/>
      <c r="M62" s="353"/>
      <c r="N62" s="282"/>
      <c r="O62" s="353"/>
      <c r="P62" s="353"/>
      <c r="Q62" s="353"/>
      <c r="R62" s="280"/>
      <c r="S62" s="287"/>
      <c r="T62" s="285"/>
      <c r="U62" s="281"/>
      <c r="V62" s="282"/>
      <c r="W62" s="282"/>
      <c r="X62" s="282"/>
      <c r="Y62" s="282"/>
      <c r="Z62" s="283"/>
      <c r="AA62" s="280"/>
      <c r="AB62" s="287"/>
      <c r="AC62" s="285"/>
      <c r="AD62" s="281"/>
      <c r="AE62" s="282"/>
      <c r="AF62" s="282"/>
      <c r="AG62" s="299"/>
      <c r="AH62" s="282"/>
      <c r="AI62" s="282"/>
      <c r="AJ62" s="282"/>
      <c r="AK62" s="282"/>
      <c r="AL62" s="282"/>
      <c r="AM62" s="282"/>
      <c r="AN62" s="282"/>
      <c r="AO62" s="282"/>
      <c r="AP62" s="282"/>
      <c r="AQ62" s="282"/>
      <c r="AR62" s="152"/>
      <c r="AS62" s="276"/>
      <c r="AT62" s="285"/>
      <c r="AU62" s="281"/>
      <c r="AV62" s="282"/>
      <c r="AW62" s="282"/>
      <c r="AX62" s="283"/>
      <c r="AY62" s="152"/>
      <c r="AZ62" s="287"/>
      <c r="BA62" s="297"/>
      <c r="BB62" s="293"/>
      <c r="BC62" s="294"/>
      <c r="BD62" s="295"/>
      <c r="BE62"/>
      <c r="BF62"/>
      <c r="BG62"/>
      <c r="BH62"/>
      <c r="BI62"/>
      <c r="BJ62"/>
      <c r="BK62"/>
      <c r="BL62"/>
      <c r="BM62"/>
      <c r="BN62" s="275"/>
      <c r="BO62" s="275"/>
    </row>
    <row r="63" spans="1:67" s="396" customFormat="1" ht="27" customHeight="1" x14ac:dyDescent="0.25">
      <c r="A63" s="277"/>
      <c r="B63" s="279"/>
      <c r="C63" s="96" t="str">
        <f>PROPER(TEXT(D63,"JJJJ"))</f>
        <v>Jeudi</v>
      </c>
      <c r="D63" s="97">
        <f>$D61+1</f>
        <v>44070</v>
      </c>
      <c r="E63" s="282"/>
      <c r="F63" s="352">
        <v>14.7</v>
      </c>
      <c r="G63" s="353"/>
      <c r="H63" s="98">
        <v>0.10347222222222199</v>
      </c>
      <c r="I63" s="353"/>
      <c r="J63" s="352">
        <v>14.7</v>
      </c>
      <c r="K63" s="353"/>
      <c r="L63" s="98">
        <v>0.10347222222222199</v>
      </c>
      <c r="M63" s="353"/>
      <c r="N63" s="352">
        <v>23.7</v>
      </c>
      <c r="O63" s="353"/>
      <c r="P63" s="98">
        <v>0.50208333333333299</v>
      </c>
      <c r="Q63" s="353"/>
      <c r="R63" s="280"/>
      <c r="S63" s="287"/>
      <c r="T63" s="285"/>
      <c r="U63" s="96" t="str">
        <f>$C63</f>
        <v>Jeudi</v>
      </c>
      <c r="V63" s="97">
        <f>$D63</f>
        <v>44070</v>
      </c>
      <c r="W63" s="282"/>
      <c r="X63" s="101">
        <v>29.5</v>
      </c>
      <c r="Y63" s="282"/>
      <c r="Z63" s="98">
        <v>0.77430555555555602</v>
      </c>
      <c r="AA63" s="280"/>
      <c r="AB63" s="287"/>
      <c r="AC63" s="285"/>
      <c r="AD63" s="96" t="str">
        <f>$C63</f>
        <v>Jeudi</v>
      </c>
      <c r="AE63" s="97">
        <f>$D63</f>
        <v>44070</v>
      </c>
      <c r="AF63" s="282"/>
      <c r="AG63" s="259">
        <v>0</v>
      </c>
      <c r="AH63" s="282"/>
      <c r="AI63" s="98">
        <v>0</v>
      </c>
      <c r="AJ63" s="282"/>
      <c r="AK63" s="98">
        <v>0</v>
      </c>
      <c r="AL63" s="282"/>
      <c r="AM63" s="98">
        <v>0</v>
      </c>
      <c r="AN63" s="282"/>
      <c r="AO63" s="98">
        <v>0</v>
      </c>
      <c r="AP63" s="282"/>
      <c r="AQ63" s="98">
        <v>0</v>
      </c>
      <c r="AR63" s="152"/>
      <c r="AS63" s="276"/>
      <c r="AT63" s="285"/>
      <c r="AU63" s="96" t="str">
        <f>$C63</f>
        <v>Jeudi</v>
      </c>
      <c r="AV63" s="97">
        <f>$D63</f>
        <v>44070</v>
      </c>
      <c r="AW63" s="282"/>
      <c r="AX63" s="98">
        <v>0.3347222222222222</v>
      </c>
      <c r="AY63" s="152"/>
      <c r="AZ63" s="287"/>
      <c r="BA63" s="297"/>
      <c r="BB63" s="139">
        <f>D63</f>
        <v>44070</v>
      </c>
      <c r="BC63" s="140" t="str">
        <f>$C63</f>
        <v>Jeudi</v>
      </c>
      <c r="BD63" s="295"/>
      <c r="BE63"/>
      <c r="BF63"/>
      <c r="BG63"/>
      <c r="BH63"/>
      <c r="BI63"/>
      <c r="BJ63"/>
      <c r="BK63"/>
      <c r="BL63"/>
      <c r="BM63"/>
      <c r="BN63" s="275"/>
      <c r="BO63" s="275"/>
    </row>
    <row r="64" spans="1:67" s="396" customFormat="1" ht="5.25" customHeight="1" x14ac:dyDescent="0.25">
      <c r="A64" s="277"/>
      <c r="B64" s="279"/>
      <c r="C64" s="281"/>
      <c r="D64" s="282"/>
      <c r="E64" s="282"/>
      <c r="F64" s="282"/>
      <c r="G64" s="353"/>
      <c r="H64" s="353"/>
      <c r="I64" s="353"/>
      <c r="J64" s="282"/>
      <c r="K64" s="353"/>
      <c r="L64" s="353"/>
      <c r="M64" s="353"/>
      <c r="N64" s="282"/>
      <c r="O64" s="353"/>
      <c r="P64" s="353"/>
      <c r="Q64" s="353"/>
      <c r="R64" s="280"/>
      <c r="S64" s="287"/>
      <c r="T64" s="285"/>
      <c r="U64" s="281"/>
      <c r="V64" s="282"/>
      <c r="W64" s="282"/>
      <c r="X64" s="282"/>
      <c r="Y64" s="282"/>
      <c r="Z64" s="283"/>
      <c r="AA64" s="280"/>
      <c r="AB64" s="287"/>
      <c r="AC64" s="285"/>
      <c r="AD64" s="281"/>
      <c r="AE64" s="282"/>
      <c r="AF64" s="282"/>
      <c r="AG64" s="299"/>
      <c r="AH64" s="282"/>
      <c r="AI64" s="282"/>
      <c r="AJ64" s="282"/>
      <c r="AK64" s="282"/>
      <c r="AL64" s="282"/>
      <c r="AM64" s="282"/>
      <c r="AN64" s="282"/>
      <c r="AO64" s="282"/>
      <c r="AP64" s="282"/>
      <c r="AQ64" s="282"/>
      <c r="AR64" s="152"/>
      <c r="AS64" s="276"/>
      <c r="AT64" s="285"/>
      <c r="AU64" s="281"/>
      <c r="AV64" s="282"/>
      <c r="AW64" s="282"/>
      <c r="AX64" s="283"/>
      <c r="AY64" s="152"/>
      <c r="AZ64" s="287"/>
      <c r="BA64" s="297"/>
      <c r="BB64" s="344"/>
      <c r="BC64" s="343"/>
      <c r="BD64" s="295"/>
      <c r="BE64"/>
      <c r="BF64"/>
      <c r="BG64"/>
      <c r="BH64"/>
      <c r="BI64"/>
      <c r="BJ64"/>
      <c r="BK64"/>
      <c r="BL64"/>
      <c r="BM64"/>
      <c r="BN64" s="275"/>
      <c r="BO64" s="275"/>
    </row>
    <row r="65" spans="1:77" s="396" customFormat="1" ht="27" customHeight="1" thickBot="1" x14ac:dyDescent="0.3">
      <c r="A65" s="277"/>
      <c r="B65" s="279"/>
      <c r="C65" s="96" t="str">
        <f>PROPER(TEXT(D65,"JJJJ"))</f>
        <v>Vendredi</v>
      </c>
      <c r="D65" s="97">
        <f>$D63+1</f>
        <v>44071</v>
      </c>
      <c r="E65" s="282"/>
      <c r="F65" s="352">
        <v>16</v>
      </c>
      <c r="G65" s="353"/>
      <c r="H65" s="98">
        <v>0.97569444444444497</v>
      </c>
      <c r="I65" s="353"/>
      <c r="J65" s="352">
        <v>16</v>
      </c>
      <c r="K65" s="353"/>
      <c r="L65" s="98">
        <v>0.97569444444444497</v>
      </c>
      <c r="M65" s="353"/>
      <c r="N65" s="352">
        <v>21.8</v>
      </c>
      <c r="O65" s="353"/>
      <c r="P65" s="98">
        <v>0.59652777777777799</v>
      </c>
      <c r="Q65" s="353"/>
      <c r="R65" s="280"/>
      <c r="S65" s="287"/>
      <c r="T65" s="285"/>
      <c r="U65" s="96" t="str">
        <f>$C65</f>
        <v>Vendredi</v>
      </c>
      <c r="V65" s="97">
        <f>$D65</f>
        <v>44071</v>
      </c>
      <c r="W65" s="282"/>
      <c r="X65" s="101">
        <v>34.9</v>
      </c>
      <c r="Y65" s="282"/>
      <c r="Z65" s="98">
        <v>0.37708333333333299</v>
      </c>
      <c r="AA65" s="280"/>
      <c r="AB65" s="287"/>
      <c r="AC65" s="285"/>
      <c r="AD65" s="96" t="str">
        <f>$C65</f>
        <v>Vendredi</v>
      </c>
      <c r="AE65" s="97">
        <f>$D65</f>
        <v>44071</v>
      </c>
      <c r="AF65" s="282"/>
      <c r="AG65" s="259">
        <v>1.8</v>
      </c>
      <c r="AH65" s="282"/>
      <c r="AI65" s="98">
        <v>9.583333333333334E-2</v>
      </c>
      <c r="AJ65" s="282"/>
      <c r="AK65" s="98">
        <v>0</v>
      </c>
      <c r="AL65" s="282"/>
      <c r="AM65" s="98">
        <v>0</v>
      </c>
      <c r="AN65" s="282"/>
      <c r="AO65" s="98">
        <v>3.9583333333333331E-2</v>
      </c>
      <c r="AP65" s="282"/>
      <c r="AQ65" s="98">
        <v>5.6250000000000001E-2</v>
      </c>
      <c r="AR65" s="152"/>
      <c r="AS65" s="276"/>
      <c r="AT65" s="285"/>
      <c r="AU65" s="96" t="str">
        <f>$C65</f>
        <v>Vendredi</v>
      </c>
      <c r="AV65" s="97">
        <f>$D65</f>
        <v>44071</v>
      </c>
      <c r="AW65" s="282"/>
      <c r="AX65" s="98">
        <v>0.35972222222222222</v>
      </c>
      <c r="AY65" s="152"/>
      <c r="AZ65" s="287"/>
      <c r="BA65" s="297"/>
      <c r="BB65" s="139">
        <f>D65</f>
        <v>44071</v>
      </c>
      <c r="BC65" s="140" t="str">
        <f>$C65</f>
        <v>Vendredi</v>
      </c>
      <c r="BD65" s="295"/>
      <c r="BE65"/>
      <c r="BF65"/>
      <c r="BG65"/>
      <c r="BH65"/>
      <c r="BI65"/>
      <c r="BJ65"/>
      <c r="BK65"/>
      <c r="BL65"/>
      <c r="BM65"/>
      <c r="BN65" s="275"/>
      <c r="BO65" s="275"/>
    </row>
    <row r="66" spans="1:77" s="396" customFormat="1" ht="27" customHeight="1" thickTop="1" thickBot="1" x14ac:dyDescent="0.3">
      <c r="A66" s="278"/>
      <c r="B66" s="279"/>
      <c r="C66" s="281"/>
      <c r="D66" s="282"/>
      <c r="E66" s="282"/>
      <c r="F66" s="353"/>
      <c r="G66" s="353"/>
      <c r="H66" s="353"/>
      <c r="I66" s="353"/>
      <c r="J66" s="353"/>
      <c r="K66" s="353"/>
      <c r="L66" s="353"/>
      <c r="M66" s="353"/>
      <c r="N66" s="353"/>
      <c r="O66" s="353"/>
      <c r="P66" s="353"/>
      <c r="Q66" s="353"/>
      <c r="R66" s="280"/>
      <c r="S66" s="284"/>
      <c r="T66" s="285"/>
      <c r="U66" s="281"/>
      <c r="V66" s="282"/>
      <c r="W66" s="282"/>
      <c r="X66" s="282"/>
      <c r="Y66" s="282"/>
      <c r="Z66" s="283"/>
      <c r="AA66" s="280"/>
      <c r="AB66" s="284"/>
      <c r="AC66" s="285"/>
      <c r="AD66" s="281"/>
      <c r="AE66" s="282"/>
      <c r="AF66" s="282"/>
      <c r="AG66" s="299"/>
      <c r="AH66" s="282"/>
      <c r="AI66" s="283"/>
      <c r="AJ66" s="282"/>
      <c r="AK66" s="283"/>
      <c r="AL66" s="282"/>
      <c r="AM66" s="283"/>
      <c r="AN66" s="282"/>
      <c r="AO66" s="283"/>
      <c r="AP66" s="282"/>
      <c r="AQ66" s="283"/>
      <c r="AR66" s="152"/>
      <c r="AS66" s="276"/>
      <c r="AT66" s="285"/>
      <c r="AU66" s="281"/>
      <c r="AV66" s="282"/>
      <c r="AW66" s="282"/>
      <c r="AX66" s="283"/>
      <c r="AY66" s="152"/>
      <c r="AZ66" s="286"/>
      <c r="BA66" s="296"/>
      <c r="BB66" s="291"/>
      <c r="BC66" s="292"/>
      <c r="BD66" s="295"/>
      <c r="BE66"/>
      <c r="BF66"/>
      <c r="BG66"/>
      <c r="BH66"/>
      <c r="BI66"/>
      <c r="BJ66"/>
      <c r="BK66"/>
      <c r="BL66"/>
      <c r="BM66"/>
      <c r="BN66" s="275"/>
      <c r="BO66" s="275"/>
    </row>
    <row r="67" spans="1:77" s="396" customFormat="1" ht="27" customHeight="1" thickTop="1" x14ac:dyDescent="0.25">
      <c r="A67" s="277"/>
      <c r="B67" s="279"/>
      <c r="C67" s="96" t="str">
        <f>PROPER(TEXT(D67,"JJJJ"))</f>
        <v>Samedi</v>
      </c>
      <c r="D67" s="97">
        <f>$D65+1</f>
        <v>44072</v>
      </c>
      <c r="E67" s="282"/>
      <c r="F67" s="352">
        <v>12.3</v>
      </c>
      <c r="G67" s="353"/>
      <c r="H67" s="98">
        <v>0.33124999999999999</v>
      </c>
      <c r="I67" s="353"/>
      <c r="J67" s="352">
        <v>12.3</v>
      </c>
      <c r="K67" s="353"/>
      <c r="L67" s="98">
        <v>0.33124999999999999</v>
      </c>
      <c r="M67" s="353"/>
      <c r="N67" s="352">
        <v>20.399999999999999</v>
      </c>
      <c r="O67" s="353"/>
      <c r="P67" s="98">
        <v>0.61388888888888904</v>
      </c>
      <c r="Q67" s="353"/>
      <c r="R67" s="280"/>
      <c r="S67" s="287"/>
      <c r="T67" s="285"/>
      <c r="U67" s="96" t="str">
        <f>$C67</f>
        <v>Samedi</v>
      </c>
      <c r="V67" s="97">
        <f>$D67</f>
        <v>44072</v>
      </c>
      <c r="W67" s="282"/>
      <c r="X67" s="101">
        <v>23.8</v>
      </c>
      <c r="Y67" s="282"/>
      <c r="Z67" s="98">
        <v>0.719444444444444</v>
      </c>
      <c r="AA67" s="280"/>
      <c r="AB67" s="287"/>
      <c r="AC67" s="285"/>
      <c r="AD67" s="96" t="str">
        <f>$C67</f>
        <v>Samedi</v>
      </c>
      <c r="AE67" s="97">
        <f>$D67</f>
        <v>44072</v>
      </c>
      <c r="AF67" s="282"/>
      <c r="AG67" s="259">
        <v>0.8</v>
      </c>
      <c r="AH67" s="282"/>
      <c r="AI67" s="98">
        <v>0.10555555555555556</v>
      </c>
      <c r="AJ67" s="282"/>
      <c r="AK67" s="98">
        <v>0.10555555555555556</v>
      </c>
      <c r="AL67" s="282"/>
      <c r="AM67" s="98">
        <v>0</v>
      </c>
      <c r="AN67" s="282"/>
      <c r="AO67" s="98">
        <v>0</v>
      </c>
      <c r="AP67" s="282"/>
      <c r="AQ67" s="98">
        <v>0</v>
      </c>
      <c r="AR67" s="152"/>
      <c r="AS67" s="276"/>
      <c r="AT67" s="285"/>
      <c r="AU67" s="96" t="str">
        <f>$C67</f>
        <v>Samedi</v>
      </c>
      <c r="AV67" s="97">
        <f>$D67</f>
        <v>44072</v>
      </c>
      <c r="AW67" s="282"/>
      <c r="AX67" s="98">
        <v>0.39166666666666666</v>
      </c>
      <c r="AY67" s="152"/>
      <c r="AZ67" s="287"/>
      <c r="BA67" s="297"/>
      <c r="BB67" s="139">
        <f>D67</f>
        <v>44072</v>
      </c>
      <c r="BC67" s="140" t="str">
        <f>$C67</f>
        <v>Samedi</v>
      </c>
      <c r="BD67" s="295"/>
      <c r="BE67"/>
      <c r="BF67"/>
      <c r="BG67"/>
      <c r="BH67"/>
      <c r="BI67"/>
      <c r="BJ67"/>
      <c r="BK67"/>
      <c r="BL67"/>
      <c r="BM67"/>
      <c r="BN67" s="275"/>
      <c r="BO67" s="275"/>
    </row>
    <row r="68" spans="1:77" s="396" customFormat="1" ht="5.25" customHeight="1" x14ac:dyDescent="0.25">
      <c r="A68" s="277"/>
      <c r="B68" s="279"/>
      <c r="C68" s="281"/>
      <c r="D68" s="282"/>
      <c r="E68" s="282"/>
      <c r="F68" s="282"/>
      <c r="G68" s="353"/>
      <c r="H68" s="353"/>
      <c r="I68" s="353"/>
      <c r="J68" s="282"/>
      <c r="K68" s="353"/>
      <c r="L68" s="353"/>
      <c r="M68" s="353"/>
      <c r="N68" s="282"/>
      <c r="O68" s="353"/>
      <c r="P68" s="353"/>
      <c r="Q68" s="353"/>
      <c r="R68" s="280"/>
      <c r="S68" s="287"/>
      <c r="T68" s="285"/>
      <c r="U68" s="281"/>
      <c r="V68" s="282"/>
      <c r="W68" s="282"/>
      <c r="X68" s="282"/>
      <c r="Y68" s="282"/>
      <c r="Z68" s="283"/>
      <c r="AA68" s="280"/>
      <c r="AB68" s="287"/>
      <c r="AC68" s="285"/>
      <c r="AD68" s="281"/>
      <c r="AE68" s="282"/>
      <c r="AF68" s="282"/>
      <c r="AG68" s="299"/>
      <c r="AH68" s="282"/>
      <c r="AI68" s="282"/>
      <c r="AJ68" s="282"/>
      <c r="AK68" s="282"/>
      <c r="AL68" s="282"/>
      <c r="AM68" s="282"/>
      <c r="AN68" s="282"/>
      <c r="AO68" s="282"/>
      <c r="AP68" s="282"/>
      <c r="AQ68" s="282"/>
      <c r="AR68" s="152"/>
      <c r="AS68" s="276"/>
      <c r="AT68" s="285"/>
      <c r="AU68" s="281"/>
      <c r="AV68" s="282"/>
      <c r="AW68" s="282"/>
      <c r="AX68" s="283"/>
      <c r="AY68" s="152"/>
      <c r="AZ68" s="287"/>
      <c r="BA68" s="297"/>
      <c r="BB68" s="293"/>
      <c r="BC68" s="294"/>
      <c r="BD68" s="295"/>
      <c r="BE68"/>
      <c r="BF68"/>
      <c r="BG68"/>
      <c r="BH68"/>
      <c r="BI68"/>
      <c r="BJ68"/>
      <c r="BK68"/>
      <c r="BL68"/>
      <c r="BM68"/>
      <c r="BN68" s="275"/>
      <c r="BO68" s="275"/>
    </row>
    <row r="69" spans="1:77" s="272" customFormat="1" ht="27" customHeight="1" x14ac:dyDescent="0.25">
      <c r="A69" s="277"/>
      <c r="B69" s="279"/>
      <c r="C69" s="96" t="str">
        <f>PROPER(TEXT(D69,"JJJJ"))</f>
        <v>Dimanche</v>
      </c>
      <c r="D69" s="97">
        <f>$D67+1</f>
        <v>44073</v>
      </c>
      <c r="E69" s="282"/>
      <c r="F69" s="352">
        <v>10.199999999999999</v>
      </c>
      <c r="G69" s="353"/>
      <c r="H69" s="98">
        <v>0.30347222222222198</v>
      </c>
      <c r="I69" s="353"/>
      <c r="J69" s="352">
        <v>10.199999999999999</v>
      </c>
      <c r="K69" s="353"/>
      <c r="L69" s="98">
        <v>0.30347222222222198</v>
      </c>
      <c r="M69" s="353"/>
      <c r="N69" s="352">
        <v>21.2</v>
      </c>
      <c r="O69" s="353"/>
      <c r="P69" s="98">
        <v>0.71666666666666701</v>
      </c>
      <c r="Q69" s="353"/>
      <c r="R69" s="280"/>
      <c r="S69" s="287"/>
      <c r="T69" s="285"/>
      <c r="U69" s="96" t="str">
        <f>$C69</f>
        <v>Dimanche</v>
      </c>
      <c r="V69" s="97">
        <f>$D69</f>
        <v>44073</v>
      </c>
      <c r="W69" s="282"/>
      <c r="X69" s="101">
        <v>23.8</v>
      </c>
      <c r="Y69" s="282"/>
      <c r="Z69" s="98">
        <v>0.67013888888888895</v>
      </c>
      <c r="AA69" s="280"/>
      <c r="AB69" s="287"/>
      <c r="AC69" s="285"/>
      <c r="AD69" s="96" t="str">
        <f>$C69</f>
        <v>Dimanche</v>
      </c>
      <c r="AE69" s="97">
        <f>$D69</f>
        <v>44073</v>
      </c>
      <c r="AF69" s="282"/>
      <c r="AG69" s="259">
        <v>0</v>
      </c>
      <c r="AH69" s="282"/>
      <c r="AI69" s="98">
        <v>0</v>
      </c>
      <c r="AJ69" s="282"/>
      <c r="AK69" s="98">
        <v>0</v>
      </c>
      <c r="AL69" s="282"/>
      <c r="AM69" s="98">
        <v>0</v>
      </c>
      <c r="AN69" s="282"/>
      <c r="AO69" s="98">
        <v>0</v>
      </c>
      <c r="AP69" s="282"/>
      <c r="AQ69" s="98">
        <v>0</v>
      </c>
      <c r="AR69" s="152"/>
      <c r="AS69" s="276"/>
      <c r="AT69" s="285"/>
      <c r="AU69" s="96" t="str">
        <f>$C69</f>
        <v>Dimanche</v>
      </c>
      <c r="AV69" s="97">
        <f>$D69</f>
        <v>44073</v>
      </c>
      <c r="AW69" s="282"/>
      <c r="AX69" s="98">
        <v>0.48819444444444443</v>
      </c>
      <c r="AY69" s="152"/>
      <c r="AZ69" s="287"/>
      <c r="BA69" s="297"/>
      <c r="BB69" s="139">
        <f>D69</f>
        <v>44073</v>
      </c>
      <c r="BC69" s="140" t="str">
        <f>$C69</f>
        <v>Dimanche</v>
      </c>
      <c r="BD69" s="295"/>
      <c r="BE69"/>
      <c r="BF69"/>
      <c r="BG69"/>
      <c r="BH69"/>
      <c r="BI69"/>
      <c r="BJ69"/>
      <c r="BK69"/>
      <c r="BL69"/>
      <c r="BM69"/>
      <c r="BN69" s="275"/>
      <c r="BO69" s="275"/>
    </row>
    <row r="70" spans="1:77" s="396" customFormat="1" ht="5.25" customHeight="1" x14ac:dyDescent="0.25">
      <c r="A70" s="277"/>
      <c r="B70" s="279"/>
      <c r="C70" s="281"/>
      <c r="D70" s="282"/>
      <c r="E70" s="282"/>
      <c r="F70" s="282"/>
      <c r="G70" s="353"/>
      <c r="H70" s="353"/>
      <c r="I70" s="353"/>
      <c r="J70" s="282"/>
      <c r="K70" s="353"/>
      <c r="L70" s="353"/>
      <c r="M70" s="353"/>
      <c r="N70" s="282"/>
      <c r="O70" s="353"/>
      <c r="P70" s="353"/>
      <c r="Q70" s="353"/>
      <c r="R70" s="280"/>
      <c r="S70" s="287"/>
      <c r="T70" s="285"/>
      <c r="U70" s="281"/>
      <c r="V70" s="282"/>
      <c r="W70" s="282"/>
      <c r="X70" s="282"/>
      <c r="Y70" s="282"/>
      <c r="Z70" s="283"/>
      <c r="AA70" s="280"/>
      <c r="AB70" s="287"/>
      <c r="AC70" s="285"/>
      <c r="AD70" s="281"/>
      <c r="AE70" s="282"/>
      <c r="AF70" s="282"/>
      <c r="AG70" s="299"/>
      <c r="AH70" s="282"/>
      <c r="AI70" s="282"/>
      <c r="AJ70" s="282"/>
      <c r="AK70" s="282"/>
      <c r="AL70" s="282"/>
      <c r="AM70" s="282"/>
      <c r="AN70" s="282"/>
      <c r="AO70" s="282"/>
      <c r="AP70" s="282"/>
      <c r="AQ70" s="282"/>
      <c r="AR70" s="152"/>
      <c r="AS70" s="276"/>
      <c r="AT70" s="285"/>
      <c r="AU70" s="281"/>
      <c r="AV70" s="282"/>
      <c r="AW70" s="282"/>
      <c r="AX70" s="283"/>
      <c r="AY70" s="152"/>
      <c r="AZ70" s="287"/>
      <c r="BA70" s="297"/>
      <c r="BB70" s="344"/>
      <c r="BC70" s="343"/>
      <c r="BD70" s="295"/>
      <c r="BE70"/>
      <c r="BF70"/>
      <c r="BG70"/>
      <c r="BH70"/>
      <c r="BI70"/>
      <c r="BJ70"/>
      <c r="BK70"/>
      <c r="BL70"/>
      <c r="BM70"/>
      <c r="BN70" s="275"/>
      <c r="BO70" s="275"/>
    </row>
    <row r="71" spans="1:77" s="396" customFormat="1" ht="27" customHeight="1" thickBot="1" x14ac:dyDescent="0.3">
      <c r="A71" s="277"/>
      <c r="B71" s="279"/>
      <c r="C71" s="96" t="str">
        <f>PROPER(TEXT(D71,"JJJJ"))</f>
        <v>Lundi</v>
      </c>
      <c r="D71" s="97">
        <f>$D69+1</f>
        <v>44074</v>
      </c>
      <c r="E71" s="282"/>
      <c r="F71" s="352">
        <v>10.6</v>
      </c>
      <c r="G71" s="353"/>
      <c r="H71" s="98">
        <v>0.30694444444444402</v>
      </c>
      <c r="I71" s="353"/>
      <c r="J71" s="352">
        <v>10.6</v>
      </c>
      <c r="K71" s="353"/>
      <c r="L71" s="98">
        <v>0.30694444444444402</v>
      </c>
      <c r="M71" s="353"/>
      <c r="N71" s="352">
        <v>23.5</v>
      </c>
      <c r="O71" s="353"/>
      <c r="P71" s="98">
        <v>0.65486111111111101</v>
      </c>
      <c r="Q71" s="353"/>
      <c r="R71" s="280"/>
      <c r="S71" s="287"/>
      <c r="T71" s="285"/>
      <c r="U71" s="96" t="str">
        <f>$C71</f>
        <v>Lundi</v>
      </c>
      <c r="V71" s="97">
        <f>$D71</f>
        <v>44074</v>
      </c>
      <c r="W71" s="282"/>
      <c r="X71" s="101">
        <v>16.600000000000001</v>
      </c>
      <c r="Y71" s="282"/>
      <c r="Z71" s="98">
        <v>0.69791666666666696</v>
      </c>
      <c r="AA71" s="280"/>
      <c r="AB71" s="287"/>
      <c r="AC71" s="285"/>
      <c r="AD71" s="96" t="str">
        <f>$C71</f>
        <v>Lundi</v>
      </c>
      <c r="AE71" s="97">
        <f>$D71</f>
        <v>44074</v>
      </c>
      <c r="AF71" s="282"/>
      <c r="AG71" s="259">
        <v>0</v>
      </c>
      <c r="AH71" s="282"/>
      <c r="AI71" s="98">
        <v>0</v>
      </c>
      <c r="AJ71" s="282"/>
      <c r="AK71" s="98">
        <v>0</v>
      </c>
      <c r="AL71" s="282"/>
      <c r="AM71" s="98">
        <v>0</v>
      </c>
      <c r="AN71" s="282"/>
      <c r="AO71" s="98">
        <v>0</v>
      </c>
      <c r="AP71" s="282"/>
      <c r="AQ71" s="98">
        <v>0</v>
      </c>
      <c r="AR71" s="152"/>
      <c r="AS71" s="276"/>
      <c r="AT71" s="285"/>
      <c r="AU71" s="96" t="str">
        <f>$C71</f>
        <v>Lundi</v>
      </c>
      <c r="AV71" s="97">
        <f>$D71</f>
        <v>44074</v>
      </c>
      <c r="AW71" s="282"/>
      <c r="AX71" s="98">
        <v>0.49166666666666664</v>
      </c>
      <c r="AY71" s="152"/>
      <c r="AZ71" s="287"/>
      <c r="BA71" s="297"/>
      <c r="BB71" s="139">
        <f>D71</f>
        <v>44074</v>
      </c>
      <c r="BC71" s="140" t="str">
        <f>$C71</f>
        <v>Lundi</v>
      </c>
      <c r="BD71" s="295"/>
      <c r="BE71"/>
      <c r="BF71"/>
      <c r="BG71"/>
      <c r="BH71"/>
      <c r="BI71"/>
      <c r="BJ71"/>
      <c r="BK71"/>
      <c r="BL71"/>
      <c r="BM71"/>
      <c r="BN71" s="275"/>
      <c r="BO71" s="275"/>
    </row>
    <row r="72" spans="1:77" ht="12.75" customHeight="1" thickTop="1" x14ac:dyDescent="0.25">
      <c r="A72" s="41"/>
      <c r="B72" s="46"/>
      <c r="C72" s="90"/>
      <c r="D72" s="91"/>
      <c r="E72" s="91"/>
      <c r="F72" s="288"/>
      <c r="G72" s="282"/>
      <c r="H72" s="283"/>
      <c r="I72" s="282"/>
      <c r="J72" s="99"/>
      <c r="K72" s="91"/>
      <c r="L72" s="92"/>
      <c r="M72" s="91"/>
      <c r="N72" s="99"/>
      <c r="O72" s="91"/>
      <c r="P72" s="92"/>
      <c r="Q72" s="282"/>
      <c r="R72" s="89"/>
      <c r="S72" s="93"/>
      <c r="T72" s="94"/>
      <c r="U72" s="90"/>
      <c r="V72" s="91"/>
      <c r="W72" s="91"/>
      <c r="X72" s="91"/>
      <c r="Y72" s="91"/>
      <c r="Z72" s="92"/>
      <c r="AA72" s="89"/>
      <c r="AB72" s="93"/>
      <c r="AC72" s="94"/>
      <c r="AD72" s="90"/>
      <c r="AE72" s="91"/>
      <c r="AF72" s="91"/>
      <c r="AG72" s="91"/>
      <c r="AH72" s="91"/>
      <c r="AI72" s="92"/>
      <c r="AJ72" s="91"/>
      <c r="AK72" s="92"/>
      <c r="AL72" s="91"/>
      <c r="AM72" s="92"/>
      <c r="AN72" s="91"/>
      <c r="AO72" s="92"/>
      <c r="AP72" s="91"/>
      <c r="AQ72" s="92"/>
      <c r="AR72" s="152"/>
      <c r="AS72" s="33"/>
      <c r="AT72" s="94"/>
      <c r="AU72" s="90"/>
      <c r="AV72" s="91"/>
      <c r="AW72" s="91"/>
      <c r="AX72" s="92"/>
      <c r="AY72" s="152"/>
      <c r="AZ72" s="95"/>
      <c r="BA72" s="240"/>
      <c r="BB72" s="350"/>
      <c r="BC72" s="350"/>
      <c r="BE72"/>
      <c r="BF72"/>
      <c r="BG72"/>
      <c r="BH72"/>
      <c r="BI72"/>
      <c r="BJ72"/>
      <c r="BK72"/>
      <c r="BL72"/>
      <c r="BM72"/>
    </row>
    <row r="73" spans="1:77" s="30" customFormat="1" ht="12.75" customHeight="1" x14ac:dyDescent="0.25">
      <c r="A73" s="41"/>
      <c r="B73" s="41"/>
      <c r="C73" s="41"/>
      <c r="D73" s="41"/>
      <c r="E73" s="41"/>
      <c r="F73" s="278"/>
      <c r="G73" s="278"/>
      <c r="H73" s="278"/>
      <c r="I73" s="278"/>
      <c r="J73" s="41"/>
      <c r="K73" s="41"/>
      <c r="L73" s="41"/>
      <c r="M73" s="41"/>
      <c r="N73" s="41"/>
      <c r="O73" s="41"/>
      <c r="P73" s="41"/>
      <c r="Q73" s="278"/>
      <c r="R73" s="41"/>
      <c r="S73" s="41"/>
      <c r="T73" s="41"/>
      <c r="U73" s="41"/>
      <c r="V73" s="41"/>
      <c r="W73" s="41"/>
      <c r="X73" s="41"/>
      <c r="Y73" s="41"/>
      <c r="Z73" s="41"/>
      <c r="AA73" s="41"/>
      <c r="AB73" s="41"/>
      <c r="AC73" s="41"/>
      <c r="AD73" s="41"/>
      <c r="AE73" s="41"/>
      <c r="AF73" s="41"/>
      <c r="AG73" s="41"/>
      <c r="AH73" s="41"/>
      <c r="AI73" s="41"/>
      <c r="AJ73" s="41"/>
      <c r="AK73" s="41"/>
      <c r="AL73" s="41"/>
      <c r="AM73" s="41"/>
      <c r="AN73" s="41"/>
      <c r="AO73" s="41"/>
      <c r="AP73" s="41"/>
      <c r="AQ73" s="41"/>
      <c r="AR73" s="41"/>
      <c r="AS73" s="41"/>
      <c r="AT73" s="41"/>
      <c r="AU73" s="41"/>
      <c r="AV73" s="41"/>
      <c r="AW73" s="41"/>
      <c r="AX73" s="41"/>
      <c r="AY73" s="41"/>
      <c r="AZ73" s="41"/>
      <c r="BA73" s="241"/>
      <c r="BD73" s="224"/>
      <c r="BE73"/>
      <c r="BF73"/>
      <c r="BG73"/>
      <c r="BH73"/>
      <c r="BI73"/>
      <c r="BJ73"/>
      <c r="BK73"/>
      <c r="BL73"/>
      <c r="BM73"/>
      <c r="BN73" s="232"/>
      <c r="BO73" s="232"/>
    </row>
    <row r="74" spans="1:77" s="30" customFormat="1" ht="12.75" customHeight="1" x14ac:dyDescent="0.25">
      <c r="A74" s="124"/>
      <c r="B74" s="100"/>
      <c r="C74" s="125"/>
      <c r="D74" s="125"/>
      <c r="E74" s="125"/>
      <c r="F74" s="125"/>
      <c r="G74" s="125"/>
      <c r="H74" s="125"/>
      <c r="I74" s="125"/>
      <c r="J74" s="125"/>
      <c r="K74" s="125"/>
      <c r="L74" s="125"/>
      <c r="M74" s="125"/>
      <c r="N74" s="125"/>
      <c r="O74" s="125"/>
      <c r="P74" s="125"/>
      <c r="Q74" s="125"/>
      <c r="R74" s="125"/>
      <c r="S74" s="124"/>
      <c r="AA74" s="125"/>
      <c r="AB74" s="124"/>
      <c r="AC74" s="125"/>
      <c r="AD74" s="125"/>
      <c r="AE74" s="125"/>
      <c r="AF74" s="125"/>
      <c r="AG74" s="125"/>
      <c r="AH74" s="125"/>
      <c r="AI74" s="125"/>
      <c r="AJ74" s="125"/>
      <c r="AK74" s="125"/>
      <c r="AL74" s="125"/>
      <c r="AM74" s="125"/>
      <c r="AN74" s="125"/>
      <c r="AO74" s="125"/>
      <c r="AP74" s="125"/>
      <c r="AQ74" s="125"/>
      <c r="AR74" s="125"/>
      <c r="AS74" s="125"/>
      <c r="AT74" s="125"/>
      <c r="AU74" s="125"/>
      <c r="AV74" s="125"/>
      <c r="AW74" s="125"/>
      <c r="AX74" s="125"/>
      <c r="AY74" s="125"/>
      <c r="BD74" s="224"/>
      <c r="BE74" s="224"/>
      <c r="BF74" s="224"/>
      <c r="BG74" s="223"/>
      <c r="BH74" s="103"/>
      <c r="BJ74" s="477"/>
      <c r="BN74" s="232"/>
      <c r="BO74" s="232"/>
    </row>
    <row r="75" spans="1:77" s="30" customFormat="1" ht="12.75" customHeight="1" x14ac:dyDescent="0.25">
      <c r="A75" s="124"/>
      <c r="B75" s="100"/>
      <c r="C75" s="125"/>
      <c r="D75" s="125"/>
      <c r="E75" s="125"/>
      <c r="F75" s="125"/>
      <c r="G75" s="125"/>
      <c r="H75" s="125"/>
      <c r="I75" s="125"/>
      <c r="J75" s="125"/>
      <c r="K75" s="125"/>
      <c r="L75" s="125"/>
      <c r="M75" s="125"/>
      <c r="N75" s="125"/>
      <c r="O75" s="125"/>
      <c r="P75" s="125"/>
      <c r="Q75" s="125"/>
      <c r="R75" s="125"/>
      <c r="S75" s="124"/>
      <c r="AA75" s="28"/>
      <c r="AB75" s="28"/>
      <c r="AC75" s="28"/>
      <c r="AD75" s="28"/>
      <c r="AE75" s="28"/>
      <c r="AF75" s="28"/>
      <c r="AG75" s="28"/>
      <c r="AH75" s="28"/>
      <c r="AI75" s="28"/>
      <c r="AJ75" s="28"/>
      <c r="AK75" s="28"/>
      <c r="AL75" s="28"/>
      <c r="AM75" s="28"/>
      <c r="AN75" s="28"/>
      <c r="AO75" s="28"/>
      <c r="AP75" s="28"/>
      <c r="AQ75" s="28"/>
      <c r="AR75" s="28"/>
      <c r="AS75" s="28"/>
      <c r="AT75" s="28"/>
      <c r="AU75" s="28"/>
      <c r="AV75" s="28"/>
      <c r="AW75" s="28"/>
      <c r="AX75" s="28"/>
      <c r="AY75" s="104"/>
      <c r="BD75" s="224"/>
      <c r="BE75" s="224"/>
      <c r="BF75" s="224"/>
      <c r="BG75" s="226"/>
      <c r="BH75" s="103"/>
      <c r="BN75" s="232"/>
      <c r="BO75" s="232"/>
    </row>
    <row r="76" spans="1:77" x14ac:dyDescent="0.25">
      <c r="C76" s="31"/>
      <c r="D76" s="31"/>
      <c r="E76" s="31"/>
      <c r="AY76" s="104"/>
      <c r="BG76" s="226"/>
    </row>
    <row r="77" spans="1:77" x14ac:dyDescent="0.25">
      <c r="A77" s="105"/>
      <c r="C77" s="31"/>
      <c r="D77" s="31"/>
      <c r="E77" s="31"/>
      <c r="AX77"/>
      <c r="BD77"/>
      <c r="BE77" s="396"/>
      <c r="BF77" s="396"/>
      <c r="BG77"/>
      <c r="BH77"/>
      <c r="BI77"/>
      <c r="BJ77"/>
      <c r="BK77"/>
      <c r="BL77"/>
      <c r="BM77"/>
      <c r="BP77"/>
      <c r="BQ77"/>
      <c r="BR77"/>
      <c r="BS77"/>
      <c r="BT77"/>
      <c r="BU77"/>
      <c r="BV77"/>
      <c r="BW77"/>
      <c r="BX77"/>
      <c r="BY77"/>
    </row>
    <row r="78" spans="1:77" s="29" customFormat="1" x14ac:dyDescent="0.25">
      <c r="A78" s="105"/>
      <c r="B78" s="28"/>
      <c r="C78" s="31"/>
      <c r="D78" s="31"/>
      <c r="E78" s="31"/>
      <c r="F78" s="272"/>
      <c r="G78" s="272"/>
      <c r="H78" s="272"/>
      <c r="I78" s="272"/>
      <c r="J78" s="28"/>
      <c r="K78" s="28"/>
      <c r="L78" s="28"/>
      <c r="M78" s="28"/>
      <c r="N78" s="28"/>
      <c r="O78" s="28"/>
      <c r="P78" s="28"/>
      <c r="Q78" s="272"/>
      <c r="R78" s="28"/>
      <c r="S78" s="28"/>
      <c r="AX78"/>
      <c r="AY78" s="28"/>
      <c r="BA78" s="102"/>
      <c r="BB78"/>
      <c r="BC78"/>
      <c r="BD78"/>
      <c r="BE78" s="396"/>
      <c r="BF78" s="396"/>
      <c r="BG78"/>
      <c r="BH78"/>
      <c r="BI78"/>
      <c r="BJ78"/>
      <c r="BK78"/>
      <c r="BL78"/>
      <c r="BM78"/>
      <c r="BN78" s="274"/>
      <c r="BO78" s="274"/>
      <c r="BP78"/>
      <c r="BQ78"/>
      <c r="BR78"/>
      <c r="BS78"/>
      <c r="BT78"/>
      <c r="BU78"/>
      <c r="BV78"/>
      <c r="BW78"/>
      <c r="BX78"/>
      <c r="BY78"/>
    </row>
    <row r="79" spans="1:77" s="29" customFormat="1" x14ac:dyDescent="0.25">
      <c r="A79" s="105"/>
      <c r="C79" s="31"/>
      <c r="D79" s="31"/>
      <c r="E79" s="31"/>
      <c r="F79" s="272"/>
      <c r="G79" s="272"/>
      <c r="H79" s="272"/>
      <c r="I79" s="272"/>
      <c r="J79" s="28"/>
      <c r="K79" s="28"/>
      <c r="L79" s="28"/>
      <c r="M79" s="28"/>
      <c r="N79" s="28"/>
      <c r="O79" s="28"/>
      <c r="P79" s="28"/>
      <c r="Q79" s="272"/>
      <c r="R79" s="28"/>
      <c r="S79" s="28"/>
      <c r="AX79"/>
      <c r="BA79" s="102"/>
      <c r="BB79"/>
      <c r="BC79"/>
      <c r="BD79"/>
      <c r="BE79" s="396"/>
      <c r="BF79" s="396"/>
      <c r="BG79"/>
      <c r="BH79"/>
      <c r="BI79"/>
      <c r="BJ79"/>
      <c r="BK79"/>
      <c r="BL79"/>
      <c r="BM79"/>
      <c r="BN79" s="274"/>
      <c r="BO79" s="274"/>
      <c r="BP79"/>
      <c r="BQ79"/>
      <c r="BR79"/>
      <c r="BS79"/>
      <c r="BT79"/>
      <c r="BU79"/>
      <c r="BV79"/>
      <c r="BW79"/>
      <c r="BX79"/>
      <c r="BY79"/>
    </row>
    <row r="80" spans="1:77" s="29" customFormat="1" x14ac:dyDescent="0.25">
      <c r="A80" s="105"/>
      <c r="C80" s="31"/>
      <c r="D80" s="31"/>
      <c r="E80" s="31"/>
      <c r="F80" s="272"/>
      <c r="G80" s="272"/>
      <c r="H80" s="272"/>
      <c r="I80" s="272"/>
      <c r="J80" s="28"/>
      <c r="K80" s="28"/>
      <c r="L80" s="28"/>
      <c r="M80" s="28"/>
      <c r="N80" s="28"/>
      <c r="O80" s="28"/>
      <c r="P80" s="28"/>
      <c r="Q80" s="272"/>
      <c r="R80" s="28"/>
      <c r="S80" s="28"/>
      <c r="AX80"/>
      <c r="BA80" s="102"/>
      <c r="BB80"/>
      <c r="BC80"/>
      <c r="BD80"/>
      <c r="BE80" s="396"/>
      <c r="BF80" s="396"/>
      <c r="BG80"/>
      <c r="BH80"/>
      <c r="BI80"/>
      <c r="BJ80"/>
      <c r="BK80"/>
      <c r="BL80"/>
      <c r="BM80"/>
      <c r="BN80" s="274"/>
      <c r="BO80" s="274"/>
      <c r="BP80"/>
      <c r="BQ80"/>
      <c r="BR80"/>
      <c r="BS80"/>
      <c r="BT80"/>
      <c r="BU80"/>
      <c r="BV80"/>
      <c r="BW80"/>
      <c r="BX80"/>
      <c r="BY80"/>
    </row>
    <row r="81" spans="1:77" s="29" customFormat="1" x14ac:dyDescent="0.25">
      <c r="A81" s="105"/>
      <c r="C81" s="31"/>
      <c r="D81" s="31"/>
      <c r="E81" s="31"/>
      <c r="F81" s="272"/>
      <c r="G81" s="272"/>
      <c r="H81" s="272"/>
      <c r="I81" s="272"/>
      <c r="J81" s="28"/>
      <c r="K81" s="28"/>
      <c r="L81" s="28"/>
      <c r="M81" s="28"/>
      <c r="N81" s="28"/>
      <c r="O81" s="28"/>
      <c r="P81" s="28"/>
      <c r="Q81" s="272"/>
      <c r="R81" s="28"/>
      <c r="S81" s="28"/>
      <c r="BA81" s="102"/>
      <c r="BB81"/>
      <c r="BC81"/>
      <c r="BD81"/>
      <c r="BE81" s="396"/>
      <c r="BF81" s="396"/>
      <c r="BG81"/>
      <c r="BH81"/>
      <c r="BI81"/>
      <c r="BJ81"/>
      <c r="BK81"/>
      <c r="BL81"/>
      <c r="BM81"/>
      <c r="BN81" s="274"/>
      <c r="BO81" s="274"/>
      <c r="BP81"/>
      <c r="BQ81"/>
      <c r="BR81"/>
      <c r="BS81"/>
      <c r="BT81"/>
      <c r="BU81"/>
      <c r="BV81"/>
      <c r="BW81"/>
      <c r="BX81"/>
      <c r="BY81"/>
    </row>
    <row r="82" spans="1:77" s="29" customFormat="1" x14ac:dyDescent="0.25">
      <c r="A82" s="25"/>
      <c r="B82" s="106"/>
      <c r="C82" s="31"/>
      <c r="D82" s="31"/>
      <c r="E82" s="31"/>
      <c r="F82" s="272"/>
      <c r="G82" s="272"/>
      <c r="H82" s="272"/>
      <c r="I82" s="272"/>
      <c r="J82" s="28"/>
      <c r="K82" s="28"/>
      <c r="L82" s="28"/>
      <c r="M82" s="28"/>
      <c r="N82" s="28"/>
      <c r="O82" s="28"/>
      <c r="P82" s="28"/>
      <c r="Q82" s="272"/>
      <c r="R82" s="28"/>
      <c r="S82" s="28"/>
      <c r="BA82" s="102"/>
      <c r="BB82"/>
      <c r="BC82"/>
      <c r="BD82"/>
      <c r="BE82" s="396"/>
      <c r="BF82" s="396"/>
      <c r="BG82"/>
      <c r="BH82"/>
      <c r="BI82"/>
      <c r="BJ82"/>
      <c r="BK82"/>
      <c r="BL82"/>
      <c r="BM82"/>
      <c r="BN82" s="274"/>
      <c r="BO82" s="274"/>
      <c r="BP82"/>
      <c r="BQ82"/>
      <c r="BR82"/>
      <c r="BS82"/>
      <c r="BT82"/>
      <c r="BU82"/>
      <c r="BV82"/>
      <c r="BW82"/>
      <c r="BX82"/>
      <c r="BY82"/>
    </row>
    <row r="83" spans="1:77" s="29" customFormat="1" x14ac:dyDescent="0.25">
      <c r="A83" s="25"/>
      <c r="B83" s="106"/>
      <c r="C83" s="31"/>
      <c r="D83" s="31"/>
      <c r="E83" s="31"/>
      <c r="F83" s="272"/>
      <c r="G83" s="272"/>
      <c r="H83" s="272"/>
      <c r="I83" s="272"/>
      <c r="J83" s="28"/>
      <c r="K83" s="28"/>
      <c r="L83" s="28"/>
      <c r="M83" s="28"/>
      <c r="N83" s="28"/>
      <c r="O83" s="28"/>
      <c r="P83" s="28"/>
      <c r="Q83" s="272"/>
      <c r="R83" s="28"/>
      <c r="S83" s="28"/>
      <c r="BA83" s="102"/>
      <c r="BB83"/>
      <c r="BC83"/>
      <c r="BD83"/>
      <c r="BE83" s="396"/>
      <c r="BF83" s="396"/>
      <c r="BG83"/>
      <c r="BH83"/>
      <c r="BI83"/>
      <c r="BJ83"/>
      <c r="BK83"/>
      <c r="BL83"/>
      <c r="BM83"/>
      <c r="BN83" s="274"/>
      <c r="BO83" s="274"/>
      <c r="BP83"/>
      <c r="BQ83"/>
      <c r="BR83"/>
      <c r="BS83"/>
      <c r="BT83"/>
      <c r="BU83"/>
      <c r="BV83"/>
      <c r="BW83"/>
      <c r="BX83"/>
      <c r="BY83"/>
    </row>
    <row r="84" spans="1:77" s="29" customFormat="1" x14ac:dyDescent="0.25">
      <c r="A84" s="25"/>
      <c r="B84" s="106"/>
      <c r="C84" s="31"/>
      <c r="D84" s="31"/>
      <c r="E84" s="31"/>
      <c r="F84" s="272"/>
      <c r="G84" s="272"/>
      <c r="H84" s="272"/>
      <c r="I84" s="272"/>
      <c r="J84" s="28"/>
      <c r="K84" s="28"/>
      <c r="L84" s="28"/>
      <c r="M84" s="28"/>
      <c r="N84" s="28"/>
      <c r="O84" s="28"/>
      <c r="P84" s="28"/>
      <c r="Q84" s="272"/>
      <c r="R84" s="28"/>
      <c r="S84" s="28"/>
      <c r="BA84" s="102"/>
      <c r="BB84"/>
      <c r="BC84"/>
      <c r="BD84"/>
      <c r="BE84" s="396"/>
      <c r="BF84" s="396"/>
      <c r="BG84"/>
      <c r="BH84"/>
      <c r="BI84"/>
      <c r="BJ84"/>
      <c r="BK84"/>
      <c r="BL84"/>
      <c r="BM84"/>
      <c r="BN84" s="274"/>
      <c r="BO84" s="274"/>
      <c r="BP84"/>
      <c r="BQ84"/>
      <c r="BR84"/>
      <c r="BS84"/>
      <c r="BT84"/>
      <c r="BU84"/>
      <c r="BV84"/>
      <c r="BW84"/>
      <c r="BX84"/>
      <c r="BY84"/>
    </row>
    <row r="85" spans="1:77" s="29" customFormat="1" x14ac:dyDescent="0.25">
      <c r="A85" s="28"/>
      <c r="B85" s="106"/>
      <c r="C85" s="28"/>
      <c r="D85" s="31"/>
      <c r="E85" s="31"/>
      <c r="F85" s="272"/>
      <c r="G85" s="272"/>
      <c r="H85" s="272"/>
      <c r="I85" s="272"/>
      <c r="J85" s="28"/>
      <c r="K85" s="28"/>
      <c r="L85" s="28"/>
      <c r="M85" s="28"/>
      <c r="N85" s="28"/>
      <c r="O85" s="28"/>
      <c r="P85" s="28"/>
      <c r="Q85" s="272"/>
      <c r="R85" s="28"/>
      <c r="S85" s="28"/>
      <c r="AY85" s="28"/>
      <c r="BA85" s="102"/>
      <c r="BB85"/>
      <c r="BC85"/>
      <c r="BD85"/>
      <c r="BE85" s="396"/>
      <c r="BF85" s="396"/>
      <c r="BG85"/>
      <c r="BH85"/>
      <c r="BI85"/>
      <c r="BJ85"/>
      <c r="BK85"/>
      <c r="BL85"/>
      <c r="BM85"/>
      <c r="BN85" s="274"/>
      <c r="BO85" s="274"/>
      <c r="BP85"/>
      <c r="BQ85"/>
      <c r="BR85"/>
      <c r="BS85"/>
      <c r="BT85"/>
      <c r="BU85"/>
      <c r="BV85"/>
      <c r="BW85"/>
      <c r="BX85"/>
      <c r="BY85"/>
    </row>
    <row r="86" spans="1:77" x14ac:dyDescent="0.25">
      <c r="A86" s="107"/>
      <c r="B86" s="106"/>
      <c r="BB86"/>
      <c r="BC86"/>
      <c r="BD86"/>
      <c r="BE86" s="396"/>
      <c r="BF86" s="396"/>
      <c r="BG86"/>
      <c r="BH86"/>
      <c r="BI86"/>
      <c r="BJ86"/>
      <c r="BK86"/>
      <c r="BL86"/>
      <c r="BM86"/>
      <c r="BP86"/>
      <c r="BQ86"/>
      <c r="BR86"/>
      <c r="BS86"/>
      <c r="BT86"/>
      <c r="BU86"/>
      <c r="BV86"/>
      <c r="BW86"/>
      <c r="BX86"/>
      <c r="BY86"/>
    </row>
    <row r="87" spans="1:77" x14ac:dyDescent="0.25">
      <c r="A87" s="108"/>
      <c r="B87" s="106"/>
      <c r="BB87"/>
      <c r="BC87"/>
      <c r="BD87"/>
      <c r="BE87" s="396"/>
      <c r="BF87" s="396"/>
      <c r="BG87"/>
      <c r="BH87"/>
      <c r="BI87"/>
      <c r="BJ87"/>
      <c r="BK87"/>
      <c r="BL87"/>
      <c r="BM87"/>
      <c r="BP87"/>
      <c r="BQ87"/>
      <c r="BR87"/>
      <c r="BS87"/>
      <c r="BT87"/>
      <c r="BU87"/>
      <c r="BV87"/>
      <c r="BW87"/>
      <c r="BX87"/>
      <c r="BY87"/>
    </row>
    <row r="88" spans="1:77" x14ac:dyDescent="0.25">
      <c r="A88" s="25"/>
      <c r="B88" s="106"/>
      <c r="BB88"/>
      <c r="BC88"/>
      <c r="BD88"/>
      <c r="BE88" s="396"/>
      <c r="BF88" s="396"/>
      <c r="BG88"/>
      <c r="BH88"/>
      <c r="BI88"/>
      <c r="BJ88"/>
      <c r="BK88"/>
      <c r="BL88"/>
      <c r="BM88"/>
      <c r="BP88"/>
      <c r="BQ88"/>
      <c r="BR88"/>
      <c r="BS88"/>
      <c r="BT88"/>
      <c r="BU88"/>
      <c r="BV88"/>
      <c r="BW88"/>
      <c r="BX88"/>
      <c r="BY88"/>
    </row>
    <row r="89" spans="1:77" x14ac:dyDescent="0.25">
      <c r="A89" s="31"/>
      <c r="B89" s="106"/>
      <c r="BB89"/>
      <c r="BC89"/>
      <c r="BD89"/>
      <c r="BE89" s="396"/>
      <c r="BF89" s="396"/>
      <c r="BG89"/>
      <c r="BH89"/>
      <c r="BI89"/>
      <c r="BJ89"/>
      <c r="BK89"/>
      <c r="BL89"/>
      <c r="BM89"/>
      <c r="BP89"/>
      <c r="BQ89"/>
      <c r="BR89"/>
      <c r="BS89"/>
      <c r="BT89"/>
      <c r="BU89"/>
      <c r="BV89"/>
      <c r="BW89"/>
      <c r="BX89"/>
      <c r="BY89"/>
    </row>
    <row r="90" spans="1:77" x14ac:dyDescent="0.25">
      <c r="A90" s="31"/>
      <c r="B90" s="106"/>
      <c r="BB90"/>
      <c r="BC90"/>
      <c r="BD90"/>
      <c r="BE90" s="396"/>
      <c r="BF90" s="396"/>
      <c r="BG90"/>
      <c r="BH90"/>
      <c r="BI90"/>
      <c r="BJ90"/>
      <c r="BK90"/>
      <c r="BL90"/>
      <c r="BM90"/>
      <c r="BP90"/>
      <c r="BQ90"/>
      <c r="BR90"/>
      <c r="BS90"/>
      <c r="BT90"/>
      <c r="BU90"/>
      <c r="BV90"/>
      <c r="BW90"/>
      <c r="BX90"/>
      <c r="BY90"/>
    </row>
    <row r="91" spans="1:77" x14ac:dyDescent="0.25">
      <c r="A91" s="31"/>
      <c r="B91" s="106"/>
      <c r="BD91"/>
      <c r="BE91" s="396"/>
      <c r="BF91" s="396"/>
      <c r="BG91"/>
      <c r="BH91"/>
      <c r="BI91"/>
      <c r="BJ91"/>
      <c r="BK91"/>
      <c r="BL91"/>
      <c r="BM91"/>
      <c r="BP91"/>
      <c r="BQ91"/>
      <c r="BR91"/>
      <c r="BS91"/>
      <c r="BT91"/>
      <c r="BU91"/>
      <c r="BV91"/>
      <c r="BW91"/>
      <c r="BX91"/>
      <c r="BY91"/>
    </row>
    <row r="92" spans="1:77" x14ac:dyDescent="0.25">
      <c r="A92" s="31"/>
      <c r="B92" s="106"/>
      <c r="BB92"/>
      <c r="BC92"/>
      <c r="BD92"/>
      <c r="BE92" s="396"/>
      <c r="BF92" s="396"/>
      <c r="BG92"/>
      <c r="BH92"/>
      <c r="BI92"/>
      <c r="BJ92"/>
      <c r="BK92"/>
      <c r="BL92"/>
      <c r="BM92"/>
      <c r="BP92"/>
      <c r="BQ92"/>
      <c r="BR92"/>
      <c r="BS92"/>
      <c r="BT92"/>
      <c r="BU92"/>
      <c r="BV92"/>
      <c r="BW92"/>
      <c r="BX92"/>
      <c r="BY92"/>
    </row>
    <row r="93" spans="1:77" x14ac:dyDescent="0.25">
      <c r="B93" s="106"/>
      <c r="BB93"/>
      <c r="BC93"/>
      <c r="BD93"/>
      <c r="BE93" s="396"/>
      <c r="BF93" s="396"/>
      <c r="BG93"/>
      <c r="BH93"/>
      <c r="BI93"/>
      <c r="BJ93"/>
      <c r="BK93"/>
      <c r="BL93"/>
      <c r="BM93"/>
      <c r="BP93"/>
      <c r="BQ93"/>
      <c r="BR93"/>
      <c r="BS93"/>
      <c r="BT93"/>
      <c r="BU93"/>
      <c r="BV93"/>
      <c r="BW93"/>
      <c r="BX93"/>
      <c r="BY93"/>
    </row>
    <row r="94" spans="1:77" x14ac:dyDescent="0.25">
      <c r="B94" s="106"/>
      <c r="BB94"/>
      <c r="BC94"/>
      <c r="BD94"/>
      <c r="BE94" s="396"/>
      <c r="BF94" s="396"/>
      <c r="BG94"/>
      <c r="BH94"/>
      <c r="BI94"/>
      <c r="BJ94"/>
      <c r="BK94"/>
      <c r="BL94"/>
      <c r="BM94"/>
      <c r="BP94"/>
      <c r="BQ94"/>
      <c r="BR94"/>
      <c r="BS94"/>
      <c r="BT94"/>
      <c r="BU94"/>
      <c r="BV94"/>
      <c r="BW94"/>
      <c r="BX94"/>
      <c r="BY94"/>
    </row>
    <row r="95" spans="1:77" x14ac:dyDescent="0.25">
      <c r="BB95"/>
      <c r="BC95"/>
      <c r="BD95"/>
      <c r="BE95" s="396"/>
      <c r="BF95" s="396"/>
      <c r="BG95"/>
      <c r="BH95"/>
      <c r="BI95"/>
      <c r="BJ95"/>
      <c r="BK95"/>
      <c r="BL95"/>
      <c r="BM95"/>
      <c r="BP95"/>
      <c r="BQ95"/>
      <c r="BR95"/>
      <c r="BS95"/>
      <c r="BT95"/>
      <c r="BU95"/>
      <c r="BV95"/>
      <c r="BW95"/>
      <c r="BX95"/>
      <c r="BY95"/>
    </row>
    <row r="96" spans="1:77" x14ac:dyDescent="0.25">
      <c r="BB96"/>
      <c r="BC96"/>
      <c r="BD96" s="225"/>
    </row>
    <row r="97" spans="54:56" x14ac:dyDescent="0.25">
      <c r="BB97"/>
      <c r="BC97"/>
      <c r="BD97" s="225"/>
    </row>
    <row r="98" spans="54:56" x14ac:dyDescent="0.25">
      <c r="BB98"/>
      <c r="BC98"/>
      <c r="BD98" s="225"/>
    </row>
    <row r="99" spans="54:56" x14ac:dyDescent="0.25">
      <c r="BB99"/>
      <c r="BC99"/>
      <c r="BD99" s="225"/>
    </row>
    <row r="100" spans="54:56" x14ac:dyDescent="0.25">
      <c r="BB100"/>
      <c r="BC100"/>
      <c r="BD100" s="225"/>
    </row>
    <row r="101" spans="54:56" x14ac:dyDescent="0.25">
      <c r="BB101"/>
      <c r="BC101"/>
      <c r="BD101" s="225"/>
    </row>
    <row r="102" spans="54:56" x14ac:dyDescent="0.25">
      <c r="BB102"/>
      <c r="BC102"/>
      <c r="BD102" s="225"/>
    </row>
    <row r="103" spans="54:56" x14ac:dyDescent="0.25">
      <c r="BB103"/>
      <c r="BC103"/>
      <c r="BD103" s="225"/>
    </row>
    <row r="104" spans="54:56" x14ac:dyDescent="0.25">
      <c r="BB104"/>
      <c r="BC104"/>
      <c r="BD104" s="225"/>
    </row>
    <row r="105" spans="54:56" x14ac:dyDescent="0.25">
      <c r="BB105"/>
      <c r="BC105"/>
      <c r="BD105" s="225"/>
    </row>
    <row r="106" spans="54:56" x14ac:dyDescent="0.25">
      <c r="BB106"/>
      <c r="BC106"/>
      <c r="BD106" s="225"/>
    </row>
  </sheetData>
  <dataConsolidate/>
  <mergeCells count="8">
    <mergeCell ref="X5:Z5"/>
    <mergeCell ref="AU7:AV7"/>
    <mergeCell ref="U9:V9"/>
    <mergeCell ref="C7:D7"/>
    <mergeCell ref="U7:V7"/>
    <mergeCell ref="C9:D9"/>
    <mergeCell ref="AD7:AE7"/>
    <mergeCell ref="J5:P5"/>
  </mergeCells>
  <conditionalFormatting sqref="AD19:AE23 AD25:AE31 AU19:AV23 AU25:AV31 U19:V23 U25:V31 C19:D23 C25:D31">
    <cfRule type="expression" dxfId="472" priority="1340">
      <formula>OR($C19="Samedi",$C19="Dimanche")</formula>
    </cfRule>
  </conditionalFormatting>
  <conditionalFormatting sqref="AG19:AG23 AG28">
    <cfRule type="dataBar" priority="1341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{6B2F8EEC-23F6-4218-BD0A-F0BE19E2F1E7}</x14:id>
        </ext>
      </extLst>
    </cfRule>
  </conditionalFormatting>
  <conditionalFormatting sqref="AX19:AX23 AX25:AX31">
    <cfRule type="dataBar" priority="1332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{89182911-33E4-4AB7-803E-4C206B71843D}</x14:id>
        </ext>
      </extLst>
    </cfRule>
  </conditionalFormatting>
  <conditionalFormatting sqref="X19:X23 X25:X31">
    <cfRule type="dataBar" priority="1331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{B0822F1B-EC3E-4845-AB46-36B5F1514142}</x14:id>
        </ext>
      </extLst>
    </cfRule>
  </conditionalFormatting>
  <conditionalFormatting sqref="AI19:AI23 AI28">
    <cfRule type="dataBar" priority="1325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{00067CFE-8E0D-4F98-8D32-EC2DF3D7AB14}</x14:id>
        </ext>
      </extLst>
    </cfRule>
  </conditionalFormatting>
  <conditionalFormatting sqref="J28">
    <cfRule type="cellIs" dxfId="471" priority="1321" operator="greaterThan">
      <formula>1024</formula>
    </cfRule>
    <cfRule type="cellIs" dxfId="470" priority="1328" operator="between">
      <formula>1013</formula>
      <formula>1024</formula>
    </cfRule>
    <cfRule type="cellIs" dxfId="469" priority="1329" operator="between">
      <formula>1000</formula>
      <formula>1013</formula>
    </cfRule>
  </conditionalFormatting>
  <conditionalFormatting sqref="AK19:AQ23 AK28:AQ28">
    <cfRule type="cellIs" dxfId="468" priority="1326" operator="greaterThan">
      <formula>0</formula>
    </cfRule>
    <cfRule type="dataBar" priority="1330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{2ECAA2CF-B6AB-414B-8702-454F8C908BCF}</x14:id>
        </ext>
      </extLst>
    </cfRule>
  </conditionalFormatting>
  <conditionalFormatting sqref="J28">
    <cfRule type="cellIs" dxfId="467" priority="1338" operator="between">
      <formula>950</formula>
      <formula>973</formula>
    </cfRule>
    <cfRule type="cellIs" dxfId="466" priority="1339" operator="between">
      <formula>973</formula>
      <formula>1000</formula>
    </cfRule>
  </conditionalFormatting>
  <conditionalFormatting sqref="AU32:AV33 AD32:AE33 U32:V33 C32:D32">
    <cfRule type="expression" dxfId="465" priority="1276">
      <formula>OR($C32="Samedi",$C32="Dimanche")</formula>
    </cfRule>
  </conditionalFormatting>
  <conditionalFormatting sqref="AG32:AG33">
    <cfRule type="dataBar" priority="1277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{D578C665-33CA-41C1-A059-BE2B8D541D5D}</x14:id>
        </ext>
      </extLst>
    </cfRule>
  </conditionalFormatting>
  <conditionalFormatting sqref="AX32:AX33">
    <cfRule type="dataBar" priority="126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{2F88DAF2-CB4C-4E6C-8241-1CBE88FB0B12}</x14:id>
        </ext>
      </extLst>
    </cfRule>
  </conditionalFormatting>
  <conditionalFormatting sqref="X32:X33">
    <cfRule type="dataBar" priority="1267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{65F6F338-33FE-49FF-971F-89B6268DA93E}</x14:id>
        </ext>
      </extLst>
    </cfRule>
  </conditionalFormatting>
  <conditionalFormatting sqref="AI32:AI33">
    <cfRule type="dataBar" priority="1262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{E1E81538-D9B2-4977-8EDE-4161C904DD13}</x14:id>
        </ext>
      </extLst>
    </cfRule>
  </conditionalFormatting>
  <conditionalFormatting sqref="AK32:AQ33">
    <cfRule type="cellIs" dxfId="464" priority="1263" operator="greaterThan">
      <formula>0</formula>
    </cfRule>
    <cfRule type="dataBar" priority="1266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{9AE03AE5-2AA0-4B82-98EB-AE6C4F68FB59}</x14:id>
        </ext>
      </extLst>
    </cfRule>
  </conditionalFormatting>
  <conditionalFormatting sqref="C33:D33">
    <cfRule type="expression" dxfId="463" priority="1257">
      <formula>OR($C33="Samedi",$C33="Dimanche")</formula>
    </cfRule>
  </conditionalFormatting>
  <conditionalFormatting sqref="U34:V37 AU34:AV37 AD34:AE37 C34:D37 C39:D39 AD39:AE39 AU39:AV39 U39:V39">
    <cfRule type="expression" dxfId="462" priority="1255">
      <formula>OR($C34="Samedi",$C34="Dimanche")</formula>
    </cfRule>
  </conditionalFormatting>
  <conditionalFormatting sqref="AG34:AG37 AG39">
    <cfRule type="dataBar" priority="125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{B99CDE84-B3D7-415E-B39A-C14005CA3CB5}</x14:id>
        </ext>
      </extLst>
    </cfRule>
  </conditionalFormatting>
  <conditionalFormatting sqref="AX34:AX37 AX39">
    <cfRule type="dataBar" priority="124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{7704DC03-F13A-4CE0-82AE-92E33CA3EA71}</x14:id>
        </ext>
      </extLst>
    </cfRule>
  </conditionalFormatting>
  <conditionalFormatting sqref="X34:X37 X39">
    <cfRule type="dataBar" priority="1246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{B213D579-63C7-48C9-B132-B115B4D43DC8}</x14:id>
        </ext>
      </extLst>
    </cfRule>
  </conditionalFormatting>
  <conditionalFormatting sqref="AI34:AI37 AI39">
    <cfRule type="dataBar" priority="1241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{7187AA32-B8D9-4846-B15D-B71107CA49D5}</x14:id>
        </ext>
      </extLst>
    </cfRule>
  </conditionalFormatting>
  <conditionalFormatting sqref="AK34:AQ37 AK39:AQ39">
    <cfRule type="cellIs" dxfId="461" priority="1242" operator="greaterThan">
      <formula>0</formula>
    </cfRule>
    <cfRule type="dataBar" priority="1245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{3229F74E-3722-4DB3-B0BC-8020DD747FCE}</x14:id>
        </ext>
      </extLst>
    </cfRule>
  </conditionalFormatting>
  <conditionalFormatting sqref="U40:V41 AU40:AV41 AD40:AE41 C40:D41">
    <cfRule type="expression" dxfId="460" priority="1235">
      <formula>OR($C40="Samedi",$C40="Dimanche")</formula>
    </cfRule>
  </conditionalFormatting>
  <conditionalFormatting sqref="AG40:AG41">
    <cfRule type="dataBar" priority="123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{0E78788A-7B8C-4A81-AD78-CFE172ED0892}</x14:id>
        </ext>
      </extLst>
    </cfRule>
  </conditionalFormatting>
  <conditionalFormatting sqref="AX40:AX41">
    <cfRule type="dataBar" priority="122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{D045011F-62D4-4925-8D1D-D8E02EDD6253}</x14:id>
        </ext>
      </extLst>
    </cfRule>
  </conditionalFormatting>
  <conditionalFormatting sqref="X40:X41">
    <cfRule type="dataBar" priority="1226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{C09037C6-0EDD-45FC-8210-9E97FB4FF060}</x14:id>
        </ext>
      </extLst>
    </cfRule>
  </conditionalFormatting>
  <conditionalFormatting sqref="AI40:AI41">
    <cfRule type="dataBar" priority="1221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{5BCE79C6-FE78-4720-B1FF-93E222F734E7}</x14:id>
        </ext>
      </extLst>
    </cfRule>
  </conditionalFormatting>
  <conditionalFormatting sqref="AK40:AQ41">
    <cfRule type="cellIs" dxfId="459" priority="1222" operator="greaterThan">
      <formula>0</formula>
    </cfRule>
    <cfRule type="dataBar" priority="1225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{DFE06A84-0E2F-489D-B346-9BA2F798D7C6}</x14:id>
        </ext>
      </extLst>
    </cfRule>
  </conditionalFormatting>
  <conditionalFormatting sqref="U43:V43 AU43:AV43 AD43:AE43 C43:D43">
    <cfRule type="expression" dxfId="458" priority="1215">
      <formula>OR($C43="Samedi",$C43="Dimanche")</formula>
    </cfRule>
  </conditionalFormatting>
  <conditionalFormatting sqref="AG43">
    <cfRule type="dataBar" priority="12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{EC920855-1651-46AF-96DB-5F622D0F0D8B}</x14:id>
        </ext>
      </extLst>
    </cfRule>
  </conditionalFormatting>
  <conditionalFormatting sqref="AX43">
    <cfRule type="dataBar" priority="120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{D9E7E09A-A427-45D5-B5F7-330ACBFFCF03}</x14:id>
        </ext>
      </extLst>
    </cfRule>
  </conditionalFormatting>
  <conditionalFormatting sqref="X43">
    <cfRule type="dataBar" priority="1206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{A1620578-F8E1-4998-BD64-567845B7C706}</x14:id>
        </ext>
      </extLst>
    </cfRule>
  </conditionalFormatting>
  <conditionalFormatting sqref="AI43">
    <cfRule type="dataBar" priority="1201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{C41FF483-33C7-4175-97EE-D577D1582CAB}</x14:id>
        </ext>
      </extLst>
    </cfRule>
  </conditionalFormatting>
  <conditionalFormatting sqref="AK43:AL43 AN43:AQ43">
    <cfRule type="cellIs" dxfId="457" priority="1202" operator="greaterThan">
      <formula>0</formula>
    </cfRule>
    <cfRule type="dataBar" priority="1205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{E9A1510A-1747-4C3C-A9F8-DCB45B3D2733}</x14:id>
        </ext>
      </extLst>
    </cfRule>
  </conditionalFormatting>
  <conditionalFormatting sqref="U44:V45 AU44:AV45 AD44:AE45 C44:D45">
    <cfRule type="expression" dxfId="456" priority="1175">
      <formula>OR($C44="Samedi",$C44="Dimanche")</formula>
    </cfRule>
  </conditionalFormatting>
  <conditionalFormatting sqref="AG44:AG45">
    <cfRule type="dataBar" priority="117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{43CA2080-210C-49A9-884A-B9BADB69B238}</x14:id>
        </ext>
      </extLst>
    </cfRule>
  </conditionalFormatting>
  <conditionalFormatting sqref="AX44:AX45">
    <cfRule type="dataBar" priority="116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{13067C26-B6CC-4A4B-ADDD-1F5B7AC61B93}</x14:id>
        </ext>
      </extLst>
    </cfRule>
  </conditionalFormatting>
  <conditionalFormatting sqref="X44:X45">
    <cfRule type="dataBar" priority="1166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{286F53FF-E2B8-4F63-84FE-1405CCC0A9FB}</x14:id>
        </ext>
      </extLst>
    </cfRule>
  </conditionalFormatting>
  <conditionalFormatting sqref="AI44:AI45">
    <cfRule type="dataBar" priority="1161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{676F4CA4-4CF1-4B05-B9BE-C5D7E4064BE9}</x14:id>
        </ext>
      </extLst>
    </cfRule>
  </conditionalFormatting>
  <conditionalFormatting sqref="AK44:AQ45">
    <cfRule type="cellIs" dxfId="455" priority="1162" operator="greaterThan">
      <formula>0</formula>
    </cfRule>
    <cfRule type="dataBar" priority="1165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{839D3DE8-C867-450E-83F5-C961D1ED01B2}</x14:id>
        </ext>
      </extLst>
    </cfRule>
  </conditionalFormatting>
  <conditionalFormatting sqref="AU46:AV47 AD46:AE47 U46:V47 C46:D46">
    <cfRule type="expression" dxfId="454" priority="1155">
      <formula>OR($C46="Samedi",$C46="Dimanche")</formula>
    </cfRule>
  </conditionalFormatting>
  <conditionalFormatting sqref="AG46:AG47">
    <cfRule type="dataBar" priority="115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{5CD0750B-8466-459F-A56F-90C7C2E175DA}</x14:id>
        </ext>
      </extLst>
    </cfRule>
  </conditionalFormatting>
  <conditionalFormatting sqref="AX46:AX47">
    <cfRule type="dataBar" priority="114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{E0F1B09F-F8D0-4FD3-A7DF-779230DCFA6B}</x14:id>
        </ext>
      </extLst>
    </cfRule>
  </conditionalFormatting>
  <conditionalFormatting sqref="X46:X47">
    <cfRule type="dataBar" priority="1146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{00D57865-BB1A-4F92-AA72-3B5CC49D13B6}</x14:id>
        </ext>
      </extLst>
    </cfRule>
  </conditionalFormatting>
  <conditionalFormatting sqref="AI46:AI47">
    <cfRule type="dataBar" priority="1141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{169F4930-86B9-4DBC-B03E-7F9802D41CF6}</x14:id>
        </ext>
      </extLst>
    </cfRule>
  </conditionalFormatting>
  <conditionalFormatting sqref="AK46:AQ47">
    <cfRule type="cellIs" dxfId="453" priority="1142" operator="greaterThan">
      <formula>0</formula>
    </cfRule>
    <cfRule type="dataBar" priority="1145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{92BC5E08-DE8A-449B-81B8-CA8585F7CA95}</x14:id>
        </ext>
      </extLst>
    </cfRule>
  </conditionalFormatting>
  <conditionalFormatting sqref="C47:D47">
    <cfRule type="expression" dxfId="452" priority="1136">
      <formula>OR($C47="Samedi",$C47="Dimanche")</formula>
    </cfRule>
  </conditionalFormatting>
  <conditionalFormatting sqref="U48:V49 AU48:AV49 AD48:AE49 C48:D49">
    <cfRule type="expression" dxfId="451" priority="1134">
      <formula>OR($C48="Samedi",$C48="Dimanche")</formula>
    </cfRule>
  </conditionalFormatting>
  <conditionalFormatting sqref="AG48:AG49">
    <cfRule type="dataBar" priority="1135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{DEE48018-7BD3-4CBD-86A2-812812D34AAC}</x14:id>
        </ext>
      </extLst>
    </cfRule>
  </conditionalFormatting>
  <conditionalFormatting sqref="AX48:AX49">
    <cfRule type="dataBar" priority="1126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{B9CE2BD1-AC86-4075-A052-BE84BF3EEF30}</x14:id>
        </ext>
      </extLst>
    </cfRule>
  </conditionalFormatting>
  <conditionalFormatting sqref="X48:X49">
    <cfRule type="dataBar" priority="1125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{35226ACF-11DB-4107-993F-F090FC1C218A}</x14:id>
        </ext>
      </extLst>
    </cfRule>
  </conditionalFormatting>
  <conditionalFormatting sqref="AI48:AI49">
    <cfRule type="dataBar" priority="1120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{7D4F09B9-0D27-4EDC-8A7F-07AFF51409E6}</x14:id>
        </ext>
      </extLst>
    </cfRule>
  </conditionalFormatting>
  <conditionalFormatting sqref="AK48:AQ49">
    <cfRule type="cellIs" dxfId="450" priority="1121" operator="greaterThan">
      <formula>0</formula>
    </cfRule>
    <cfRule type="dataBar" priority="1124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{8771F246-ADB7-4EC2-99BF-034769B659ED}</x14:id>
        </ext>
      </extLst>
    </cfRule>
  </conditionalFormatting>
  <conditionalFormatting sqref="J25:J27 J19:J23 N19:N23 F19:F23">
    <cfRule type="cellIs" dxfId="449" priority="1042" operator="between">
      <formula>0.1</formula>
      <formula>26.9</formula>
    </cfRule>
    <cfRule type="cellIs" dxfId="448" priority="1043" operator="greaterThan">
      <formula>27</formula>
    </cfRule>
    <cfRule type="cellIs" dxfId="447" priority="1044" operator="lessThan">
      <formula>0</formula>
    </cfRule>
    <cfRule type="cellIs" dxfId="446" priority="1045" operator="between">
      <formula>0.1</formula>
      <formula>26.9</formula>
    </cfRule>
  </conditionalFormatting>
  <conditionalFormatting sqref="J30">
    <cfRule type="cellIs" dxfId="445" priority="1033" operator="greaterThan">
      <formula>1024</formula>
    </cfRule>
    <cfRule type="cellIs" dxfId="444" priority="1034" operator="between">
      <formula>1013</formula>
      <formula>1024</formula>
    </cfRule>
    <cfRule type="cellIs" dxfId="443" priority="1035" operator="between">
      <formula>1000</formula>
      <formula>1013</formula>
    </cfRule>
  </conditionalFormatting>
  <conditionalFormatting sqref="J30">
    <cfRule type="cellIs" dxfId="442" priority="1036" operator="between">
      <formula>950</formula>
      <formula>973</formula>
    </cfRule>
    <cfRule type="cellIs" dxfId="441" priority="1037" operator="between">
      <formula>973</formula>
      <formula>1000</formula>
    </cfRule>
  </conditionalFormatting>
  <conditionalFormatting sqref="J31:J37 J39:J41">
    <cfRule type="cellIs" dxfId="440" priority="1029" operator="between">
      <formula>0.1</formula>
      <formula>26.9</formula>
    </cfRule>
    <cfRule type="cellIs" dxfId="439" priority="1030" operator="greaterThan">
      <formula>27</formula>
    </cfRule>
    <cfRule type="cellIs" dxfId="438" priority="1031" operator="lessThan">
      <formula>0</formula>
    </cfRule>
    <cfRule type="cellIs" dxfId="437" priority="1032" operator="between">
      <formula>0.1</formula>
      <formula>26.9</formula>
    </cfRule>
  </conditionalFormatting>
  <conditionalFormatting sqref="J29">
    <cfRule type="cellIs" dxfId="436" priority="1025" operator="between">
      <formula>0.1</formula>
      <formula>26.9</formula>
    </cfRule>
    <cfRule type="cellIs" dxfId="435" priority="1026" operator="greaterThan">
      <formula>27</formula>
    </cfRule>
    <cfRule type="cellIs" dxfId="434" priority="1027" operator="lessThan">
      <formula>0</formula>
    </cfRule>
    <cfRule type="cellIs" dxfId="433" priority="1028" operator="between">
      <formula>0.1</formula>
      <formula>26.9</formula>
    </cfRule>
  </conditionalFormatting>
  <conditionalFormatting sqref="J43:J49">
    <cfRule type="cellIs" dxfId="432" priority="1021" operator="between">
      <formula>0.1</formula>
      <formula>26.9</formula>
    </cfRule>
    <cfRule type="cellIs" dxfId="431" priority="1022" operator="greaterThan">
      <formula>27</formula>
    </cfRule>
    <cfRule type="cellIs" dxfId="430" priority="1023" operator="lessThan">
      <formula>0</formula>
    </cfRule>
    <cfRule type="cellIs" dxfId="429" priority="1024" operator="between">
      <formula>0.1</formula>
      <formula>26.9</formula>
    </cfRule>
  </conditionalFormatting>
  <conditionalFormatting sqref="N28">
    <cfRule type="cellIs" dxfId="428" priority="1016" operator="greaterThan">
      <formula>1024</formula>
    </cfRule>
    <cfRule type="cellIs" dxfId="427" priority="1017" operator="between">
      <formula>1013</formula>
      <formula>1024</formula>
    </cfRule>
    <cfRule type="cellIs" dxfId="426" priority="1018" operator="between">
      <formula>1000</formula>
      <formula>1013</formula>
    </cfRule>
  </conditionalFormatting>
  <conditionalFormatting sqref="N28">
    <cfRule type="cellIs" dxfId="425" priority="1019" operator="between">
      <formula>950</formula>
      <formula>973</formula>
    </cfRule>
    <cfRule type="cellIs" dxfId="424" priority="1020" operator="between">
      <formula>973</formula>
      <formula>1000</formula>
    </cfRule>
  </conditionalFormatting>
  <conditionalFormatting sqref="N25:N27">
    <cfRule type="cellIs" dxfId="423" priority="990" operator="between">
      <formula>0.1</formula>
      <formula>26.9</formula>
    </cfRule>
    <cfRule type="cellIs" dxfId="422" priority="991" operator="greaterThan">
      <formula>27</formula>
    </cfRule>
    <cfRule type="cellIs" dxfId="421" priority="992" operator="lessThan">
      <formula>0</formula>
    </cfRule>
    <cfRule type="cellIs" dxfId="420" priority="993" operator="between">
      <formula>0.1</formula>
      <formula>26.9</formula>
    </cfRule>
  </conditionalFormatting>
  <conditionalFormatting sqref="N30">
    <cfRule type="cellIs" dxfId="419" priority="981" operator="greaterThan">
      <formula>1024</formula>
    </cfRule>
    <cfRule type="cellIs" dxfId="418" priority="982" operator="between">
      <formula>1013</formula>
      <formula>1024</formula>
    </cfRule>
    <cfRule type="cellIs" dxfId="417" priority="983" operator="between">
      <formula>1000</formula>
      <formula>1013</formula>
    </cfRule>
  </conditionalFormatting>
  <conditionalFormatting sqref="N30">
    <cfRule type="cellIs" dxfId="416" priority="984" operator="between">
      <formula>950</formula>
      <formula>973</formula>
    </cfRule>
    <cfRule type="cellIs" dxfId="415" priority="985" operator="between">
      <formula>973</formula>
      <formula>1000</formula>
    </cfRule>
  </conditionalFormatting>
  <conditionalFormatting sqref="N31:N37 N39:N41">
    <cfRule type="cellIs" dxfId="414" priority="977" operator="between">
      <formula>0.1</formula>
      <formula>26.9</formula>
    </cfRule>
    <cfRule type="cellIs" dxfId="413" priority="978" operator="greaterThan">
      <formula>27</formula>
    </cfRule>
    <cfRule type="cellIs" dxfId="412" priority="979" operator="lessThan">
      <formula>0</formula>
    </cfRule>
    <cfRule type="cellIs" dxfId="411" priority="980" operator="between">
      <formula>0.1</formula>
      <formula>26.9</formula>
    </cfRule>
  </conditionalFormatting>
  <conditionalFormatting sqref="N29">
    <cfRule type="cellIs" dxfId="410" priority="973" operator="between">
      <formula>0.1</formula>
      <formula>26.9</formula>
    </cfRule>
    <cfRule type="cellIs" dxfId="409" priority="974" operator="greaterThan">
      <formula>27</formula>
    </cfRule>
    <cfRule type="cellIs" dxfId="408" priority="975" operator="lessThan">
      <formula>0</formula>
    </cfRule>
    <cfRule type="cellIs" dxfId="407" priority="976" operator="between">
      <formula>0.1</formula>
      <formula>26.9</formula>
    </cfRule>
  </conditionalFormatting>
  <conditionalFormatting sqref="N43:N49">
    <cfRule type="cellIs" dxfId="406" priority="969" operator="between">
      <formula>0.1</formula>
      <formula>26.9</formula>
    </cfRule>
    <cfRule type="cellIs" dxfId="405" priority="970" operator="greaterThan">
      <formula>27</formula>
    </cfRule>
    <cfRule type="cellIs" dxfId="404" priority="971" operator="lessThan">
      <formula>0</formula>
    </cfRule>
    <cfRule type="cellIs" dxfId="403" priority="972" operator="between">
      <formula>0.1</formula>
      <formula>26.9</formula>
    </cfRule>
  </conditionalFormatting>
  <conditionalFormatting sqref="F28">
    <cfRule type="cellIs" dxfId="402" priority="964" operator="greaterThan">
      <formula>1024</formula>
    </cfRule>
    <cfRule type="cellIs" dxfId="401" priority="965" operator="between">
      <formula>1013</formula>
      <formula>1024</formula>
    </cfRule>
    <cfRule type="cellIs" dxfId="400" priority="966" operator="between">
      <formula>1000</formula>
      <formula>1013</formula>
    </cfRule>
  </conditionalFormatting>
  <conditionalFormatting sqref="F28">
    <cfRule type="cellIs" dxfId="399" priority="967" operator="between">
      <formula>950</formula>
      <formula>973</formula>
    </cfRule>
    <cfRule type="cellIs" dxfId="398" priority="968" operator="between">
      <formula>973</formula>
      <formula>1000</formula>
    </cfRule>
  </conditionalFormatting>
  <conditionalFormatting sqref="F25:F27">
    <cfRule type="cellIs" dxfId="397" priority="938" operator="between">
      <formula>0.1</formula>
      <formula>26.9</formula>
    </cfRule>
    <cfRule type="cellIs" dxfId="396" priority="939" operator="greaterThan">
      <formula>27</formula>
    </cfRule>
    <cfRule type="cellIs" dxfId="395" priority="940" operator="lessThan">
      <formula>0</formula>
    </cfRule>
    <cfRule type="cellIs" dxfId="394" priority="941" operator="between">
      <formula>0.1</formula>
      <formula>26.9</formula>
    </cfRule>
  </conditionalFormatting>
  <conditionalFormatting sqref="F30">
    <cfRule type="cellIs" dxfId="393" priority="929" operator="greaterThan">
      <formula>1024</formula>
    </cfRule>
    <cfRule type="cellIs" dxfId="392" priority="930" operator="between">
      <formula>1013</formula>
      <formula>1024</formula>
    </cfRule>
    <cfRule type="cellIs" dxfId="391" priority="931" operator="between">
      <formula>1000</formula>
      <formula>1013</formula>
    </cfRule>
  </conditionalFormatting>
  <conditionalFormatting sqref="F30">
    <cfRule type="cellIs" dxfId="390" priority="932" operator="between">
      <formula>950</formula>
      <formula>973</formula>
    </cfRule>
    <cfRule type="cellIs" dxfId="389" priority="933" operator="between">
      <formula>973</formula>
      <formula>1000</formula>
    </cfRule>
  </conditionalFormatting>
  <conditionalFormatting sqref="F31:F37 F39:F41">
    <cfRule type="cellIs" dxfId="388" priority="925" operator="between">
      <formula>0.1</formula>
      <formula>26.9</formula>
    </cfRule>
    <cfRule type="cellIs" dxfId="387" priority="926" operator="greaterThan">
      <formula>27</formula>
    </cfRule>
    <cfRule type="cellIs" dxfId="386" priority="927" operator="lessThan">
      <formula>0</formula>
    </cfRule>
    <cfRule type="cellIs" dxfId="385" priority="928" operator="between">
      <formula>0.1</formula>
      <formula>26.9</formula>
    </cfRule>
  </conditionalFormatting>
  <conditionalFormatting sqref="F29">
    <cfRule type="cellIs" dxfId="384" priority="921" operator="between">
      <formula>0.1</formula>
      <formula>26.9</formula>
    </cfRule>
    <cfRule type="cellIs" dxfId="383" priority="922" operator="greaterThan">
      <formula>27</formula>
    </cfRule>
    <cfRule type="cellIs" dxfId="382" priority="923" operator="lessThan">
      <formula>0</formula>
    </cfRule>
    <cfRule type="cellIs" dxfId="381" priority="924" operator="between">
      <formula>0.1</formula>
      <formula>26.9</formula>
    </cfRule>
  </conditionalFormatting>
  <conditionalFormatting sqref="F43:F49">
    <cfRule type="cellIs" dxfId="380" priority="917" operator="between">
      <formula>0.1</formula>
      <formula>26.9</formula>
    </cfRule>
    <cfRule type="cellIs" dxfId="379" priority="918" operator="greaterThan">
      <formula>27</formula>
    </cfRule>
    <cfRule type="cellIs" dxfId="378" priority="919" operator="lessThan">
      <formula>0</formula>
    </cfRule>
    <cfRule type="cellIs" dxfId="377" priority="920" operator="between">
      <formula>0.1</formula>
      <formula>26.9</formula>
    </cfRule>
  </conditionalFormatting>
  <conditionalFormatting sqref="AU50:AV51 AD50:AE51 U50:V51 C50:D50">
    <cfRule type="expression" dxfId="376" priority="915">
      <formula>OR($C50="Samedi",$C50="Dimanche")</formula>
    </cfRule>
  </conditionalFormatting>
  <conditionalFormatting sqref="AG50:AG51">
    <cfRule type="dataBar" priority="9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{2DDE3B1C-AD6E-4817-84BB-2306FEA2B429}</x14:id>
        </ext>
      </extLst>
    </cfRule>
  </conditionalFormatting>
  <conditionalFormatting sqref="AX50:AX51">
    <cfRule type="dataBar" priority="914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{93AAF58F-EF95-48B4-8C50-978AAEEB5EEC}</x14:id>
        </ext>
      </extLst>
    </cfRule>
  </conditionalFormatting>
  <conditionalFormatting sqref="X50:X51">
    <cfRule type="dataBar" priority="913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{29AF829D-31D4-44D2-9957-72FB12137A73}</x14:id>
        </ext>
      </extLst>
    </cfRule>
  </conditionalFormatting>
  <conditionalFormatting sqref="AI50:AI51">
    <cfRule type="dataBar" priority="910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{BBD4B79D-CCAE-456E-B65A-5AE2FD75741A}</x14:id>
        </ext>
      </extLst>
    </cfRule>
  </conditionalFormatting>
  <conditionalFormatting sqref="AK50:AQ51">
    <cfRule type="cellIs" dxfId="375" priority="911" operator="greaterThan">
      <formula>0</formula>
    </cfRule>
    <cfRule type="dataBar" priority="912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{AEA124A5-D420-4F86-A76F-BB88C3ED26AD}</x14:id>
        </ext>
      </extLst>
    </cfRule>
  </conditionalFormatting>
  <conditionalFormatting sqref="C51:D51">
    <cfRule type="expression" dxfId="374" priority="909">
      <formula>OR($C51="Samedi",$C51="Dimanche")</formula>
    </cfRule>
  </conditionalFormatting>
  <conditionalFormatting sqref="U53:V53 AU53:AV53 AD53:AE53 C53:D53">
    <cfRule type="expression" dxfId="373" priority="907">
      <formula>OR($C53="Samedi",$C53="Dimanche")</formula>
    </cfRule>
  </conditionalFormatting>
  <conditionalFormatting sqref="AG53">
    <cfRule type="dataBar" priority="90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{94843EA4-8CFD-4910-AB91-618AD0FAE9ED}</x14:id>
        </ext>
      </extLst>
    </cfRule>
  </conditionalFormatting>
  <conditionalFormatting sqref="AX53">
    <cfRule type="dataBar" priority="906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{D0F1E9BB-5227-45C7-BBCC-F4519EAA9CBB}</x14:id>
        </ext>
      </extLst>
    </cfRule>
  </conditionalFormatting>
  <conditionalFormatting sqref="X53">
    <cfRule type="dataBar" priority="905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{CA265369-3C5B-411D-B4A1-5BD7DFF46FA6}</x14:id>
        </ext>
      </extLst>
    </cfRule>
  </conditionalFormatting>
  <conditionalFormatting sqref="AI53">
    <cfRule type="dataBar" priority="902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{A4F9FBE6-9D49-4919-9C78-D0CA063FB4DD}</x14:id>
        </ext>
      </extLst>
    </cfRule>
  </conditionalFormatting>
  <conditionalFormatting sqref="AK53:AQ53">
    <cfRule type="cellIs" dxfId="372" priority="903" operator="greaterThan">
      <formula>0</formula>
    </cfRule>
    <cfRule type="dataBar" priority="904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{F673DBC9-489E-40C6-9BA5-C29C5C1A088E}</x14:id>
        </ext>
      </extLst>
    </cfRule>
  </conditionalFormatting>
  <conditionalFormatting sqref="J50:J51 J53">
    <cfRule type="cellIs" dxfId="371" priority="898" operator="between">
      <formula>0.1</formula>
      <formula>26.9</formula>
    </cfRule>
    <cfRule type="cellIs" dxfId="370" priority="899" operator="greaterThan">
      <formula>27</formula>
    </cfRule>
    <cfRule type="cellIs" dxfId="369" priority="900" operator="lessThan">
      <formula>0</formula>
    </cfRule>
    <cfRule type="cellIs" dxfId="368" priority="901" operator="between">
      <formula>0.1</formula>
      <formula>26.9</formula>
    </cfRule>
  </conditionalFormatting>
  <conditionalFormatting sqref="N50:N51 N53">
    <cfRule type="cellIs" dxfId="367" priority="894" operator="between">
      <formula>0.1</formula>
      <formula>26.9</formula>
    </cfRule>
    <cfRule type="cellIs" dxfId="366" priority="895" operator="greaterThan">
      <formula>27</formula>
    </cfRule>
    <cfRule type="cellIs" dxfId="365" priority="896" operator="lessThan">
      <formula>0</formula>
    </cfRule>
    <cfRule type="cellIs" dxfId="364" priority="897" operator="between">
      <formula>0.1</formula>
      <formula>26.9</formula>
    </cfRule>
  </conditionalFormatting>
  <conditionalFormatting sqref="F50:F51 F53">
    <cfRule type="cellIs" dxfId="363" priority="890" operator="between">
      <formula>0.1</formula>
      <formula>26.9</formula>
    </cfRule>
    <cfRule type="cellIs" dxfId="362" priority="891" operator="greaterThan">
      <formula>27</formula>
    </cfRule>
    <cfRule type="cellIs" dxfId="361" priority="892" operator="lessThan">
      <formula>0</formula>
    </cfRule>
    <cfRule type="cellIs" dxfId="360" priority="893" operator="between">
      <formula>0.1</formula>
      <formula>26.9</formula>
    </cfRule>
  </conditionalFormatting>
  <conditionalFormatting sqref="U54:V55 AU54:AV55 AD54:AE55 C54:D55">
    <cfRule type="expression" dxfId="359" priority="888">
      <formula>OR($C54="Samedi",$C54="Dimanche")</formula>
    </cfRule>
  </conditionalFormatting>
  <conditionalFormatting sqref="AG54:AG55">
    <cfRule type="dataBar" priority="889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{D6DC7482-1901-4304-B057-8589682D3722}</x14:id>
        </ext>
      </extLst>
    </cfRule>
  </conditionalFormatting>
  <conditionalFormatting sqref="AX54:AX55">
    <cfRule type="dataBar" priority="88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{017B059A-75B6-4F39-9910-E2EF09564890}</x14:id>
        </ext>
      </extLst>
    </cfRule>
  </conditionalFormatting>
  <conditionalFormatting sqref="X54:X55">
    <cfRule type="dataBar" priority="886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{31391341-49ED-453A-B551-3A6026E1630D}</x14:id>
        </ext>
      </extLst>
    </cfRule>
  </conditionalFormatting>
  <conditionalFormatting sqref="AI54:AI55">
    <cfRule type="dataBar" priority="883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{E832B1D4-F31D-4892-A6A8-A6690F3AADCC}</x14:id>
        </ext>
      </extLst>
    </cfRule>
  </conditionalFormatting>
  <conditionalFormatting sqref="AK54:AQ55">
    <cfRule type="cellIs" dxfId="358" priority="884" operator="greaterThan">
      <formula>0</formula>
    </cfRule>
    <cfRule type="dataBar" priority="885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{3F208161-64C7-45A0-A244-25B9265F8614}</x14:id>
        </ext>
      </extLst>
    </cfRule>
  </conditionalFormatting>
  <conditionalFormatting sqref="J54:J55">
    <cfRule type="cellIs" dxfId="357" priority="879" operator="between">
      <formula>0.1</formula>
      <formula>26.9</formula>
    </cfRule>
    <cfRule type="cellIs" dxfId="356" priority="880" operator="greaterThan">
      <formula>27</formula>
    </cfRule>
    <cfRule type="cellIs" dxfId="355" priority="881" operator="lessThan">
      <formula>0</formula>
    </cfRule>
    <cfRule type="cellIs" dxfId="354" priority="882" operator="between">
      <formula>0.1</formula>
      <formula>26.9</formula>
    </cfRule>
  </conditionalFormatting>
  <conditionalFormatting sqref="N54:N55">
    <cfRule type="cellIs" dxfId="353" priority="875" operator="between">
      <formula>0.1</formula>
      <formula>26.9</formula>
    </cfRule>
    <cfRule type="cellIs" dxfId="352" priority="876" operator="greaterThan">
      <formula>27</formula>
    </cfRule>
    <cfRule type="cellIs" dxfId="351" priority="877" operator="lessThan">
      <formula>0</formula>
    </cfRule>
    <cfRule type="cellIs" dxfId="350" priority="878" operator="between">
      <formula>0.1</formula>
      <formula>26.9</formula>
    </cfRule>
  </conditionalFormatting>
  <conditionalFormatting sqref="F54:F55">
    <cfRule type="cellIs" dxfId="349" priority="871" operator="between">
      <formula>0.1</formula>
      <formula>26.9</formula>
    </cfRule>
    <cfRule type="cellIs" dxfId="348" priority="872" operator="greaterThan">
      <formula>27</formula>
    </cfRule>
    <cfRule type="cellIs" dxfId="347" priority="873" operator="lessThan">
      <formula>0</formula>
    </cfRule>
    <cfRule type="cellIs" dxfId="346" priority="874" operator="between">
      <formula>0.1</formula>
      <formula>26.9</formula>
    </cfRule>
  </conditionalFormatting>
  <conditionalFormatting sqref="U57:V57 AU57:AV57 AD57:AE57 C57:D57">
    <cfRule type="expression" dxfId="345" priority="869">
      <formula>OR($C57="Samedi",$C57="Dimanche")</formula>
    </cfRule>
  </conditionalFormatting>
  <conditionalFormatting sqref="AG57">
    <cfRule type="dataBar" priority="870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{75516D27-E261-43A2-94E0-F9077FCC1824}</x14:id>
        </ext>
      </extLst>
    </cfRule>
  </conditionalFormatting>
  <conditionalFormatting sqref="AX57">
    <cfRule type="dataBar" priority="86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{C5C9BDDD-EFF8-4B0C-8BF3-AD4F303555AA}</x14:id>
        </ext>
      </extLst>
    </cfRule>
  </conditionalFormatting>
  <conditionalFormatting sqref="X57">
    <cfRule type="dataBar" priority="867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{D7440FD9-04C8-46DE-ABFE-8D2388E10CF0}</x14:id>
        </ext>
      </extLst>
    </cfRule>
  </conditionalFormatting>
  <conditionalFormatting sqref="AI57">
    <cfRule type="dataBar" priority="864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{8AE91FC0-1413-4F8E-AA2E-3793F23C6013}</x14:id>
        </ext>
      </extLst>
    </cfRule>
  </conditionalFormatting>
  <conditionalFormatting sqref="AK57:AQ57">
    <cfRule type="cellIs" dxfId="344" priority="865" operator="greaterThan">
      <formula>0</formula>
    </cfRule>
    <cfRule type="dataBar" priority="866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{898E8EFC-B906-465E-8185-CA9E9E35C485}</x14:id>
        </ext>
      </extLst>
    </cfRule>
  </conditionalFormatting>
  <conditionalFormatting sqref="U62:V62 AU62:AV62 AD62:AE62 C62:D62 C69:D69 AD69:AE69 AU69:AV69 U69:V69">
    <cfRule type="expression" dxfId="343" priority="850">
      <formula>OR($C62="Samedi",$C62="Dimanche")</formula>
    </cfRule>
  </conditionalFormatting>
  <conditionalFormatting sqref="AG62 AG69">
    <cfRule type="dataBar" priority="851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{6BE5C9DA-265E-45AF-97EC-4711D4951550}</x14:id>
        </ext>
      </extLst>
    </cfRule>
  </conditionalFormatting>
  <conditionalFormatting sqref="AX62 AX69">
    <cfRule type="dataBar" priority="84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{6E93AC27-FB22-4446-844C-314EEBAE71D0}</x14:id>
        </ext>
      </extLst>
    </cfRule>
  </conditionalFormatting>
  <conditionalFormatting sqref="X62 X69">
    <cfRule type="dataBar" priority="848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{992CDC53-3CE4-429E-8695-9F413316113D}</x14:id>
        </ext>
      </extLst>
    </cfRule>
  </conditionalFormatting>
  <conditionalFormatting sqref="AI62 AI69">
    <cfRule type="dataBar" priority="845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{77DBEC42-7EDD-41F3-BE2C-8E142138447D}</x14:id>
        </ext>
      </extLst>
    </cfRule>
  </conditionalFormatting>
  <conditionalFormatting sqref="AK62:AQ62 AK69:AQ69">
    <cfRule type="cellIs" dxfId="342" priority="846" operator="greaterThan">
      <formula>0</formula>
    </cfRule>
    <cfRule type="dataBar" priority="847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{29FC872D-AE66-4CF0-9CFE-E2D40FB70CB0}</x14:id>
        </ext>
      </extLst>
    </cfRule>
  </conditionalFormatting>
  <conditionalFormatting sqref="J57 J62 J69">
    <cfRule type="cellIs" dxfId="341" priority="841" operator="between">
      <formula>0.1</formula>
      <formula>26.9</formula>
    </cfRule>
    <cfRule type="cellIs" dxfId="340" priority="842" operator="greaterThan">
      <formula>27</formula>
    </cfRule>
    <cfRule type="cellIs" dxfId="339" priority="843" operator="lessThan">
      <formula>0</formula>
    </cfRule>
    <cfRule type="cellIs" dxfId="338" priority="844" operator="between">
      <formula>0.1</formula>
      <formula>26.9</formula>
    </cfRule>
  </conditionalFormatting>
  <conditionalFormatting sqref="N57 N62 N69">
    <cfRule type="cellIs" dxfId="337" priority="832" operator="between">
      <formula>0.1</formula>
      <formula>26.9</formula>
    </cfRule>
    <cfRule type="cellIs" dxfId="336" priority="833" operator="greaterThan">
      <formula>27</formula>
    </cfRule>
    <cfRule type="cellIs" dxfId="335" priority="834" operator="lessThan">
      <formula>0</formula>
    </cfRule>
    <cfRule type="cellIs" dxfId="334" priority="835" operator="between">
      <formula>0.1</formula>
      <formula>26.9</formula>
    </cfRule>
  </conditionalFormatting>
  <conditionalFormatting sqref="F57 F62 F69">
    <cfRule type="cellIs" dxfId="333" priority="823" operator="between">
      <formula>0.1</formula>
      <formula>26.9</formula>
    </cfRule>
    <cfRule type="cellIs" dxfId="332" priority="824" operator="greaterThan">
      <formula>27</formula>
    </cfRule>
    <cfRule type="cellIs" dxfId="331" priority="825" operator="lessThan">
      <formula>0</formula>
    </cfRule>
    <cfRule type="cellIs" dxfId="330" priority="826" operator="between">
      <formula>0.1</formula>
      <formula>26.9</formula>
    </cfRule>
  </conditionalFormatting>
  <conditionalFormatting sqref="AG25:AG27">
    <cfRule type="dataBar" priority="8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{2679A696-AC8A-4FF7-BDFE-0C826C762736}</x14:id>
        </ext>
      </extLst>
    </cfRule>
  </conditionalFormatting>
  <conditionalFormatting sqref="AI25:AI27">
    <cfRule type="dataBar" priority="815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{EF4672B8-4B45-471C-AF76-9CD02DD8A78D}</x14:id>
        </ext>
      </extLst>
    </cfRule>
  </conditionalFormatting>
  <conditionalFormatting sqref="AK25:AQ27">
    <cfRule type="cellIs" dxfId="329" priority="816" operator="greaterThan">
      <formula>0</formula>
    </cfRule>
    <cfRule type="dataBar" priority="817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{F15D31C3-B207-456A-885D-E895244FBD64}</x14:id>
        </ext>
      </extLst>
    </cfRule>
  </conditionalFormatting>
  <conditionalFormatting sqref="AG29:AG31">
    <cfRule type="dataBar" priority="81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{C076CBB5-5ADC-47A5-A76F-593C40E8198E}</x14:id>
        </ext>
      </extLst>
    </cfRule>
  </conditionalFormatting>
  <conditionalFormatting sqref="AI29:AI31">
    <cfRule type="dataBar" priority="811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{2FDF1734-D1D9-45EF-BFE1-57237B8EC085}</x14:id>
        </ext>
      </extLst>
    </cfRule>
  </conditionalFormatting>
  <conditionalFormatting sqref="AK29:AQ31">
    <cfRule type="cellIs" dxfId="328" priority="812" operator="greaterThan">
      <formula>0</formula>
    </cfRule>
    <cfRule type="dataBar" priority="813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{3B999454-F128-4D75-8C59-481DC3455ABD}</x14:id>
        </ext>
      </extLst>
    </cfRule>
  </conditionalFormatting>
  <conditionalFormatting sqref="U38:V38 AU38:AV38 AD38:AE38 C38:D38">
    <cfRule type="expression" dxfId="327" priority="765">
      <formula>OR($C38="Samedi",$C38="Dimanche")</formula>
    </cfRule>
  </conditionalFormatting>
  <conditionalFormatting sqref="AG38">
    <cfRule type="dataBar" priority="76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{A6651B11-BBE3-47EB-9ED4-7ACA92E29FC0}</x14:id>
        </ext>
      </extLst>
    </cfRule>
  </conditionalFormatting>
  <conditionalFormatting sqref="AX38">
    <cfRule type="dataBar" priority="762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{9C324CB0-F540-4AB4-B808-B99A93D8B1F2}</x14:id>
        </ext>
      </extLst>
    </cfRule>
  </conditionalFormatting>
  <conditionalFormatting sqref="X38">
    <cfRule type="dataBar" priority="761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{2AAFCF1C-CA37-4364-BEAF-07E15B3C9481}</x14:id>
        </ext>
      </extLst>
    </cfRule>
  </conditionalFormatting>
  <conditionalFormatting sqref="AI38">
    <cfRule type="dataBar" priority="756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{EFF0E8E4-C419-4143-BDE1-6C934B887D88}</x14:id>
        </ext>
      </extLst>
    </cfRule>
  </conditionalFormatting>
  <conditionalFormatting sqref="J38">
    <cfRule type="cellIs" dxfId="326" priority="755" operator="greaterThan">
      <formula>1024</formula>
    </cfRule>
    <cfRule type="cellIs" dxfId="325" priority="758" operator="between">
      <formula>1013</formula>
      <formula>1024</formula>
    </cfRule>
    <cfRule type="cellIs" dxfId="324" priority="759" operator="between">
      <formula>1000</formula>
      <formula>1013</formula>
    </cfRule>
  </conditionalFormatting>
  <conditionalFormatting sqref="AK38:AQ38">
    <cfRule type="cellIs" dxfId="323" priority="757" operator="greaterThan">
      <formula>0</formula>
    </cfRule>
    <cfRule type="dataBar" priority="760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{8C55B8DF-BA44-43A9-9C68-45EE499A2A6A}</x14:id>
        </ext>
      </extLst>
    </cfRule>
  </conditionalFormatting>
  <conditionalFormatting sqref="J38">
    <cfRule type="cellIs" dxfId="322" priority="763" operator="between">
      <formula>950</formula>
      <formula>973</formula>
    </cfRule>
    <cfRule type="cellIs" dxfId="321" priority="764" operator="between">
      <formula>973</formula>
      <formula>1000</formula>
    </cfRule>
  </conditionalFormatting>
  <conditionalFormatting sqref="N38">
    <cfRule type="cellIs" dxfId="320" priority="750" operator="greaterThan">
      <formula>1024</formula>
    </cfRule>
    <cfRule type="cellIs" dxfId="319" priority="751" operator="between">
      <formula>1013</formula>
      <formula>1024</formula>
    </cfRule>
    <cfRule type="cellIs" dxfId="318" priority="752" operator="between">
      <formula>1000</formula>
      <formula>1013</formula>
    </cfRule>
  </conditionalFormatting>
  <conditionalFormatting sqref="N38">
    <cfRule type="cellIs" dxfId="317" priority="753" operator="between">
      <formula>950</formula>
      <formula>973</formula>
    </cfRule>
    <cfRule type="cellIs" dxfId="316" priority="754" operator="between">
      <formula>973</formula>
      <formula>1000</formula>
    </cfRule>
  </conditionalFormatting>
  <conditionalFormatting sqref="F38">
    <cfRule type="cellIs" dxfId="315" priority="745" operator="greaterThan">
      <formula>1024</formula>
    </cfRule>
    <cfRule type="cellIs" dxfId="314" priority="746" operator="between">
      <formula>1013</formula>
      <formula>1024</formula>
    </cfRule>
    <cfRule type="cellIs" dxfId="313" priority="747" operator="between">
      <formula>1000</formula>
      <formula>1013</formula>
    </cfRule>
  </conditionalFormatting>
  <conditionalFormatting sqref="F38">
    <cfRule type="cellIs" dxfId="312" priority="748" operator="between">
      <formula>950</formula>
      <formula>973</formula>
    </cfRule>
    <cfRule type="cellIs" dxfId="311" priority="749" operator="between">
      <formula>973</formula>
      <formula>1000</formula>
    </cfRule>
  </conditionalFormatting>
  <conditionalFormatting sqref="U42:V42 AU42:AV42 AD42:AE42 C42:D42">
    <cfRule type="expression" dxfId="310" priority="743">
      <formula>OR($C42="Samedi",$C42="Dimanche")</formula>
    </cfRule>
  </conditionalFormatting>
  <conditionalFormatting sqref="AG42">
    <cfRule type="dataBar" priority="74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{1846B003-DA9D-4A84-AFBF-7D560AB2A7A2}</x14:id>
        </ext>
      </extLst>
    </cfRule>
  </conditionalFormatting>
  <conditionalFormatting sqref="AX42">
    <cfRule type="dataBar" priority="742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{233090B5-6CE3-463E-A014-DDB1F2B35134}</x14:id>
        </ext>
      </extLst>
    </cfRule>
  </conditionalFormatting>
  <conditionalFormatting sqref="X42">
    <cfRule type="dataBar" priority="741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{7171B8C9-7C80-4902-A661-F4365C4FC77C}</x14:id>
        </ext>
      </extLst>
    </cfRule>
  </conditionalFormatting>
  <conditionalFormatting sqref="AI42">
    <cfRule type="dataBar" priority="738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{50927D9D-7AE3-4CC0-899A-926D33F7FBF3}</x14:id>
        </ext>
      </extLst>
    </cfRule>
  </conditionalFormatting>
  <conditionalFormatting sqref="AK42:AQ42">
    <cfRule type="cellIs" dxfId="309" priority="739" operator="greaterThan">
      <formula>0</formula>
    </cfRule>
    <cfRule type="dataBar" priority="740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{E9ED0D3E-A576-45D9-9E20-2CCCCDEF7C3F}</x14:id>
        </ext>
      </extLst>
    </cfRule>
  </conditionalFormatting>
  <conditionalFormatting sqref="J42">
    <cfRule type="cellIs" dxfId="308" priority="734" operator="between">
      <formula>0.1</formula>
      <formula>26.9</formula>
    </cfRule>
    <cfRule type="cellIs" dxfId="307" priority="735" operator="greaterThan">
      <formula>27</formula>
    </cfRule>
    <cfRule type="cellIs" dxfId="306" priority="736" operator="lessThan">
      <formula>0</formula>
    </cfRule>
    <cfRule type="cellIs" dxfId="305" priority="737" operator="between">
      <formula>0.1</formula>
      <formula>26.9</formula>
    </cfRule>
  </conditionalFormatting>
  <conditionalFormatting sqref="N42">
    <cfRule type="cellIs" dxfId="304" priority="730" operator="between">
      <formula>0.1</formula>
      <formula>26.9</formula>
    </cfRule>
    <cfRule type="cellIs" dxfId="303" priority="731" operator="greaterThan">
      <formula>27</formula>
    </cfRule>
    <cfRule type="cellIs" dxfId="302" priority="732" operator="lessThan">
      <formula>0</formula>
    </cfRule>
    <cfRule type="cellIs" dxfId="301" priority="733" operator="between">
      <formula>0.1</formula>
      <formula>26.9</formula>
    </cfRule>
  </conditionalFormatting>
  <conditionalFormatting sqref="F42">
    <cfRule type="cellIs" dxfId="300" priority="726" operator="between">
      <formula>0.1</formula>
      <formula>26.9</formula>
    </cfRule>
    <cfRule type="cellIs" dxfId="299" priority="727" operator="greaterThan">
      <formula>27</formula>
    </cfRule>
    <cfRule type="cellIs" dxfId="298" priority="728" operator="lessThan">
      <formula>0</formula>
    </cfRule>
    <cfRule type="cellIs" dxfId="297" priority="729" operator="between">
      <formula>0.1</formula>
      <formula>26.9</formula>
    </cfRule>
  </conditionalFormatting>
  <conditionalFormatting sqref="U56:V56 AU56:AV56 AD56:AE56 C56:D56">
    <cfRule type="expression" dxfId="296" priority="724">
      <formula>OR($C56="Samedi",$C56="Dimanche")</formula>
    </cfRule>
  </conditionalFormatting>
  <conditionalFormatting sqref="AG56">
    <cfRule type="dataBar" priority="725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{3358261A-D4F4-4255-9690-F2926CE64377}</x14:id>
        </ext>
      </extLst>
    </cfRule>
  </conditionalFormatting>
  <conditionalFormatting sqref="AX56">
    <cfRule type="dataBar" priority="723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{B9D74A15-5DB2-405A-82A7-9601C9E4D994}</x14:id>
        </ext>
      </extLst>
    </cfRule>
  </conditionalFormatting>
  <conditionalFormatting sqref="X56">
    <cfRule type="dataBar" priority="722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{A213D394-F311-4512-B36B-B2E653C584E4}</x14:id>
        </ext>
      </extLst>
    </cfRule>
  </conditionalFormatting>
  <conditionalFormatting sqref="AI56">
    <cfRule type="dataBar" priority="719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{15437444-3E07-4390-9BE4-D81754113B76}</x14:id>
        </ext>
      </extLst>
    </cfRule>
  </conditionalFormatting>
  <conditionalFormatting sqref="AK56:AQ56">
    <cfRule type="cellIs" dxfId="295" priority="720" operator="greaterThan">
      <formula>0</formula>
    </cfRule>
    <cfRule type="dataBar" priority="721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{7267E207-AA54-438B-8862-A479A54C863C}</x14:id>
        </ext>
      </extLst>
    </cfRule>
  </conditionalFormatting>
  <conditionalFormatting sqref="J56">
    <cfRule type="cellIs" dxfId="294" priority="715" operator="between">
      <formula>0.1</formula>
      <formula>26.9</formula>
    </cfRule>
    <cfRule type="cellIs" dxfId="293" priority="716" operator="greaterThan">
      <formula>27</formula>
    </cfRule>
    <cfRule type="cellIs" dxfId="292" priority="717" operator="lessThan">
      <formula>0</formula>
    </cfRule>
    <cfRule type="cellIs" dxfId="291" priority="718" operator="between">
      <formula>0.1</formula>
      <formula>26.9</formula>
    </cfRule>
  </conditionalFormatting>
  <conditionalFormatting sqref="N56">
    <cfRule type="cellIs" dxfId="290" priority="711" operator="between">
      <formula>0.1</formula>
      <formula>26.9</formula>
    </cfRule>
    <cfRule type="cellIs" dxfId="289" priority="712" operator="greaterThan">
      <formula>27</formula>
    </cfRule>
    <cfRule type="cellIs" dxfId="288" priority="713" operator="lessThan">
      <formula>0</formula>
    </cfRule>
    <cfRule type="cellIs" dxfId="287" priority="714" operator="between">
      <formula>0.1</formula>
      <formula>26.9</formula>
    </cfRule>
  </conditionalFormatting>
  <conditionalFormatting sqref="F56">
    <cfRule type="cellIs" dxfId="286" priority="707" operator="between">
      <formula>0.1</formula>
      <formula>26.9</formula>
    </cfRule>
    <cfRule type="cellIs" dxfId="285" priority="708" operator="greaterThan">
      <formula>27</formula>
    </cfRule>
    <cfRule type="cellIs" dxfId="284" priority="709" operator="lessThan">
      <formula>0</formula>
    </cfRule>
    <cfRule type="cellIs" dxfId="283" priority="710" operator="between">
      <formula>0.1</formula>
      <formula>26.9</formula>
    </cfRule>
  </conditionalFormatting>
  <conditionalFormatting sqref="U59:V59 AU59:AV59 AD59:AE59 C59:D59">
    <cfRule type="expression" dxfId="282" priority="705">
      <formula>OR($C59="Samedi",$C59="Dimanche")</formula>
    </cfRule>
  </conditionalFormatting>
  <conditionalFormatting sqref="AG59">
    <cfRule type="dataBar" priority="70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{0D5F7A69-A71E-4436-8BEA-1F171C04E638}</x14:id>
        </ext>
      </extLst>
    </cfRule>
  </conditionalFormatting>
  <conditionalFormatting sqref="AX59">
    <cfRule type="dataBar" priority="704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{16955270-0ADA-4EF7-95C0-818CFDF04437}</x14:id>
        </ext>
      </extLst>
    </cfRule>
  </conditionalFormatting>
  <conditionalFormatting sqref="X59">
    <cfRule type="dataBar" priority="703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{A4DBB17C-F7D2-4BF8-8E03-A3A48B6C6DD0}</x14:id>
        </ext>
      </extLst>
    </cfRule>
  </conditionalFormatting>
  <conditionalFormatting sqref="AI59">
    <cfRule type="dataBar" priority="700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{735B2303-89C6-4BDE-A910-FC730A02DF20}</x14:id>
        </ext>
      </extLst>
    </cfRule>
  </conditionalFormatting>
  <conditionalFormatting sqref="AK59:AQ59">
    <cfRule type="cellIs" dxfId="281" priority="701" operator="greaterThan">
      <formula>0</formula>
    </cfRule>
    <cfRule type="dataBar" priority="702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{D5D4BC0F-294C-4E02-AB08-F9F3BB95E252}</x14:id>
        </ext>
      </extLst>
    </cfRule>
  </conditionalFormatting>
  <conditionalFormatting sqref="J59">
    <cfRule type="cellIs" dxfId="280" priority="696" operator="between">
      <formula>0.1</formula>
      <formula>26.9</formula>
    </cfRule>
    <cfRule type="cellIs" dxfId="279" priority="697" operator="greaterThan">
      <formula>27</formula>
    </cfRule>
    <cfRule type="cellIs" dxfId="278" priority="698" operator="lessThan">
      <formula>0</formula>
    </cfRule>
    <cfRule type="cellIs" dxfId="277" priority="699" operator="between">
      <formula>0.1</formula>
      <formula>26.9</formula>
    </cfRule>
  </conditionalFormatting>
  <conditionalFormatting sqref="N59">
    <cfRule type="cellIs" dxfId="276" priority="692" operator="between">
      <formula>0.1</formula>
      <formula>26.9</formula>
    </cfRule>
    <cfRule type="cellIs" dxfId="275" priority="693" operator="greaterThan">
      <formula>27</formula>
    </cfRule>
    <cfRule type="cellIs" dxfId="274" priority="694" operator="lessThan">
      <formula>0</formula>
    </cfRule>
    <cfRule type="cellIs" dxfId="273" priority="695" operator="between">
      <formula>0.1</formula>
      <formula>26.9</formula>
    </cfRule>
  </conditionalFormatting>
  <conditionalFormatting sqref="F59">
    <cfRule type="cellIs" dxfId="272" priority="688" operator="between">
      <formula>0.1</formula>
      <formula>26.9</formula>
    </cfRule>
    <cfRule type="cellIs" dxfId="271" priority="689" operator="greaterThan">
      <formula>27</formula>
    </cfRule>
    <cfRule type="cellIs" dxfId="270" priority="690" operator="lessThan">
      <formula>0</formula>
    </cfRule>
    <cfRule type="cellIs" dxfId="269" priority="691" operator="between">
      <formula>0.1</formula>
      <formula>26.9</formula>
    </cfRule>
  </conditionalFormatting>
  <conditionalFormatting sqref="U58:V58 AU58:AV58 AD58:AE58 C58:D58">
    <cfRule type="expression" dxfId="268" priority="686">
      <formula>OR($C58="Samedi",$C58="Dimanche")</formula>
    </cfRule>
  </conditionalFormatting>
  <conditionalFormatting sqref="AG58">
    <cfRule type="dataBar" priority="687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{8ADF3C52-436F-4770-A508-EBD47B4FCA30}</x14:id>
        </ext>
      </extLst>
    </cfRule>
  </conditionalFormatting>
  <conditionalFormatting sqref="AX58">
    <cfRule type="dataBar" priority="68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{9E0C0CB5-3785-45BD-B3F6-69FFA6A7110C}</x14:id>
        </ext>
      </extLst>
    </cfRule>
  </conditionalFormatting>
  <conditionalFormatting sqref="X58">
    <cfRule type="dataBar" priority="684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{8429AD20-6B11-416D-B0C6-91EF7BA58465}</x14:id>
        </ext>
      </extLst>
    </cfRule>
  </conditionalFormatting>
  <conditionalFormatting sqref="AI58">
    <cfRule type="dataBar" priority="681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{7B0D1145-970D-4B26-AD7E-C115EB72D519}</x14:id>
        </ext>
      </extLst>
    </cfRule>
  </conditionalFormatting>
  <conditionalFormatting sqref="AK58:AQ58">
    <cfRule type="cellIs" dxfId="267" priority="682" operator="greaterThan">
      <formula>0</formula>
    </cfRule>
    <cfRule type="dataBar" priority="683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{DE9D162D-3509-4353-BC5D-958FC72E24AD}</x14:id>
        </ext>
      </extLst>
    </cfRule>
  </conditionalFormatting>
  <conditionalFormatting sqref="J58">
    <cfRule type="cellIs" dxfId="266" priority="677" operator="between">
      <formula>0.1</formula>
      <formula>26.9</formula>
    </cfRule>
    <cfRule type="cellIs" dxfId="265" priority="678" operator="greaterThan">
      <formula>27</formula>
    </cfRule>
    <cfRule type="cellIs" dxfId="264" priority="679" operator="lessThan">
      <formula>0</formula>
    </cfRule>
    <cfRule type="cellIs" dxfId="263" priority="680" operator="between">
      <formula>0.1</formula>
      <formula>26.9</formula>
    </cfRule>
  </conditionalFormatting>
  <conditionalFormatting sqref="N58">
    <cfRule type="cellIs" dxfId="262" priority="673" operator="between">
      <formula>0.1</formula>
      <formula>26.9</formula>
    </cfRule>
    <cfRule type="cellIs" dxfId="261" priority="674" operator="greaterThan">
      <formula>27</formula>
    </cfRule>
    <cfRule type="cellIs" dxfId="260" priority="675" operator="lessThan">
      <formula>0</formula>
    </cfRule>
    <cfRule type="cellIs" dxfId="259" priority="676" operator="between">
      <formula>0.1</formula>
      <formula>26.9</formula>
    </cfRule>
  </conditionalFormatting>
  <conditionalFormatting sqref="F58">
    <cfRule type="cellIs" dxfId="258" priority="669" operator="between">
      <formula>0.1</formula>
      <formula>26.9</formula>
    </cfRule>
    <cfRule type="cellIs" dxfId="257" priority="670" operator="greaterThan">
      <formula>27</formula>
    </cfRule>
    <cfRule type="cellIs" dxfId="256" priority="671" operator="lessThan">
      <formula>0</formula>
    </cfRule>
    <cfRule type="cellIs" dxfId="255" priority="672" operator="between">
      <formula>0.1</formula>
      <formula>26.9</formula>
    </cfRule>
  </conditionalFormatting>
  <conditionalFormatting sqref="U60:V61 AU60:AV61 AD60:AE61 C60:D61">
    <cfRule type="expression" dxfId="254" priority="644">
      <formula>OR($C60="Samedi",$C60="Dimanche")</formula>
    </cfRule>
  </conditionalFormatting>
  <conditionalFormatting sqref="AG60:AG61">
    <cfRule type="dataBar" priority="645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{2FAE4E3A-6AEA-4F4E-92D8-09AD2F8D16DB}</x14:id>
        </ext>
      </extLst>
    </cfRule>
  </conditionalFormatting>
  <conditionalFormatting sqref="AX60:AX61">
    <cfRule type="dataBar" priority="643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{5C172A3F-D599-4E9C-8CB5-B585BA544954}</x14:id>
        </ext>
      </extLst>
    </cfRule>
  </conditionalFormatting>
  <conditionalFormatting sqref="X60:X61">
    <cfRule type="dataBar" priority="642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{C2818527-84EF-4170-9015-52C5A94A3021}</x14:id>
        </ext>
      </extLst>
    </cfRule>
  </conditionalFormatting>
  <conditionalFormatting sqref="AI60:AI61">
    <cfRule type="dataBar" priority="639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{0AC21E5E-313A-40F7-A994-9537693AA49F}</x14:id>
        </ext>
      </extLst>
    </cfRule>
  </conditionalFormatting>
  <conditionalFormatting sqref="AK60:AQ61">
    <cfRule type="cellIs" dxfId="253" priority="640" operator="greaterThan">
      <formula>0</formula>
    </cfRule>
    <cfRule type="dataBar" priority="641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{53A03924-9EA7-4AD2-A28E-A6C9BE4A553F}</x14:id>
        </ext>
      </extLst>
    </cfRule>
  </conditionalFormatting>
  <conditionalFormatting sqref="J60:J61">
    <cfRule type="cellIs" dxfId="252" priority="635" operator="between">
      <formula>0.1</formula>
      <formula>26.9</formula>
    </cfRule>
    <cfRule type="cellIs" dxfId="251" priority="636" operator="greaterThan">
      <formula>27</formula>
    </cfRule>
    <cfRule type="cellIs" dxfId="250" priority="637" operator="lessThan">
      <formula>0</formula>
    </cfRule>
    <cfRule type="cellIs" dxfId="249" priority="638" operator="between">
      <formula>0.1</formula>
      <formula>26.9</formula>
    </cfRule>
  </conditionalFormatting>
  <conditionalFormatting sqref="N60:N61">
    <cfRule type="cellIs" dxfId="248" priority="631" operator="between">
      <formula>0.1</formula>
      <formula>26.9</formula>
    </cfRule>
    <cfRule type="cellIs" dxfId="247" priority="632" operator="greaterThan">
      <formula>27</formula>
    </cfRule>
    <cfRule type="cellIs" dxfId="246" priority="633" operator="lessThan">
      <formula>0</formula>
    </cfRule>
    <cfRule type="cellIs" dxfId="245" priority="634" operator="between">
      <formula>0.1</formula>
      <formula>26.9</formula>
    </cfRule>
  </conditionalFormatting>
  <conditionalFormatting sqref="F60:F61">
    <cfRule type="cellIs" dxfId="244" priority="627" operator="between">
      <formula>0.1</formula>
      <formula>26.9</formula>
    </cfRule>
    <cfRule type="cellIs" dxfId="243" priority="628" operator="greaterThan">
      <formula>27</formula>
    </cfRule>
    <cfRule type="cellIs" dxfId="242" priority="629" operator="lessThan">
      <formula>0</formula>
    </cfRule>
    <cfRule type="cellIs" dxfId="241" priority="630" operator="between">
      <formula>0.1</formula>
      <formula>26.9</formula>
    </cfRule>
  </conditionalFormatting>
  <conditionalFormatting sqref="U63:V63 AU63:AV63 AD63:AE63 C63:D63">
    <cfRule type="expression" dxfId="240" priority="625">
      <formula>OR($C63="Samedi",$C63="Dimanche")</formula>
    </cfRule>
  </conditionalFormatting>
  <conditionalFormatting sqref="AG63">
    <cfRule type="dataBar" priority="62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{0BD4ADD8-8BB8-4F06-B6C1-9AC18186567F}</x14:id>
        </ext>
      </extLst>
    </cfRule>
  </conditionalFormatting>
  <conditionalFormatting sqref="AX63">
    <cfRule type="dataBar" priority="624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{27383342-5ABD-4304-879B-CBC18DCC2EFB}</x14:id>
        </ext>
      </extLst>
    </cfRule>
  </conditionalFormatting>
  <conditionalFormatting sqref="X63">
    <cfRule type="dataBar" priority="623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{EA06C29C-70E4-4212-B0F5-BD7D8CEDC10F}</x14:id>
        </ext>
      </extLst>
    </cfRule>
  </conditionalFormatting>
  <conditionalFormatting sqref="AI63">
    <cfRule type="dataBar" priority="620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{6A8F5857-4B88-4DDD-B934-ED4688A68F16}</x14:id>
        </ext>
      </extLst>
    </cfRule>
  </conditionalFormatting>
  <conditionalFormatting sqref="AK63:AQ63">
    <cfRule type="cellIs" dxfId="239" priority="621" operator="greaterThan">
      <formula>0</formula>
    </cfRule>
    <cfRule type="dataBar" priority="622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{11787EA3-51B0-450D-A58D-57576E9BA9CD}</x14:id>
        </ext>
      </extLst>
    </cfRule>
  </conditionalFormatting>
  <conditionalFormatting sqref="J63">
    <cfRule type="cellIs" dxfId="238" priority="616" operator="between">
      <formula>0.1</formula>
      <formula>26.9</formula>
    </cfRule>
    <cfRule type="cellIs" dxfId="237" priority="617" operator="greaterThan">
      <formula>27</formula>
    </cfRule>
    <cfRule type="cellIs" dxfId="236" priority="618" operator="lessThan">
      <formula>0</formula>
    </cfRule>
    <cfRule type="cellIs" dxfId="235" priority="619" operator="between">
      <formula>0.1</formula>
      <formula>26.9</formula>
    </cfRule>
  </conditionalFormatting>
  <conditionalFormatting sqref="N63">
    <cfRule type="cellIs" dxfId="234" priority="612" operator="between">
      <formula>0.1</formula>
      <formula>26.9</formula>
    </cfRule>
    <cfRule type="cellIs" dxfId="233" priority="613" operator="greaterThan">
      <formula>27</formula>
    </cfRule>
    <cfRule type="cellIs" dxfId="232" priority="614" operator="lessThan">
      <formula>0</formula>
    </cfRule>
    <cfRule type="cellIs" dxfId="231" priority="615" operator="between">
      <formula>0.1</formula>
      <formula>26.9</formula>
    </cfRule>
  </conditionalFormatting>
  <conditionalFormatting sqref="F63">
    <cfRule type="cellIs" dxfId="230" priority="608" operator="between">
      <formula>0.1</formula>
      <formula>26.9</formula>
    </cfRule>
    <cfRule type="cellIs" dxfId="229" priority="609" operator="greaterThan">
      <formula>27</formula>
    </cfRule>
    <cfRule type="cellIs" dxfId="228" priority="610" operator="lessThan">
      <formula>0</formula>
    </cfRule>
    <cfRule type="cellIs" dxfId="227" priority="611" operator="between">
      <formula>0.1</formula>
      <formula>26.9</formula>
    </cfRule>
  </conditionalFormatting>
  <conditionalFormatting sqref="U65:V65 AU65:AV65 AD65:AE65 C65:D65">
    <cfRule type="expression" dxfId="226" priority="606">
      <formula>OR($C65="Samedi",$C65="Dimanche")</formula>
    </cfRule>
  </conditionalFormatting>
  <conditionalFormatting sqref="AG65">
    <cfRule type="dataBar" priority="607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{25A891B9-8D41-44B9-BA6B-13D4842A55ED}</x14:id>
        </ext>
      </extLst>
    </cfRule>
  </conditionalFormatting>
  <conditionalFormatting sqref="AX65">
    <cfRule type="dataBar" priority="60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{B9625CBD-07C4-4F30-AD29-BE4C5B0075A4}</x14:id>
        </ext>
      </extLst>
    </cfRule>
  </conditionalFormatting>
  <conditionalFormatting sqref="X65">
    <cfRule type="dataBar" priority="604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{4AD1B4A0-A015-495F-A626-A6162EB1CEDF}</x14:id>
        </ext>
      </extLst>
    </cfRule>
  </conditionalFormatting>
  <conditionalFormatting sqref="AI65">
    <cfRule type="dataBar" priority="601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{D74646DC-BB50-488B-B662-253C45CAD737}</x14:id>
        </ext>
      </extLst>
    </cfRule>
  </conditionalFormatting>
  <conditionalFormatting sqref="AK65:AQ65">
    <cfRule type="cellIs" dxfId="225" priority="602" operator="greaterThan">
      <formula>0</formula>
    </cfRule>
    <cfRule type="dataBar" priority="603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{228CCAB7-E2AC-4B15-BCE4-1340FF38070C}</x14:id>
        </ext>
      </extLst>
    </cfRule>
  </conditionalFormatting>
  <conditionalFormatting sqref="J65">
    <cfRule type="cellIs" dxfId="224" priority="597" operator="between">
      <formula>0.1</formula>
      <formula>26.9</formula>
    </cfRule>
    <cfRule type="cellIs" dxfId="223" priority="598" operator="greaterThan">
      <formula>27</formula>
    </cfRule>
    <cfRule type="cellIs" dxfId="222" priority="599" operator="lessThan">
      <formula>0</formula>
    </cfRule>
    <cfRule type="cellIs" dxfId="221" priority="600" operator="between">
      <formula>0.1</formula>
      <formula>26.9</formula>
    </cfRule>
  </conditionalFormatting>
  <conditionalFormatting sqref="N65">
    <cfRule type="cellIs" dxfId="220" priority="593" operator="between">
      <formula>0.1</formula>
      <formula>26.9</formula>
    </cfRule>
    <cfRule type="cellIs" dxfId="219" priority="594" operator="greaterThan">
      <formula>27</formula>
    </cfRule>
    <cfRule type="cellIs" dxfId="218" priority="595" operator="lessThan">
      <formula>0</formula>
    </cfRule>
    <cfRule type="cellIs" dxfId="217" priority="596" operator="between">
      <formula>0.1</formula>
      <formula>26.9</formula>
    </cfRule>
  </conditionalFormatting>
  <conditionalFormatting sqref="F65">
    <cfRule type="cellIs" dxfId="216" priority="589" operator="between">
      <formula>0.1</formula>
      <formula>26.9</formula>
    </cfRule>
    <cfRule type="cellIs" dxfId="215" priority="590" operator="greaterThan">
      <formula>27</formula>
    </cfRule>
    <cfRule type="cellIs" dxfId="214" priority="591" operator="lessThan">
      <formula>0</formula>
    </cfRule>
    <cfRule type="cellIs" dxfId="213" priority="592" operator="between">
      <formula>0.1</formula>
      <formula>26.9</formula>
    </cfRule>
  </conditionalFormatting>
  <conditionalFormatting sqref="U64:V64 AU64:AV64 AD64:AE64 C64:D64">
    <cfRule type="expression" dxfId="212" priority="587">
      <formula>OR($C64="Samedi",$C64="Dimanche")</formula>
    </cfRule>
  </conditionalFormatting>
  <conditionalFormatting sqref="AG64">
    <cfRule type="dataBar" priority="58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{F78F54E7-D0EA-4293-AA31-A5C2340E8452}</x14:id>
        </ext>
      </extLst>
    </cfRule>
  </conditionalFormatting>
  <conditionalFormatting sqref="AX64">
    <cfRule type="dataBar" priority="586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{5045ADE7-EBB7-40C6-9F1B-B9222EB7FDF7}</x14:id>
        </ext>
      </extLst>
    </cfRule>
  </conditionalFormatting>
  <conditionalFormatting sqref="X64">
    <cfRule type="dataBar" priority="585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{8BAF3F4F-990E-4656-8E89-7CE2A20F2B20}</x14:id>
        </ext>
      </extLst>
    </cfRule>
  </conditionalFormatting>
  <conditionalFormatting sqref="AI64">
    <cfRule type="dataBar" priority="582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{29E55160-B5DE-4A43-9A64-5B23D2C9BF42}</x14:id>
        </ext>
      </extLst>
    </cfRule>
  </conditionalFormatting>
  <conditionalFormatting sqref="AK64:AQ64">
    <cfRule type="cellIs" dxfId="211" priority="583" operator="greaterThan">
      <formula>0</formula>
    </cfRule>
    <cfRule type="dataBar" priority="584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{300ADB4D-D5F6-4B3A-9A76-C90C2057F1DA}</x14:id>
        </ext>
      </extLst>
    </cfRule>
  </conditionalFormatting>
  <conditionalFormatting sqref="J64">
    <cfRule type="cellIs" dxfId="210" priority="578" operator="between">
      <formula>0.1</formula>
      <formula>26.9</formula>
    </cfRule>
    <cfRule type="cellIs" dxfId="209" priority="579" operator="greaterThan">
      <formula>27</formula>
    </cfRule>
    <cfRule type="cellIs" dxfId="208" priority="580" operator="lessThan">
      <formula>0</formula>
    </cfRule>
    <cfRule type="cellIs" dxfId="207" priority="581" operator="between">
      <formula>0.1</formula>
      <formula>26.9</formula>
    </cfRule>
  </conditionalFormatting>
  <conditionalFormatting sqref="N64">
    <cfRule type="cellIs" dxfId="206" priority="574" operator="between">
      <formula>0.1</formula>
      <formula>26.9</formula>
    </cfRule>
    <cfRule type="cellIs" dxfId="205" priority="575" operator="greaterThan">
      <formula>27</formula>
    </cfRule>
    <cfRule type="cellIs" dxfId="204" priority="576" operator="lessThan">
      <formula>0</formula>
    </cfRule>
    <cfRule type="cellIs" dxfId="203" priority="577" operator="between">
      <formula>0.1</formula>
      <formula>26.9</formula>
    </cfRule>
  </conditionalFormatting>
  <conditionalFormatting sqref="F64">
    <cfRule type="cellIs" dxfId="202" priority="570" operator="between">
      <formula>0.1</formula>
      <formula>26.9</formula>
    </cfRule>
    <cfRule type="cellIs" dxfId="201" priority="571" operator="greaterThan">
      <formula>27</formula>
    </cfRule>
    <cfRule type="cellIs" dxfId="200" priority="572" operator="lessThan">
      <formula>0</formula>
    </cfRule>
    <cfRule type="cellIs" dxfId="199" priority="573" operator="between">
      <formula>0.1</formula>
      <formula>26.9</formula>
    </cfRule>
  </conditionalFormatting>
  <conditionalFormatting sqref="U67:V67 AU67:AV67 AD67:AE67 C67:D67">
    <cfRule type="expression" dxfId="198" priority="568">
      <formula>OR($C67="Samedi",$C67="Dimanche")</formula>
    </cfRule>
  </conditionalFormatting>
  <conditionalFormatting sqref="AG67">
    <cfRule type="dataBar" priority="569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{BE25C500-76F5-4570-BCB9-82373A41C46C}</x14:id>
        </ext>
      </extLst>
    </cfRule>
  </conditionalFormatting>
  <conditionalFormatting sqref="AX67">
    <cfRule type="dataBar" priority="56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{95E8DBA1-CA89-4407-A5D0-A8A03847EAEB}</x14:id>
        </ext>
      </extLst>
    </cfRule>
  </conditionalFormatting>
  <conditionalFormatting sqref="X67">
    <cfRule type="dataBar" priority="566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{417B0EDC-3DE7-4A13-9DBE-4FF07478B4B9}</x14:id>
        </ext>
      </extLst>
    </cfRule>
  </conditionalFormatting>
  <conditionalFormatting sqref="AI67">
    <cfRule type="dataBar" priority="563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{E37F02B2-32C7-4392-BB87-AEBB049DEEC8}</x14:id>
        </ext>
      </extLst>
    </cfRule>
  </conditionalFormatting>
  <conditionalFormatting sqref="AK67:AQ67">
    <cfRule type="cellIs" dxfId="197" priority="564" operator="greaterThan">
      <formula>0</formula>
    </cfRule>
    <cfRule type="dataBar" priority="565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{F0647E99-BE37-4208-BFFF-9CC096AF2DA5}</x14:id>
        </ext>
      </extLst>
    </cfRule>
  </conditionalFormatting>
  <conditionalFormatting sqref="J67">
    <cfRule type="cellIs" dxfId="196" priority="559" operator="between">
      <formula>0.1</formula>
      <formula>26.9</formula>
    </cfRule>
    <cfRule type="cellIs" dxfId="195" priority="560" operator="greaterThan">
      <formula>27</formula>
    </cfRule>
    <cfRule type="cellIs" dxfId="194" priority="561" operator="lessThan">
      <formula>0</formula>
    </cfRule>
    <cfRule type="cellIs" dxfId="193" priority="562" operator="between">
      <formula>0.1</formula>
      <formula>26.9</formula>
    </cfRule>
  </conditionalFormatting>
  <conditionalFormatting sqref="N67">
    <cfRule type="cellIs" dxfId="192" priority="555" operator="between">
      <formula>0.1</formula>
      <formula>26.9</formula>
    </cfRule>
    <cfRule type="cellIs" dxfId="191" priority="556" operator="greaterThan">
      <formula>27</formula>
    </cfRule>
    <cfRule type="cellIs" dxfId="190" priority="557" operator="lessThan">
      <formula>0</formula>
    </cfRule>
    <cfRule type="cellIs" dxfId="189" priority="558" operator="between">
      <formula>0.1</formula>
      <formula>26.9</formula>
    </cfRule>
  </conditionalFormatting>
  <conditionalFormatting sqref="F67">
    <cfRule type="cellIs" dxfId="188" priority="551" operator="between">
      <formula>0.1</formula>
      <formula>26.9</formula>
    </cfRule>
    <cfRule type="cellIs" dxfId="187" priority="552" operator="greaterThan">
      <formula>27</formula>
    </cfRule>
    <cfRule type="cellIs" dxfId="186" priority="553" operator="lessThan">
      <formula>0</formula>
    </cfRule>
    <cfRule type="cellIs" dxfId="185" priority="554" operator="between">
      <formula>0.1</formula>
      <formula>26.9</formula>
    </cfRule>
  </conditionalFormatting>
  <conditionalFormatting sqref="U66:V66 AU66:AV66 AD66:AE66 C66:D66">
    <cfRule type="expression" dxfId="184" priority="550">
      <formula>OR($C66="Samedi",$C66="Dimanche")</formula>
    </cfRule>
  </conditionalFormatting>
  <conditionalFormatting sqref="AG66">
    <cfRule type="dataBar" priority="549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{38CD9348-81DB-465C-8E0B-EF5B8488421D}</x14:id>
        </ext>
      </extLst>
    </cfRule>
  </conditionalFormatting>
  <conditionalFormatting sqref="AX66">
    <cfRule type="dataBar" priority="546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{4813FBD6-BE87-4C5F-AE2A-3EEF5DE95082}</x14:id>
        </ext>
      </extLst>
    </cfRule>
  </conditionalFormatting>
  <conditionalFormatting sqref="X66">
    <cfRule type="dataBar" priority="545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{97708FC7-582E-4AA8-A80A-7F2A3A9E21ED}</x14:id>
        </ext>
      </extLst>
    </cfRule>
  </conditionalFormatting>
  <conditionalFormatting sqref="AI66">
    <cfRule type="dataBar" priority="540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{C2486F59-66FB-465E-9CA6-5C7EA78F58B1}</x14:id>
        </ext>
      </extLst>
    </cfRule>
  </conditionalFormatting>
  <conditionalFormatting sqref="J66">
    <cfRule type="cellIs" dxfId="183" priority="539" operator="greaterThan">
      <formula>1024</formula>
    </cfRule>
    <cfRule type="cellIs" dxfId="182" priority="542" operator="between">
      <formula>1013</formula>
      <formula>1024</formula>
    </cfRule>
    <cfRule type="cellIs" dxfId="181" priority="543" operator="between">
      <formula>1000</formula>
      <formula>1013</formula>
    </cfRule>
  </conditionalFormatting>
  <conditionalFormatting sqref="AK66:AQ66">
    <cfRule type="cellIs" dxfId="180" priority="541" operator="greaterThan">
      <formula>0</formula>
    </cfRule>
    <cfRule type="dataBar" priority="544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{98220D56-E2D2-4A50-B092-867639AE10A3}</x14:id>
        </ext>
      </extLst>
    </cfRule>
  </conditionalFormatting>
  <conditionalFormatting sqref="J66">
    <cfRule type="cellIs" dxfId="179" priority="547" operator="between">
      <formula>950</formula>
      <formula>973</formula>
    </cfRule>
    <cfRule type="cellIs" dxfId="178" priority="548" operator="between">
      <formula>973</formula>
      <formula>1000</formula>
    </cfRule>
  </conditionalFormatting>
  <conditionalFormatting sqref="N66">
    <cfRule type="cellIs" dxfId="177" priority="534" operator="greaterThan">
      <formula>1024</formula>
    </cfRule>
    <cfRule type="cellIs" dxfId="176" priority="535" operator="between">
      <formula>1013</formula>
      <formula>1024</formula>
    </cfRule>
    <cfRule type="cellIs" dxfId="175" priority="536" operator="between">
      <formula>1000</formula>
      <formula>1013</formula>
    </cfRule>
  </conditionalFormatting>
  <conditionalFormatting sqref="N66">
    <cfRule type="cellIs" dxfId="174" priority="537" operator="between">
      <formula>950</formula>
      <formula>973</formula>
    </cfRule>
    <cfRule type="cellIs" dxfId="173" priority="538" operator="between">
      <formula>973</formula>
      <formula>1000</formula>
    </cfRule>
  </conditionalFormatting>
  <conditionalFormatting sqref="F66">
    <cfRule type="cellIs" dxfId="172" priority="529" operator="greaterThan">
      <formula>1024</formula>
    </cfRule>
    <cfRule type="cellIs" dxfId="171" priority="530" operator="between">
      <formula>1013</formula>
      <formula>1024</formula>
    </cfRule>
    <cfRule type="cellIs" dxfId="170" priority="531" operator="between">
      <formula>1000</formula>
      <formula>1013</formula>
    </cfRule>
  </conditionalFormatting>
  <conditionalFormatting sqref="F66">
    <cfRule type="cellIs" dxfId="169" priority="532" operator="between">
      <formula>950</formula>
      <formula>973</formula>
    </cfRule>
    <cfRule type="cellIs" dxfId="168" priority="533" operator="between">
      <formula>973</formula>
      <formula>1000</formula>
    </cfRule>
  </conditionalFormatting>
  <conditionalFormatting sqref="F68">
    <cfRule type="cellIs" dxfId="167" priority="510" operator="between">
      <formula>0.1</formula>
      <formula>26.9</formula>
    </cfRule>
    <cfRule type="cellIs" dxfId="166" priority="511" operator="greaterThan">
      <formula>27</formula>
    </cfRule>
    <cfRule type="cellIs" dxfId="165" priority="512" operator="lessThan">
      <formula>0</formula>
    </cfRule>
    <cfRule type="cellIs" dxfId="164" priority="513" operator="between">
      <formula>0.1</formula>
      <formula>26.9</formula>
    </cfRule>
  </conditionalFormatting>
  <conditionalFormatting sqref="U68:V68 AU68:AV68 AD68:AE68 C68:D68">
    <cfRule type="expression" dxfId="163" priority="527">
      <formula>OR($C68="Samedi",$C68="Dimanche")</formula>
    </cfRule>
  </conditionalFormatting>
  <conditionalFormatting sqref="AG68">
    <cfRule type="dataBar" priority="52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{A7DDA6E0-1FB8-46E5-9D22-D129A3F762AA}</x14:id>
        </ext>
      </extLst>
    </cfRule>
  </conditionalFormatting>
  <conditionalFormatting sqref="AX68">
    <cfRule type="dataBar" priority="526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{98E9F726-CA49-46F6-9175-856FAF15FD27}</x14:id>
        </ext>
      </extLst>
    </cfRule>
  </conditionalFormatting>
  <conditionalFormatting sqref="X68">
    <cfRule type="dataBar" priority="525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{9882CDD9-77A5-4F16-8B2A-3D5088C0422B}</x14:id>
        </ext>
      </extLst>
    </cfRule>
  </conditionalFormatting>
  <conditionalFormatting sqref="AI68">
    <cfRule type="dataBar" priority="522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{47C438B3-1ED0-45DC-9584-1C6701596C0B}</x14:id>
        </ext>
      </extLst>
    </cfRule>
  </conditionalFormatting>
  <conditionalFormatting sqref="AK68:AQ68">
    <cfRule type="cellIs" dxfId="162" priority="523" operator="greaterThan">
      <formula>0</formula>
    </cfRule>
    <cfRule type="dataBar" priority="524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{08C94645-078F-476C-A99F-2952C7C103E1}</x14:id>
        </ext>
      </extLst>
    </cfRule>
  </conditionalFormatting>
  <conditionalFormatting sqref="J68">
    <cfRule type="cellIs" dxfId="161" priority="518" operator="between">
      <formula>0.1</formula>
      <formula>26.9</formula>
    </cfRule>
    <cfRule type="cellIs" dxfId="160" priority="519" operator="greaterThan">
      <formula>27</formula>
    </cfRule>
    <cfRule type="cellIs" dxfId="159" priority="520" operator="lessThan">
      <formula>0</formula>
    </cfRule>
    <cfRule type="cellIs" dxfId="158" priority="521" operator="between">
      <formula>0.1</formula>
      <formula>26.9</formula>
    </cfRule>
  </conditionalFormatting>
  <conditionalFormatting sqref="N68">
    <cfRule type="cellIs" dxfId="157" priority="514" operator="between">
      <formula>0.1</formula>
      <formula>26.9</formula>
    </cfRule>
    <cfRule type="cellIs" dxfId="156" priority="515" operator="greaterThan">
      <formula>27</formula>
    </cfRule>
    <cfRule type="cellIs" dxfId="155" priority="516" operator="lessThan">
      <formula>0</formula>
    </cfRule>
    <cfRule type="cellIs" dxfId="154" priority="517" operator="between">
      <formula>0.1</formula>
      <formula>26.9</formula>
    </cfRule>
  </conditionalFormatting>
  <conditionalFormatting sqref="U52:V52 AU52:AV52 AD52:AE52 C52:D52">
    <cfRule type="expression" dxfId="153" priority="433">
      <formula>OR($C52="Samedi",$C52="Dimanche")</formula>
    </cfRule>
  </conditionalFormatting>
  <conditionalFormatting sqref="AG52">
    <cfRule type="dataBar" priority="43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{7C5B9CA0-DE45-45A7-AEF8-6DF8709FD21D}</x14:id>
        </ext>
      </extLst>
    </cfRule>
  </conditionalFormatting>
  <conditionalFormatting sqref="AX52">
    <cfRule type="dataBar" priority="42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{6ED7A5AE-31BD-4641-9E60-EF01F1BD99E4}</x14:id>
        </ext>
      </extLst>
    </cfRule>
  </conditionalFormatting>
  <conditionalFormatting sqref="X52">
    <cfRule type="dataBar" priority="428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{6819018F-7993-4FDF-9AF4-27BC7569E181}</x14:id>
        </ext>
      </extLst>
    </cfRule>
  </conditionalFormatting>
  <conditionalFormatting sqref="AI52">
    <cfRule type="dataBar" priority="423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{7467B2CD-86A1-4170-B9A2-06A7015ED9A4}</x14:id>
        </ext>
      </extLst>
    </cfRule>
  </conditionalFormatting>
  <conditionalFormatting sqref="J52">
    <cfRule type="cellIs" dxfId="152" priority="422" operator="greaterThan">
      <formula>1024</formula>
    </cfRule>
    <cfRule type="cellIs" dxfId="151" priority="425" operator="between">
      <formula>1013</formula>
      <formula>1024</formula>
    </cfRule>
    <cfRule type="cellIs" dxfId="150" priority="426" operator="between">
      <formula>1000</formula>
      <formula>1013</formula>
    </cfRule>
  </conditionalFormatting>
  <conditionalFormatting sqref="AK52:AQ52">
    <cfRule type="cellIs" dxfId="149" priority="424" operator="greaterThan">
      <formula>0</formula>
    </cfRule>
    <cfRule type="dataBar" priority="427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{DEF83D19-87EA-414E-81A2-F003482F307B}</x14:id>
        </ext>
      </extLst>
    </cfRule>
  </conditionalFormatting>
  <conditionalFormatting sqref="J52">
    <cfRule type="cellIs" dxfId="148" priority="430" operator="between">
      <formula>950</formula>
      <formula>973</formula>
    </cfRule>
    <cfRule type="cellIs" dxfId="147" priority="431" operator="between">
      <formula>973</formula>
      <formula>1000</formula>
    </cfRule>
  </conditionalFormatting>
  <conditionalFormatting sqref="N52">
    <cfRule type="cellIs" dxfId="146" priority="417" operator="greaterThan">
      <formula>1024</formula>
    </cfRule>
    <cfRule type="cellIs" dxfId="145" priority="418" operator="between">
      <formula>1013</formula>
      <formula>1024</formula>
    </cfRule>
    <cfRule type="cellIs" dxfId="144" priority="419" operator="between">
      <formula>1000</formula>
      <formula>1013</formula>
    </cfRule>
  </conditionalFormatting>
  <conditionalFormatting sqref="N52">
    <cfRule type="cellIs" dxfId="143" priority="420" operator="between">
      <formula>950</formula>
      <formula>973</formula>
    </cfRule>
    <cfRule type="cellIs" dxfId="142" priority="421" operator="between">
      <formula>973</formula>
      <formula>1000</formula>
    </cfRule>
  </conditionalFormatting>
  <conditionalFormatting sqref="F52">
    <cfRule type="cellIs" dxfId="141" priority="412" operator="greaterThan">
      <formula>1024</formula>
    </cfRule>
    <cfRule type="cellIs" dxfId="140" priority="413" operator="between">
      <formula>1013</formula>
      <formula>1024</formula>
    </cfRule>
    <cfRule type="cellIs" dxfId="139" priority="414" operator="between">
      <formula>1000</formula>
      <formula>1013</formula>
    </cfRule>
  </conditionalFormatting>
  <conditionalFormatting sqref="F52">
    <cfRule type="cellIs" dxfId="138" priority="415" operator="between">
      <formula>950</formula>
      <formula>973</formula>
    </cfRule>
    <cfRule type="cellIs" dxfId="137" priority="416" operator="between">
      <formula>973</formula>
      <formula>1000</formula>
    </cfRule>
  </conditionalFormatting>
  <conditionalFormatting sqref="U15:V17 AU15:AV17 AD15:AE17 C15:D17">
    <cfRule type="expression" dxfId="136" priority="297">
      <formula>OR($C15="Samedi",$C15="Dimanche")</formula>
    </cfRule>
  </conditionalFormatting>
  <conditionalFormatting sqref="AX15:AX17">
    <cfRule type="dataBar" priority="296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{B4197183-1457-463D-BA46-11CAB84ABD16}</x14:id>
        </ext>
      </extLst>
    </cfRule>
  </conditionalFormatting>
  <conditionalFormatting sqref="X15:X17">
    <cfRule type="dataBar" priority="295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{4D2F52DC-7477-4D1B-95CD-E15FB8E5F05C}</x14:id>
        </ext>
      </extLst>
    </cfRule>
  </conditionalFormatting>
  <conditionalFormatting sqref="AU18:AV18 AD18:AE18 U18:V18 C18:D18">
    <cfRule type="expression" dxfId="135" priority="293">
      <formula>OR($C18="Samedi",$C18="Dimanche")</formula>
    </cfRule>
  </conditionalFormatting>
  <conditionalFormatting sqref="AG18">
    <cfRule type="dataBar" priority="29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{1DB02F45-D405-46A3-9107-39F2BA486D7C}</x14:id>
        </ext>
      </extLst>
    </cfRule>
  </conditionalFormatting>
  <conditionalFormatting sqref="AX18">
    <cfRule type="dataBar" priority="292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{D8864EE4-968F-4AF2-B91B-F145B8482300}</x14:id>
        </ext>
      </extLst>
    </cfRule>
  </conditionalFormatting>
  <conditionalFormatting sqref="X18">
    <cfRule type="dataBar" priority="291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{5E150597-087E-4752-B6B4-B877DB050887}</x14:id>
        </ext>
      </extLst>
    </cfRule>
  </conditionalFormatting>
  <conditionalFormatting sqref="AI18">
    <cfRule type="dataBar" priority="288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{2F0E0B56-0939-4E6E-BF1E-C3F0DF6F4548}</x14:id>
        </ext>
      </extLst>
    </cfRule>
  </conditionalFormatting>
  <conditionalFormatting sqref="AK18:AQ18">
    <cfRule type="cellIs" dxfId="134" priority="289" operator="greaterThan">
      <formula>0</formula>
    </cfRule>
    <cfRule type="dataBar" priority="290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{4A1AC27B-FF24-4698-B1B3-E02BCEFFD756}</x14:id>
        </ext>
      </extLst>
    </cfRule>
  </conditionalFormatting>
  <conditionalFormatting sqref="J16">
    <cfRule type="cellIs" dxfId="133" priority="279" operator="greaterThan">
      <formula>1024</formula>
    </cfRule>
    <cfRule type="cellIs" dxfId="132" priority="280" operator="between">
      <formula>1013</formula>
      <formula>1024</formula>
    </cfRule>
    <cfRule type="cellIs" dxfId="131" priority="281" operator="between">
      <formula>1000</formula>
      <formula>1013</formula>
    </cfRule>
  </conditionalFormatting>
  <conditionalFormatting sqref="J16">
    <cfRule type="cellIs" dxfId="130" priority="282" operator="between">
      <formula>950</formula>
      <formula>973</formula>
    </cfRule>
    <cfRule type="cellIs" dxfId="129" priority="283" operator="between">
      <formula>973</formula>
      <formula>1000</formula>
    </cfRule>
  </conditionalFormatting>
  <conditionalFormatting sqref="J17:J18">
    <cfRule type="cellIs" dxfId="128" priority="275" operator="between">
      <formula>0.1</formula>
      <formula>26.9</formula>
    </cfRule>
    <cfRule type="cellIs" dxfId="127" priority="276" operator="greaterThan">
      <formula>27</formula>
    </cfRule>
    <cfRule type="cellIs" dxfId="126" priority="277" operator="lessThan">
      <formula>0</formula>
    </cfRule>
    <cfRule type="cellIs" dxfId="125" priority="278" operator="between">
      <formula>0.1</formula>
      <formula>26.9</formula>
    </cfRule>
  </conditionalFormatting>
  <conditionalFormatting sqref="J15">
    <cfRule type="cellIs" dxfId="124" priority="271" operator="between">
      <formula>0.1</formula>
      <formula>26.9</formula>
    </cfRule>
    <cfRule type="cellIs" dxfId="123" priority="272" operator="greaterThan">
      <formula>27</formula>
    </cfRule>
    <cfRule type="cellIs" dxfId="122" priority="273" operator="lessThan">
      <formula>0</formula>
    </cfRule>
    <cfRule type="cellIs" dxfId="121" priority="274" operator="between">
      <formula>0.1</formula>
      <formula>26.9</formula>
    </cfRule>
  </conditionalFormatting>
  <conditionalFormatting sqref="N16">
    <cfRule type="cellIs" dxfId="120" priority="262" operator="greaterThan">
      <formula>1024</formula>
    </cfRule>
    <cfRule type="cellIs" dxfId="119" priority="263" operator="between">
      <formula>1013</formula>
      <formula>1024</formula>
    </cfRule>
    <cfRule type="cellIs" dxfId="118" priority="264" operator="between">
      <formula>1000</formula>
      <formula>1013</formula>
    </cfRule>
  </conditionalFormatting>
  <conditionalFormatting sqref="N16">
    <cfRule type="cellIs" dxfId="117" priority="265" operator="between">
      <formula>950</formula>
      <formula>973</formula>
    </cfRule>
    <cfRule type="cellIs" dxfId="116" priority="266" operator="between">
      <formula>973</formula>
      <formula>1000</formula>
    </cfRule>
  </conditionalFormatting>
  <conditionalFormatting sqref="N17:N18">
    <cfRule type="cellIs" dxfId="115" priority="258" operator="between">
      <formula>0.1</formula>
      <formula>26.9</formula>
    </cfRule>
    <cfRule type="cellIs" dxfId="114" priority="259" operator="greaterThan">
      <formula>27</formula>
    </cfRule>
    <cfRule type="cellIs" dxfId="113" priority="260" operator="lessThan">
      <formula>0</formula>
    </cfRule>
    <cfRule type="cellIs" dxfId="112" priority="261" operator="between">
      <formula>0.1</formula>
      <formula>26.9</formula>
    </cfRule>
  </conditionalFormatting>
  <conditionalFormatting sqref="N15">
    <cfRule type="cellIs" dxfId="111" priority="254" operator="between">
      <formula>0.1</formula>
      <formula>26.9</formula>
    </cfRule>
    <cfRule type="cellIs" dxfId="110" priority="255" operator="greaterThan">
      <formula>27</formula>
    </cfRule>
    <cfRule type="cellIs" dxfId="109" priority="256" operator="lessThan">
      <formula>0</formula>
    </cfRule>
    <cfRule type="cellIs" dxfId="108" priority="257" operator="between">
      <formula>0.1</formula>
      <formula>26.9</formula>
    </cfRule>
  </conditionalFormatting>
  <conditionalFormatting sqref="F16">
    <cfRule type="cellIs" dxfId="107" priority="245" operator="greaterThan">
      <formula>1024</formula>
    </cfRule>
    <cfRule type="cellIs" dxfId="106" priority="246" operator="between">
      <formula>1013</formula>
      <formula>1024</formula>
    </cfRule>
    <cfRule type="cellIs" dxfId="105" priority="247" operator="between">
      <formula>1000</formula>
      <formula>1013</formula>
    </cfRule>
  </conditionalFormatting>
  <conditionalFormatting sqref="F16">
    <cfRule type="cellIs" dxfId="104" priority="248" operator="between">
      <formula>950</formula>
      <formula>973</formula>
    </cfRule>
    <cfRule type="cellIs" dxfId="103" priority="249" operator="between">
      <formula>973</formula>
      <formula>1000</formula>
    </cfRule>
  </conditionalFormatting>
  <conditionalFormatting sqref="F17:F18">
    <cfRule type="cellIs" dxfId="102" priority="241" operator="between">
      <formula>0.1</formula>
      <formula>26.9</formula>
    </cfRule>
    <cfRule type="cellIs" dxfId="101" priority="242" operator="greaterThan">
      <formula>27</formula>
    </cfRule>
    <cfRule type="cellIs" dxfId="100" priority="243" operator="lessThan">
      <formula>0</formula>
    </cfRule>
    <cfRule type="cellIs" dxfId="99" priority="244" operator="between">
      <formula>0.1</formula>
      <formula>26.9</formula>
    </cfRule>
  </conditionalFormatting>
  <conditionalFormatting sqref="F15">
    <cfRule type="cellIs" dxfId="98" priority="237" operator="between">
      <formula>0.1</formula>
      <formula>26.9</formula>
    </cfRule>
    <cfRule type="cellIs" dxfId="97" priority="238" operator="greaterThan">
      <formula>27</formula>
    </cfRule>
    <cfRule type="cellIs" dxfId="96" priority="239" operator="lessThan">
      <formula>0</formula>
    </cfRule>
    <cfRule type="cellIs" dxfId="95" priority="240" operator="between">
      <formula>0.1</formula>
      <formula>26.9</formula>
    </cfRule>
  </conditionalFormatting>
  <conditionalFormatting sqref="AG15:AG17">
    <cfRule type="dataBar" priority="23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{0BCB522C-3FDC-4EB1-A660-D1B8D87ED668}</x14:id>
        </ext>
      </extLst>
    </cfRule>
  </conditionalFormatting>
  <conditionalFormatting sqref="AI15:AI17">
    <cfRule type="dataBar" priority="229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{2B6A70D4-65F9-4B0F-BE58-7F9E28F57740}</x14:id>
        </ext>
      </extLst>
    </cfRule>
  </conditionalFormatting>
  <conditionalFormatting sqref="AK15:AQ17">
    <cfRule type="cellIs" dxfId="94" priority="230" operator="greaterThan">
      <formula>0</formula>
    </cfRule>
    <cfRule type="dataBar" priority="231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{046B4015-047B-42F6-A6E9-EE78A4C942A4}</x14:id>
        </ext>
      </extLst>
    </cfRule>
  </conditionalFormatting>
  <conditionalFormatting sqref="U71:V71 AU71:AV71 AD71:AE71 C71:D71">
    <cfRule type="expression" dxfId="93" priority="205">
      <formula>OR($C71="Samedi",$C71="Dimanche")</formula>
    </cfRule>
  </conditionalFormatting>
  <conditionalFormatting sqref="AG71">
    <cfRule type="dataBar" priority="20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{2F379AD7-67B4-4872-B268-3279849743EF}</x14:id>
        </ext>
      </extLst>
    </cfRule>
  </conditionalFormatting>
  <conditionalFormatting sqref="AX71">
    <cfRule type="dataBar" priority="204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{69E35C48-FCB2-43FE-901C-585D3DCC5B8A}</x14:id>
        </ext>
      </extLst>
    </cfRule>
  </conditionalFormatting>
  <conditionalFormatting sqref="X71">
    <cfRule type="dataBar" priority="203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{2E658BAA-D5DD-460B-946C-509097A89041}</x14:id>
        </ext>
      </extLst>
    </cfRule>
  </conditionalFormatting>
  <conditionalFormatting sqref="AI71">
    <cfRule type="dataBar" priority="200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{82CB0ABA-F11A-4432-9752-5AE368F0445D}</x14:id>
        </ext>
      </extLst>
    </cfRule>
  </conditionalFormatting>
  <conditionalFormatting sqref="AK71:AQ71">
    <cfRule type="cellIs" dxfId="92" priority="201" operator="greaterThan">
      <formula>0</formula>
    </cfRule>
    <cfRule type="dataBar" priority="202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{BF09CE10-54D3-4956-BD74-C86251CDFED3}</x14:id>
        </ext>
      </extLst>
    </cfRule>
  </conditionalFormatting>
  <conditionalFormatting sqref="J71">
    <cfRule type="cellIs" dxfId="91" priority="196" operator="between">
      <formula>0.1</formula>
      <formula>26.9</formula>
    </cfRule>
    <cfRule type="cellIs" dxfId="90" priority="197" operator="greaterThan">
      <formula>27</formula>
    </cfRule>
    <cfRule type="cellIs" dxfId="89" priority="198" operator="lessThan">
      <formula>0</formula>
    </cfRule>
    <cfRule type="cellIs" dxfId="88" priority="199" operator="between">
      <formula>0.1</formula>
      <formula>26.9</formula>
    </cfRule>
  </conditionalFormatting>
  <conditionalFormatting sqref="N71">
    <cfRule type="cellIs" dxfId="87" priority="192" operator="between">
      <formula>0.1</formula>
      <formula>26.9</formula>
    </cfRule>
    <cfRule type="cellIs" dxfId="86" priority="193" operator="greaterThan">
      <formula>27</formula>
    </cfRule>
    <cfRule type="cellIs" dxfId="85" priority="194" operator="lessThan">
      <formula>0</formula>
    </cfRule>
    <cfRule type="cellIs" dxfId="84" priority="195" operator="between">
      <formula>0.1</formula>
      <formula>26.9</formula>
    </cfRule>
  </conditionalFormatting>
  <conditionalFormatting sqref="F71">
    <cfRule type="cellIs" dxfId="83" priority="188" operator="between">
      <formula>0.1</formula>
      <formula>26.9</formula>
    </cfRule>
    <cfRule type="cellIs" dxfId="82" priority="189" operator="greaterThan">
      <formula>27</formula>
    </cfRule>
    <cfRule type="cellIs" dxfId="81" priority="190" operator="lessThan">
      <formula>0</formula>
    </cfRule>
    <cfRule type="cellIs" dxfId="80" priority="191" operator="between">
      <formula>0.1</formula>
      <formula>26.9</formula>
    </cfRule>
  </conditionalFormatting>
  <conditionalFormatting sqref="U70:V70 AU70:AV70 AD70:AE70 C70:D70">
    <cfRule type="expression" dxfId="79" priority="186">
      <formula>OR($C70="Samedi",$C70="Dimanche")</formula>
    </cfRule>
  </conditionalFormatting>
  <conditionalFormatting sqref="AG70">
    <cfRule type="dataBar" priority="187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{BC21562D-3CD3-4F23-B7F5-3F3AB0CF2C7E}</x14:id>
        </ext>
      </extLst>
    </cfRule>
  </conditionalFormatting>
  <conditionalFormatting sqref="AX70">
    <cfRule type="dataBar" priority="18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{AC9C7A07-58D1-4216-9CFC-346C149AFE4E}</x14:id>
        </ext>
      </extLst>
    </cfRule>
  </conditionalFormatting>
  <conditionalFormatting sqref="X70">
    <cfRule type="dataBar" priority="184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{4E3C0EF9-0B77-4B45-B7D8-20530095501D}</x14:id>
        </ext>
      </extLst>
    </cfRule>
  </conditionalFormatting>
  <conditionalFormatting sqref="AI70">
    <cfRule type="dataBar" priority="181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{D0D0311D-22F0-4859-82C5-C3E5A2843914}</x14:id>
        </ext>
      </extLst>
    </cfRule>
  </conditionalFormatting>
  <conditionalFormatting sqref="AK70:AQ70">
    <cfRule type="cellIs" dxfId="78" priority="182" operator="greaterThan">
      <formula>0</formula>
    </cfRule>
    <cfRule type="dataBar" priority="183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{1615D5DE-BFCD-4D5E-A574-C5F3A0DB263F}</x14:id>
        </ext>
      </extLst>
    </cfRule>
  </conditionalFormatting>
  <conditionalFormatting sqref="J70">
    <cfRule type="cellIs" dxfId="77" priority="177" operator="between">
      <formula>0.1</formula>
      <formula>26.9</formula>
    </cfRule>
    <cfRule type="cellIs" dxfId="76" priority="178" operator="greaterThan">
      <formula>27</formula>
    </cfRule>
    <cfRule type="cellIs" dxfId="75" priority="179" operator="lessThan">
      <formula>0</formula>
    </cfRule>
    <cfRule type="cellIs" dxfId="74" priority="180" operator="between">
      <formula>0.1</formula>
      <formula>26.9</formula>
    </cfRule>
  </conditionalFormatting>
  <conditionalFormatting sqref="N70">
    <cfRule type="cellIs" dxfId="73" priority="173" operator="between">
      <formula>0.1</formula>
      <formula>26.9</formula>
    </cfRule>
    <cfRule type="cellIs" dxfId="72" priority="174" operator="greaterThan">
      <formula>27</formula>
    </cfRule>
    <cfRule type="cellIs" dxfId="71" priority="175" operator="lessThan">
      <formula>0</formula>
    </cfRule>
    <cfRule type="cellIs" dxfId="70" priority="176" operator="between">
      <formula>0.1</formula>
      <formula>26.9</formula>
    </cfRule>
  </conditionalFormatting>
  <conditionalFormatting sqref="F70">
    <cfRule type="cellIs" dxfId="69" priority="169" operator="between">
      <formula>0.1</formula>
      <formula>26.9</formula>
    </cfRule>
    <cfRule type="cellIs" dxfId="68" priority="170" operator="greaterThan">
      <formula>27</formula>
    </cfRule>
    <cfRule type="cellIs" dxfId="67" priority="171" operator="lessThan">
      <formula>0</formula>
    </cfRule>
    <cfRule type="cellIs" dxfId="66" priority="172" operator="between">
      <formula>0.1</formula>
      <formula>26.9</formula>
    </cfRule>
  </conditionalFormatting>
  <conditionalFormatting sqref="AM43">
    <cfRule type="cellIs" dxfId="65" priority="110" operator="greaterThan">
      <formula>0</formula>
    </cfRule>
    <cfRule type="dataBar" priority="111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{F856436A-D049-405F-B50D-83474B40B8DB}</x14:id>
        </ext>
      </extLst>
    </cfRule>
  </conditionalFormatting>
  <conditionalFormatting sqref="U11:V11 AU11:AV11 AD11:AE11 C11:D11">
    <cfRule type="expression" dxfId="64" priority="108">
      <formula>OR($C11="Samedi",$C11="Dimanche")</formula>
    </cfRule>
  </conditionalFormatting>
  <conditionalFormatting sqref="AG11">
    <cfRule type="dataBar" priority="109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{2CED5AE6-5B91-442C-9BA7-187C487E6474}</x14:id>
        </ext>
      </extLst>
    </cfRule>
  </conditionalFormatting>
  <conditionalFormatting sqref="AX11">
    <cfRule type="dataBar" priority="10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{B59024EE-C782-4CC1-A82C-5FC94C7827E8}</x14:id>
        </ext>
      </extLst>
    </cfRule>
  </conditionalFormatting>
  <conditionalFormatting sqref="X11">
    <cfRule type="dataBar" priority="106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{BCAB0047-2230-4261-A310-B3AA4293D052}</x14:id>
        </ext>
      </extLst>
    </cfRule>
  </conditionalFormatting>
  <conditionalFormatting sqref="AI11">
    <cfRule type="dataBar" priority="103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{BDB3270B-17F2-470B-9A42-51C13231266C}</x14:id>
        </ext>
      </extLst>
    </cfRule>
  </conditionalFormatting>
  <conditionalFormatting sqref="AK11:AQ11">
    <cfRule type="cellIs" dxfId="63" priority="104" operator="greaterThan">
      <formula>0</formula>
    </cfRule>
    <cfRule type="dataBar" priority="105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{053009D5-CB31-4E33-9419-ED5FDFA532AE}</x14:id>
        </ext>
      </extLst>
    </cfRule>
  </conditionalFormatting>
  <conditionalFormatting sqref="J11">
    <cfRule type="cellIs" dxfId="62" priority="99" operator="between">
      <formula>0.1</formula>
      <formula>26.9</formula>
    </cfRule>
    <cfRule type="cellIs" dxfId="61" priority="100" operator="greaterThan">
      <formula>27</formula>
    </cfRule>
    <cfRule type="cellIs" dxfId="60" priority="101" operator="lessThan">
      <formula>0</formula>
    </cfRule>
    <cfRule type="cellIs" dxfId="59" priority="102" operator="between">
      <formula>0.1</formula>
      <formula>26.9</formula>
    </cfRule>
  </conditionalFormatting>
  <conditionalFormatting sqref="N11">
    <cfRule type="cellIs" dxfId="58" priority="95" operator="between">
      <formula>0.1</formula>
      <formula>26.9</formula>
    </cfRule>
    <cfRule type="cellIs" dxfId="57" priority="96" operator="greaterThan">
      <formula>27</formula>
    </cfRule>
    <cfRule type="cellIs" dxfId="56" priority="97" operator="lessThan">
      <formula>0</formula>
    </cfRule>
    <cfRule type="cellIs" dxfId="55" priority="98" operator="between">
      <formula>0.1</formula>
      <formula>26.9</formula>
    </cfRule>
  </conditionalFormatting>
  <conditionalFormatting sqref="F11">
    <cfRule type="cellIs" dxfId="54" priority="91" operator="between">
      <formula>0.1</formula>
      <formula>26.9</formula>
    </cfRule>
    <cfRule type="cellIs" dxfId="53" priority="92" operator="greaterThan">
      <formula>27</formula>
    </cfRule>
    <cfRule type="cellIs" dxfId="52" priority="93" operator="lessThan">
      <formula>0</formula>
    </cfRule>
    <cfRule type="cellIs" dxfId="51" priority="94" operator="between">
      <formula>0.1</formula>
      <formula>26.9</formula>
    </cfRule>
  </conditionalFormatting>
  <conditionalFormatting sqref="U13:V13 AU13:AV13 AD13:AE13 C13:D13">
    <cfRule type="expression" dxfId="50" priority="89">
      <formula>OR($C13="Samedi",$C13="Dimanche")</formula>
    </cfRule>
  </conditionalFormatting>
  <conditionalFormatting sqref="AG13">
    <cfRule type="dataBar" priority="90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{F89E225F-CE86-4FB5-AA13-0F407349C3CE}</x14:id>
        </ext>
      </extLst>
    </cfRule>
  </conditionalFormatting>
  <conditionalFormatting sqref="AX13">
    <cfRule type="dataBar" priority="8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{C4BF6930-6FB6-4449-AA32-EFAA4C9BD91D}</x14:id>
        </ext>
      </extLst>
    </cfRule>
  </conditionalFormatting>
  <conditionalFormatting sqref="X13">
    <cfRule type="dataBar" priority="87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{9667DDC5-6D2A-48A1-B07D-E51B196B3BFC}</x14:id>
        </ext>
      </extLst>
    </cfRule>
  </conditionalFormatting>
  <conditionalFormatting sqref="AI13">
    <cfRule type="dataBar" priority="84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{AE0951D2-3F33-4848-A472-066BB2B9461F}</x14:id>
        </ext>
      </extLst>
    </cfRule>
  </conditionalFormatting>
  <conditionalFormatting sqref="AK13:AQ13">
    <cfRule type="cellIs" dxfId="49" priority="85" operator="greaterThan">
      <formula>0</formula>
    </cfRule>
    <cfRule type="dataBar" priority="86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{CC09860D-B2B5-4B58-9F33-0B6B97848248}</x14:id>
        </ext>
      </extLst>
    </cfRule>
  </conditionalFormatting>
  <conditionalFormatting sqref="J13">
    <cfRule type="cellIs" dxfId="48" priority="80" operator="between">
      <formula>0.1</formula>
      <formula>26.9</formula>
    </cfRule>
    <cfRule type="cellIs" dxfId="47" priority="81" operator="greaterThan">
      <formula>27</formula>
    </cfRule>
    <cfRule type="cellIs" dxfId="46" priority="82" operator="lessThan">
      <formula>0</formula>
    </cfRule>
    <cfRule type="cellIs" dxfId="45" priority="83" operator="between">
      <formula>0.1</formula>
      <formula>26.9</formula>
    </cfRule>
  </conditionalFormatting>
  <conditionalFormatting sqref="N13">
    <cfRule type="cellIs" dxfId="44" priority="76" operator="between">
      <formula>0.1</formula>
      <formula>26.9</formula>
    </cfRule>
    <cfRule type="cellIs" dxfId="43" priority="77" operator="greaterThan">
      <formula>27</formula>
    </cfRule>
    <cfRule type="cellIs" dxfId="42" priority="78" operator="lessThan">
      <formula>0</formula>
    </cfRule>
    <cfRule type="cellIs" dxfId="41" priority="79" operator="between">
      <formula>0.1</formula>
      <formula>26.9</formula>
    </cfRule>
  </conditionalFormatting>
  <conditionalFormatting sqref="F13">
    <cfRule type="cellIs" dxfId="40" priority="72" operator="between">
      <formula>0.1</formula>
      <formula>26.9</formula>
    </cfRule>
    <cfRule type="cellIs" dxfId="39" priority="73" operator="greaterThan">
      <formula>27</formula>
    </cfRule>
    <cfRule type="cellIs" dxfId="38" priority="74" operator="lessThan">
      <formula>0</formula>
    </cfRule>
    <cfRule type="cellIs" dxfId="37" priority="75" operator="between">
      <formula>0.1</formula>
      <formula>26.9</formula>
    </cfRule>
  </conditionalFormatting>
  <conditionalFormatting sqref="U12:V12 AU12:AV12 AD12:AE12 C12:D12">
    <cfRule type="expression" dxfId="36" priority="70">
      <formula>OR($C12="Samedi",$C12="Dimanche")</formula>
    </cfRule>
  </conditionalFormatting>
  <conditionalFormatting sqref="AG12">
    <cfRule type="dataBar" priority="71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{47B9D498-1030-4D03-BA35-D45CD8952C99}</x14:id>
        </ext>
      </extLst>
    </cfRule>
  </conditionalFormatting>
  <conditionalFormatting sqref="AX12">
    <cfRule type="dataBar" priority="6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{5FDDE8DA-B264-462F-831D-14A0A389FD76}</x14:id>
        </ext>
      </extLst>
    </cfRule>
  </conditionalFormatting>
  <conditionalFormatting sqref="X12">
    <cfRule type="dataBar" priority="68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{9DC32ED9-BD80-4510-8CB0-989E9F6CD04F}</x14:id>
        </ext>
      </extLst>
    </cfRule>
  </conditionalFormatting>
  <conditionalFormatting sqref="AI12">
    <cfRule type="dataBar" priority="65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{182EB207-B9DB-4369-8C57-A10EEBC36080}</x14:id>
        </ext>
      </extLst>
    </cfRule>
  </conditionalFormatting>
  <conditionalFormatting sqref="AK12:AQ12">
    <cfRule type="cellIs" dxfId="35" priority="66" operator="greaterThan">
      <formula>0</formula>
    </cfRule>
    <cfRule type="dataBar" priority="67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{1C4EB1DA-C99E-41DF-BD2C-2E012CFD0C29}</x14:id>
        </ext>
      </extLst>
    </cfRule>
  </conditionalFormatting>
  <conditionalFormatting sqref="J12">
    <cfRule type="cellIs" dxfId="34" priority="61" operator="between">
      <formula>0.1</formula>
      <formula>26.9</formula>
    </cfRule>
    <cfRule type="cellIs" dxfId="33" priority="62" operator="greaterThan">
      <formula>27</formula>
    </cfRule>
    <cfRule type="cellIs" dxfId="32" priority="63" operator="lessThan">
      <formula>0</formula>
    </cfRule>
    <cfRule type="cellIs" dxfId="31" priority="64" operator="between">
      <formula>0.1</formula>
      <formula>26.9</formula>
    </cfRule>
  </conditionalFormatting>
  <conditionalFormatting sqref="N12">
    <cfRule type="cellIs" dxfId="30" priority="57" operator="between">
      <formula>0.1</formula>
      <formula>26.9</formula>
    </cfRule>
    <cfRule type="cellIs" dxfId="29" priority="58" operator="greaterThan">
      <formula>27</formula>
    </cfRule>
    <cfRule type="cellIs" dxfId="28" priority="59" operator="lessThan">
      <formula>0</formula>
    </cfRule>
    <cfRule type="cellIs" dxfId="27" priority="60" operator="between">
      <formula>0.1</formula>
      <formula>26.9</formula>
    </cfRule>
  </conditionalFormatting>
  <conditionalFormatting sqref="F12">
    <cfRule type="cellIs" dxfId="26" priority="53" operator="between">
      <formula>0.1</formula>
      <formula>26.9</formula>
    </cfRule>
    <cfRule type="cellIs" dxfId="25" priority="54" operator="greaterThan">
      <formula>27</formula>
    </cfRule>
    <cfRule type="cellIs" dxfId="24" priority="55" operator="lessThan">
      <formula>0</formula>
    </cfRule>
    <cfRule type="cellIs" dxfId="23" priority="56" operator="between">
      <formula>0.1</formula>
      <formula>26.9</formula>
    </cfRule>
  </conditionalFormatting>
  <conditionalFormatting sqref="F14">
    <cfRule type="cellIs" dxfId="22" priority="12" operator="greaterThan">
      <formula>1024</formula>
    </cfRule>
    <cfRule type="cellIs" dxfId="21" priority="13" operator="between">
      <formula>1013</formula>
      <formula>1024</formula>
    </cfRule>
    <cfRule type="cellIs" dxfId="20" priority="14" operator="between">
      <formula>1000</formula>
      <formula>1013</formula>
    </cfRule>
  </conditionalFormatting>
  <conditionalFormatting sqref="AD14:AE14 AU14:AV14 U14:V14 C14:D14">
    <cfRule type="expression" dxfId="19" priority="32">
      <formula>OR($C14="Samedi",$C14="Dimanche")</formula>
    </cfRule>
  </conditionalFormatting>
  <conditionalFormatting sqref="AG14">
    <cfRule type="dataBar" priority="33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{F3047579-58D5-4BE3-BFA3-F93BC2B7142A}</x14:id>
        </ext>
      </extLst>
    </cfRule>
  </conditionalFormatting>
  <conditionalFormatting sqref="AX14">
    <cfRule type="dataBar" priority="2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{A3E8F6F5-BA90-442F-8351-2C5674A817BF}</x14:id>
        </ext>
      </extLst>
    </cfRule>
  </conditionalFormatting>
  <conditionalFormatting sqref="X14">
    <cfRule type="dataBar" priority="28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{1CF06646-0DD8-4C11-9064-BA45D3D5395F}</x14:id>
        </ext>
      </extLst>
    </cfRule>
  </conditionalFormatting>
  <conditionalFormatting sqref="AI14">
    <cfRule type="dataBar" priority="23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{3A585ED9-6B38-4613-A228-9268511664AF}</x14:id>
        </ext>
      </extLst>
    </cfRule>
  </conditionalFormatting>
  <conditionalFormatting sqref="J14">
    <cfRule type="cellIs" dxfId="18" priority="22" operator="greaterThan">
      <formula>1024</formula>
    </cfRule>
    <cfRule type="cellIs" dxfId="17" priority="25" operator="between">
      <formula>1013</formula>
      <formula>1024</formula>
    </cfRule>
    <cfRule type="cellIs" dxfId="16" priority="26" operator="between">
      <formula>1000</formula>
      <formula>1013</formula>
    </cfRule>
  </conditionalFormatting>
  <conditionalFormatting sqref="AK14:AQ14">
    <cfRule type="cellIs" dxfId="15" priority="24" operator="greaterThan">
      <formula>0</formula>
    </cfRule>
    <cfRule type="dataBar" priority="27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{B79CA101-062C-4636-814E-45AB8CE4B871}</x14:id>
        </ext>
      </extLst>
    </cfRule>
  </conditionalFormatting>
  <conditionalFormatting sqref="J14">
    <cfRule type="cellIs" dxfId="14" priority="30" operator="between">
      <formula>950</formula>
      <formula>973</formula>
    </cfRule>
    <cfRule type="cellIs" dxfId="13" priority="31" operator="between">
      <formula>973</formula>
      <formula>1000</formula>
    </cfRule>
  </conditionalFormatting>
  <conditionalFormatting sqref="N14">
    <cfRule type="cellIs" dxfId="12" priority="17" operator="greaterThan">
      <formula>1024</formula>
    </cfRule>
    <cfRule type="cellIs" dxfId="11" priority="18" operator="between">
      <formula>1013</formula>
      <formula>1024</formula>
    </cfRule>
    <cfRule type="cellIs" dxfId="10" priority="19" operator="between">
      <formula>1000</formula>
      <formula>1013</formula>
    </cfRule>
  </conditionalFormatting>
  <conditionalFormatting sqref="N14">
    <cfRule type="cellIs" dxfId="9" priority="20" operator="between">
      <formula>950</formula>
      <formula>973</formula>
    </cfRule>
    <cfRule type="cellIs" dxfId="8" priority="21" operator="between">
      <formula>973</formula>
      <formula>1000</formula>
    </cfRule>
  </conditionalFormatting>
  <conditionalFormatting sqref="F14">
    <cfRule type="cellIs" dxfId="7" priority="15" operator="between">
      <formula>950</formula>
      <formula>973</formula>
    </cfRule>
    <cfRule type="cellIs" dxfId="6" priority="16" operator="between">
      <formula>973</formula>
      <formula>1000</formula>
    </cfRule>
  </conditionalFormatting>
  <conditionalFormatting sqref="J24 N24 F24">
    <cfRule type="cellIs" dxfId="5" priority="1" operator="between">
      <formula>0.1</formula>
      <formula>26.9</formula>
    </cfRule>
    <cfRule type="cellIs" dxfId="4" priority="2" operator="greaterThan">
      <formula>27</formula>
    </cfRule>
    <cfRule type="cellIs" dxfId="3" priority="3" operator="lessThan">
      <formula>0</formula>
    </cfRule>
    <cfRule type="cellIs" dxfId="2" priority="4" operator="between">
      <formula>0.1</formula>
      <formula>26.9</formula>
    </cfRule>
  </conditionalFormatting>
  <conditionalFormatting sqref="AD24:AE24 AU24:AV24 U24:V24 C24:D24">
    <cfRule type="expression" dxfId="1" priority="10">
      <formula>OR($C24="Samedi",$C24="Dimanche")</formula>
    </cfRule>
  </conditionalFormatting>
  <conditionalFormatting sqref="AG24">
    <cfRule type="dataBar" priority="11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{E52F4528-862F-4E28-B897-37C61C7620AE}</x14:id>
        </ext>
      </extLst>
    </cfRule>
  </conditionalFormatting>
  <conditionalFormatting sqref="AX24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{487C509F-37E7-4B8E-9D8B-C58F49CFCA1E}</x14:id>
        </ext>
      </extLst>
    </cfRule>
  </conditionalFormatting>
  <conditionalFormatting sqref="X24">
    <cfRule type="dataBar" priority="8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{A3263FDD-988B-47DA-941B-143113DC6E1B}</x14:id>
        </ext>
      </extLst>
    </cfRule>
  </conditionalFormatting>
  <conditionalFormatting sqref="AI24">
    <cfRule type="dataBar" priority="5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{037EBBF6-CCA2-4490-A361-397FF1A85B96}</x14:id>
        </ext>
      </extLst>
    </cfRule>
  </conditionalFormatting>
  <conditionalFormatting sqref="AK24:AQ24">
    <cfRule type="cellIs" dxfId="0" priority="6" operator="greaterThan">
      <formula>0</formula>
    </cfRule>
    <cfRule type="dataBar" priority="7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{20CA7C6D-8B73-42D3-8E82-7BB8BCCF6D7C}</x14:id>
        </ext>
      </extLst>
    </cfRule>
  </conditionalFormatting>
  <hyperlinks>
    <hyperlink ref="BN3" r:id="rId1"/>
    <hyperlink ref="BN1" r:id="rId2"/>
    <hyperlink ref="BC5" r:id="rId3"/>
    <hyperlink ref="BC1" r:id="rId4"/>
    <hyperlink ref="BN5" r:id="rId5"/>
    <hyperlink ref="BN7" r:id="rId6"/>
    <hyperlink ref="BC3" r:id="rId7"/>
  </hyperlinks>
  <pageMargins left="0.78740157499999996" right="0.78740157499999996" top="0.984251969" bottom="0.984251969" header="0.4921259845" footer="0.4921259845"/>
  <pageSetup paperSize="9" orientation="portrait" r:id="rId8"/>
  <headerFooter alignWithMargins="0"/>
  <drawing r:id="rId9"/>
  <legacyDrawing r:id="rId10"/>
  <controls>
    <mc:AlternateContent xmlns:mc="http://schemas.openxmlformats.org/markup-compatibility/2006">
      <mc:Choice Requires="x14">
        <control shapeId="113717" r:id="rId11" name="CommandButton1">
          <controlPr defaultSize="0" autoLine="0" r:id="rId12">
            <anchor moveWithCells="1">
              <from>
                <xdr:col>23</xdr:col>
                <xdr:colOff>685800</xdr:colOff>
                <xdr:row>0</xdr:row>
                <xdr:rowOff>114300</xdr:rowOff>
              </from>
              <to>
                <xdr:col>25</xdr:col>
                <xdr:colOff>647700</xdr:colOff>
                <xdr:row>2</xdr:row>
                <xdr:rowOff>47625</xdr:rowOff>
              </to>
            </anchor>
          </controlPr>
        </control>
      </mc:Choice>
      <mc:Fallback>
        <control shapeId="113717" r:id="rId11" name="CommandButton1"/>
      </mc:Fallback>
    </mc:AlternateContent>
    <mc:AlternateContent xmlns:mc="http://schemas.openxmlformats.org/markup-compatibility/2006">
      <mc:Choice Requires="x14">
        <control shapeId="113682" r:id="rId13" name="Button 18">
          <controlPr defaultSize="0" print="0" autoFill="0" autoPict="0" macro="[0]!Tableau_Temperatures">
            <anchor moveWithCells="1" sizeWithCells="1">
              <from>
                <xdr:col>15</xdr:col>
                <xdr:colOff>133350</xdr:colOff>
                <xdr:row>0</xdr:row>
                <xdr:rowOff>76200</xdr:rowOff>
              </from>
              <to>
                <xdr:col>17</xdr:col>
                <xdr:colOff>95250</xdr:colOff>
                <xdr:row>2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3684" r:id="rId14" name="Button 20">
          <controlPr defaultSize="0" print="0" autoFill="0" autoPict="0" macro="[0]!Tableau_Vent">
            <anchor moveWithCells="1" sizeWithCells="1">
              <from>
                <xdr:col>18</xdr:col>
                <xdr:colOff>85725</xdr:colOff>
                <xdr:row>0</xdr:row>
                <xdr:rowOff>76200</xdr:rowOff>
              </from>
              <to>
                <xdr:col>20</xdr:col>
                <xdr:colOff>409575</xdr:colOff>
                <xdr:row>2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3687" r:id="rId15" name="Button 23">
          <controlPr defaultSize="0" print="0" autoFill="0" autoPict="0" macro="[0]!Tableau_Soleil">
            <anchor moveWithCells="1" sizeWithCells="1">
              <from>
                <xdr:col>21</xdr:col>
                <xdr:colOff>314325</xdr:colOff>
                <xdr:row>0</xdr:row>
                <xdr:rowOff>66675</xdr:rowOff>
              </from>
              <to>
                <xdr:col>23</xdr:col>
                <xdr:colOff>361950</xdr:colOff>
                <xdr:row>2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3688" r:id="rId16" name="Button 24">
          <controlPr defaultSize="0" print="0" autoFill="0" autoPict="0" macro="[0]!Tableau_Pluie">
            <anchor moveWithCells="1" sizeWithCells="1">
              <from>
                <xdr:col>20</xdr:col>
                <xdr:colOff>485775</xdr:colOff>
                <xdr:row>0</xdr:row>
                <xdr:rowOff>66675</xdr:rowOff>
              </from>
              <to>
                <xdr:col>21</xdr:col>
                <xdr:colOff>247650</xdr:colOff>
                <xdr:row>2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3760" r:id="rId17" name="Button 96">
          <controlPr defaultSize="0" print="0" autoFill="0" autoPict="0" macro="[0]!Changement_de_mois">
            <anchor moveWithCells="1" sizeWithCells="1">
              <from>
                <xdr:col>1</xdr:col>
                <xdr:colOff>0</xdr:colOff>
                <xdr:row>0</xdr:row>
                <xdr:rowOff>95250</xdr:rowOff>
              </from>
              <to>
                <xdr:col>4</xdr:col>
                <xdr:colOff>28575</xdr:colOff>
                <xdr:row>2</xdr:row>
                <xdr:rowOff>104775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B2F8EEC-23F6-4218-BD0A-F0BE19E2F1E7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AG19:AG23 AG28</xm:sqref>
        </x14:conditionalFormatting>
        <x14:conditionalFormatting xmlns:xm="http://schemas.microsoft.com/office/excel/2006/main">
          <x14:cfRule type="dataBar" id="{89182911-33E4-4AB7-803E-4C206B71843D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AX19:AX23 AX25:AX31</xm:sqref>
        </x14:conditionalFormatting>
        <x14:conditionalFormatting xmlns:xm="http://schemas.microsoft.com/office/excel/2006/main">
          <x14:cfRule type="dataBar" id="{B0822F1B-EC3E-4845-AB46-36B5F1514142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X19:X23 X25:X31</xm:sqref>
        </x14:conditionalFormatting>
        <x14:conditionalFormatting xmlns:xm="http://schemas.microsoft.com/office/excel/2006/main">
          <x14:cfRule type="dataBar" id="{00067CFE-8E0D-4F98-8D32-EC2DF3D7AB14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AI19:AI23 AI28</xm:sqref>
        </x14:conditionalFormatting>
        <x14:conditionalFormatting xmlns:xm="http://schemas.microsoft.com/office/excel/2006/main">
          <x14:cfRule type="dataBar" id="{2ECAA2CF-B6AB-414B-8702-454F8C908BCF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AK19:AQ23 AK28:AQ28</xm:sqref>
        </x14:conditionalFormatting>
        <x14:conditionalFormatting xmlns:xm="http://schemas.microsoft.com/office/excel/2006/main">
          <x14:cfRule type="dataBar" id="{D578C665-33CA-41C1-A059-BE2B8D541D5D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AG32:AG33</xm:sqref>
        </x14:conditionalFormatting>
        <x14:conditionalFormatting xmlns:xm="http://schemas.microsoft.com/office/excel/2006/main">
          <x14:cfRule type="dataBar" id="{2F88DAF2-CB4C-4E6C-8241-1CBE88FB0B12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AX32:AX33</xm:sqref>
        </x14:conditionalFormatting>
        <x14:conditionalFormatting xmlns:xm="http://schemas.microsoft.com/office/excel/2006/main">
          <x14:cfRule type="dataBar" id="{65F6F338-33FE-49FF-971F-89B6268DA93E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X32:X33</xm:sqref>
        </x14:conditionalFormatting>
        <x14:conditionalFormatting xmlns:xm="http://schemas.microsoft.com/office/excel/2006/main">
          <x14:cfRule type="dataBar" id="{E1E81538-D9B2-4977-8EDE-4161C904DD13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AI32:AI33</xm:sqref>
        </x14:conditionalFormatting>
        <x14:conditionalFormatting xmlns:xm="http://schemas.microsoft.com/office/excel/2006/main">
          <x14:cfRule type="dataBar" id="{9AE03AE5-2AA0-4B82-98EB-AE6C4F68FB59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AK32:AQ33</xm:sqref>
        </x14:conditionalFormatting>
        <x14:conditionalFormatting xmlns:xm="http://schemas.microsoft.com/office/excel/2006/main">
          <x14:cfRule type="dataBar" id="{B99CDE84-B3D7-415E-B39A-C14005CA3CB5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AG34:AG37 AG39</xm:sqref>
        </x14:conditionalFormatting>
        <x14:conditionalFormatting xmlns:xm="http://schemas.microsoft.com/office/excel/2006/main">
          <x14:cfRule type="dataBar" id="{7704DC03-F13A-4CE0-82AE-92E33CA3EA71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AX34:AX37 AX39</xm:sqref>
        </x14:conditionalFormatting>
        <x14:conditionalFormatting xmlns:xm="http://schemas.microsoft.com/office/excel/2006/main">
          <x14:cfRule type="dataBar" id="{B213D579-63C7-48C9-B132-B115B4D43DC8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X34:X37 X39</xm:sqref>
        </x14:conditionalFormatting>
        <x14:conditionalFormatting xmlns:xm="http://schemas.microsoft.com/office/excel/2006/main">
          <x14:cfRule type="dataBar" id="{7187AA32-B8D9-4846-B15D-B71107CA49D5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AI34:AI37 AI39</xm:sqref>
        </x14:conditionalFormatting>
        <x14:conditionalFormatting xmlns:xm="http://schemas.microsoft.com/office/excel/2006/main">
          <x14:cfRule type="dataBar" id="{3229F74E-3722-4DB3-B0BC-8020DD747FCE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AK34:AQ37 AK39:AQ39</xm:sqref>
        </x14:conditionalFormatting>
        <x14:conditionalFormatting xmlns:xm="http://schemas.microsoft.com/office/excel/2006/main">
          <x14:cfRule type="dataBar" id="{0E78788A-7B8C-4A81-AD78-CFE172ED0892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AG40:AG41</xm:sqref>
        </x14:conditionalFormatting>
        <x14:conditionalFormatting xmlns:xm="http://schemas.microsoft.com/office/excel/2006/main">
          <x14:cfRule type="dataBar" id="{D045011F-62D4-4925-8D1D-D8E02EDD6253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AX40:AX41</xm:sqref>
        </x14:conditionalFormatting>
        <x14:conditionalFormatting xmlns:xm="http://schemas.microsoft.com/office/excel/2006/main">
          <x14:cfRule type="dataBar" id="{C09037C6-0EDD-45FC-8210-9E97FB4FF060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X40:X41</xm:sqref>
        </x14:conditionalFormatting>
        <x14:conditionalFormatting xmlns:xm="http://schemas.microsoft.com/office/excel/2006/main">
          <x14:cfRule type="dataBar" id="{5BCE79C6-FE78-4720-B1FF-93E222F734E7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AI40:AI41</xm:sqref>
        </x14:conditionalFormatting>
        <x14:conditionalFormatting xmlns:xm="http://schemas.microsoft.com/office/excel/2006/main">
          <x14:cfRule type="dataBar" id="{DFE06A84-0E2F-489D-B346-9BA2F798D7C6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AK40:AQ41</xm:sqref>
        </x14:conditionalFormatting>
        <x14:conditionalFormatting xmlns:xm="http://schemas.microsoft.com/office/excel/2006/main">
          <x14:cfRule type="dataBar" id="{EC920855-1651-46AF-96DB-5F622D0F0D8B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AG43</xm:sqref>
        </x14:conditionalFormatting>
        <x14:conditionalFormatting xmlns:xm="http://schemas.microsoft.com/office/excel/2006/main">
          <x14:cfRule type="dataBar" id="{D9E7E09A-A427-45D5-B5F7-330ACBFFCF03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AX43</xm:sqref>
        </x14:conditionalFormatting>
        <x14:conditionalFormatting xmlns:xm="http://schemas.microsoft.com/office/excel/2006/main">
          <x14:cfRule type="dataBar" id="{A1620578-F8E1-4998-BD64-567845B7C706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X43</xm:sqref>
        </x14:conditionalFormatting>
        <x14:conditionalFormatting xmlns:xm="http://schemas.microsoft.com/office/excel/2006/main">
          <x14:cfRule type="dataBar" id="{C41FF483-33C7-4175-97EE-D577D1582CAB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AI43</xm:sqref>
        </x14:conditionalFormatting>
        <x14:conditionalFormatting xmlns:xm="http://schemas.microsoft.com/office/excel/2006/main">
          <x14:cfRule type="dataBar" id="{E9A1510A-1747-4C3C-A9F8-DCB45B3D2733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AK43:AL43 AN43:AQ43</xm:sqref>
        </x14:conditionalFormatting>
        <x14:conditionalFormatting xmlns:xm="http://schemas.microsoft.com/office/excel/2006/main">
          <x14:cfRule type="dataBar" id="{43CA2080-210C-49A9-884A-B9BADB69B238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AG44:AG45</xm:sqref>
        </x14:conditionalFormatting>
        <x14:conditionalFormatting xmlns:xm="http://schemas.microsoft.com/office/excel/2006/main">
          <x14:cfRule type="dataBar" id="{13067C26-B6CC-4A4B-ADDD-1F5B7AC61B93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AX44:AX45</xm:sqref>
        </x14:conditionalFormatting>
        <x14:conditionalFormatting xmlns:xm="http://schemas.microsoft.com/office/excel/2006/main">
          <x14:cfRule type="dataBar" id="{286F53FF-E2B8-4F63-84FE-1405CCC0A9FB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X44:X45</xm:sqref>
        </x14:conditionalFormatting>
        <x14:conditionalFormatting xmlns:xm="http://schemas.microsoft.com/office/excel/2006/main">
          <x14:cfRule type="dataBar" id="{676F4CA4-4CF1-4B05-B9BE-C5D7E4064BE9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AI44:AI45</xm:sqref>
        </x14:conditionalFormatting>
        <x14:conditionalFormatting xmlns:xm="http://schemas.microsoft.com/office/excel/2006/main">
          <x14:cfRule type="dataBar" id="{839D3DE8-C867-450E-83F5-C961D1ED01B2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AK44:AQ45</xm:sqref>
        </x14:conditionalFormatting>
        <x14:conditionalFormatting xmlns:xm="http://schemas.microsoft.com/office/excel/2006/main">
          <x14:cfRule type="dataBar" id="{5CD0750B-8466-459F-A56F-90C7C2E175DA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AG46:AG47</xm:sqref>
        </x14:conditionalFormatting>
        <x14:conditionalFormatting xmlns:xm="http://schemas.microsoft.com/office/excel/2006/main">
          <x14:cfRule type="dataBar" id="{E0F1B09F-F8D0-4FD3-A7DF-779230DCFA6B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AX46:AX47</xm:sqref>
        </x14:conditionalFormatting>
        <x14:conditionalFormatting xmlns:xm="http://schemas.microsoft.com/office/excel/2006/main">
          <x14:cfRule type="dataBar" id="{00D57865-BB1A-4F92-AA72-3B5CC49D13B6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X46:X47</xm:sqref>
        </x14:conditionalFormatting>
        <x14:conditionalFormatting xmlns:xm="http://schemas.microsoft.com/office/excel/2006/main">
          <x14:cfRule type="dataBar" id="{169F4930-86B9-4DBC-B03E-7F9802D41CF6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AI46:AI47</xm:sqref>
        </x14:conditionalFormatting>
        <x14:conditionalFormatting xmlns:xm="http://schemas.microsoft.com/office/excel/2006/main">
          <x14:cfRule type="dataBar" id="{92BC5E08-DE8A-449B-81B8-CA8585F7CA95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AK46:AQ47</xm:sqref>
        </x14:conditionalFormatting>
        <x14:conditionalFormatting xmlns:xm="http://schemas.microsoft.com/office/excel/2006/main">
          <x14:cfRule type="dataBar" id="{DEE48018-7BD3-4CBD-86A2-812812D34AA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AG48:AG49</xm:sqref>
        </x14:conditionalFormatting>
        <x14:conditionalFormatting xmlns:xm="http://schemas.microsoft.com/office/excel/2006/main">
          <x14:cfRule type="dataBar" id="{B9CE2BD1-AC86-4075-A052-BE84BF3EEF3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AX48:AX49</xm:sqref>
        </x14:conditionalFormatting>
        <x14:conditionalFormatting xmlns:xm="http://schemas.microsoft.com/office/excel/2006/main">
          <x14:cfRule type="dataBar" id="{35226ACF-11DB-4107-993F-F090FC1C218A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X48:X49</xm:sqref>
        </x14:conditionalFormatting>
        <x14:conditionalFormatting xmlns:xm="http://schemas.microsoft.com/office/excel/2006/main">
          <x14:cfRule type="dataBar" id="{7D4F09B9-0D27-4EDC-8A7F-07AFF51409E6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AI48:AI49</xm:sqref>
        </x14:conditionalFormatting>
        <x14:conditionalFormatting xmlns:xm="http://schemas.microsoft.com/office/excel/2006/main">
          <x14:cfRule type="dataBar" id="{8771F246-ADB7-4EC2-99BF-034769B659ED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AK48:AQ49</xm:sqref>
        </x14:conditionalFormatting>
        <x14:conditionalFormatting xmlns:xm="http://schemas.microsoft.com/office/excel/2006/main">
          <x14:cfRule type="dataBar" id="{2DDE3B1C-AD6E-4817-84BB-2306FEA2B42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AG50:AG51</xm:sqref>
        </x14:conditionalFormatting>
        <x14:conditionalFormatting xmlns:xm="http://schemas.microsoft.com/office/excel/2006/main">
          <x14:cfRule type="dataBar" id="{93AAF58F-EF95-48B4-8C50-978AAEEB5EE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AX50:AX51</xm:sqref>
        </x14:conditionalFormatting>
        <x14:conditionalFormatting xmlns:xm="http://schemas.microsoft.com/office/excel/2006/main">
          <x14:cfRule type="dataBar" id="{29AF829D-31D4-44D2-9957-72FB12137A73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X50:X51</xm:sqref>
        </x14:conditionalFormatting>
        <x14:conditionalFormatting xmlns:xm="http://schemas.microsoft.com/office/excel/2006/main">
          <x14:cfRule type="dataBar" id="{BBD4B79D-CCAE-456E-B65A-5AE2FD75741A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AI50:AI51</xm:sqref>
        </x14:conditionalFormatting>
        <x14:conditionalFormatting xmlns:xm="http://schemas.microsoft.com/office/excel/2006/main">
          <x14:cfRule type="dataBar" id="{AEA124A5-D420-4F86-A76F-BB88C3ED26AD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AK50:AQ51</xm:sqref>
        </x14:conditionalFormatting>
        <x14:conditionalFormatting xmlns:xm="http://schemas.microsoft.com/office/excel/2006/main">
          <x14:cfRule type="dataBar" id="{94843EA4-8CFD-4910-AB91-618AD0FAE9ED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AG53</xm:sqref>
        </x14:conditionalFormatting>
        <x14:conditionalFormatting xmlns:xm="http://schemas.microsoft.com/office/excel/2006/main">
          <x14:cfRule type="dataBar" id="{D0F1E9BB-5227-45C7-BBCC-F4519EAA9CBB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AX53</xm:sqref>
        </x14:conditionalFormatting>
        <x14:conditionalFormatting xmlns:xm="http://schemas.microsoft.com/office/excel/2006/main">
          <x14:cfRule type="dataBar" id="{CA265369-3C5B-411D-B4A1-5BD7DFF46FA6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X53</xm:sqref>
        </x14:conditionalFormatting>
        <x14:conditionalFormatting xmlns:xm="http://schemas.microsoft.com/office/excel/2006/main">
          <x14:cfRule type="dataBar" id="{A4F9FBE6-9D49-4919-9C78-D0CA063FB4DD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AI53</xm:sqref>
        </x14:conditionalFormatting>
        <x14:conditionalFormatting xmlns:xm="http://schemas.microsoft.com/office/excel/2006/main">
          <x14:cfRule type="dataBar" id="{F673DBC9-489E-40C6-9BA5-C29C5C1A088E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AK53:AQ53</xm:sqref>
        </x14:conditionalFormatting>
        <x14:conditionalFormatting xmlns:xm="http://schemas.microsoft.com/office/excel/2006/main">
          <x14:cfRule type="dataBar" id="{D6DC7482-1901-4304-B057-8589682D3722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AG54:AG55</xm:sqref>
        </x14:conditionalFormatting>
        <x14:conditionalFormatting xmlns:xm="http://schemas.microsoft.com/office/excel/2006/main">
          <x14:cfRule type="dataBar" id="{017B059A-75B6-4F39-9910-E2EF0956489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AX54:AX55</xm:sqref>
        </x14:conditionalFormatting>
        <x14:conditionalFormatting xmlns:xm="http://schemas.microsoft.com/office/excel/2006/main">
          <x14:cfRule type="dataBar" id="{31391341-49ED-453A-B551-3A6026E1630D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X54:X55</xm:sqref>
        </x14:conditionalFormatting>
        <x14:conditionalFormatting xmlns:xm="http://schemas.microsoft.com/office/excel/2006/main">
          <x14:cfRule type="dataBar" id="{E832B1D4-F31D-4892-A6A8-A6690F3AADCC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AI54:AI55</xm:sqref>
        </x14:conditionalFormatting>
        <x14:conditionalFormatting xmlns:xm="http://schemas.microsoft.com/office/excel/2006/main">
          <x14:cfRule type="dataBar" id="{3F208161-64C7-45A0-A244-25B9265F8614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AK54:AQ55</xm:sqref>
        </x14:conditionalFormatting>
        <x14:conditionalFormatting xmlns:xm="http://schemas.microsoft.com/office/excel/2006/main">
          <x14:cfRule type="dataBar" id="{75516D27-E261-43A2-94E0-F9077FCC182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AG57</xm:sqref>
        </x14:conditionalFormatting>
        <x14:conditionalFormatting xmlns:xm="http://schemas.microsoft.com/office/excel/2006/main">
          <x14:cfRule type="dataBar" id="{C5C9BDDD-EFF8-4B0C-8BF3-AD4F303555AA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AX57</xm:sqref>
        </x14:conditionalFormatting>
        <x14:conditionalFormatting xmlns:xm="http://schemas.microsoft.com/office/excel/2006/main">
          <x14:cfRule type="dataBar" id="{D7440FD9-04C8-46DE-ABFE-8D2388E10CF0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X57</xm:sqref>
        </x14:conditionalFormatting>
        <x14:conditionalFormatting xmlns:xm="http://schemas.microsoft.com/office/excel/2006/main">
          <x14:cfRule type="dataBar" id="{8AE91FC0-1413-4F8E-AA2E-3793F23C6013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AI57</xm:sqref>
        </x14:conditionalFormatting>
        <x14:conditionalFormatting xmlns:xm="http://schemas.microsoft.com/office/excel/2006/main">
          <x14:cfRule type="dataBar" id="{898E8EFC-B906-465E-8185-CA9E9E35C485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AK57:AQ57</xm:sqref>
        </x14:conditionalFormatting>
        <x14:conditionalFormatting xmlns:xm="http://schemas.microsoft.com/office/excel/2006/main">
          <x14:cfRule type="dataBar" id="{6BE5C9DA-265E-45AF-97EC-4711D4951550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AG62 AG69</xm:sqref>
        </x14:conditionalFormatting>
        <x14:conditionalFormatting xmlns:xm="http://schemas.microsoft.com/office/excel/2006/main">
          <x14:cfRule type="dataBar" id="{6E93AC27-FB22-4446-844C-314EEBAE71D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AX62 AX69</xm:sqref>
        </x14:conditionalFormatting>
        <x14:conditionalFormatting xmlns:xm="http://schemas.microsoft.com/office/excel/2006/main">
          <x14:cfRule type="dataBar" id="{992CDC53-3CE4-429E-8695-9F413316113D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X62 X69</xm:sqref>
        </x14:conditionalFormatting>
        <x14:conditionalFormatting xmlns:xm="http://schemas.microsoft.com/office/excel/2006/main">
          <x14:cfRule type="dataBar" id="{77DBEC42-7EDD-41F3-BE2C-8E142138447D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AI62 AI69</xm:sqref>
        </x14:conditionalFormatting>
        <x14:conditionalFormatting xmlns:xm="http://schemas.microsoft.com/office/excel/2006/main">
          <x14:cfRule type="dataBar" id="{29FC872D-AE66-4CF0-9CFE-E2D40FB70CB0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AK62:AQ62 AK69:AQ69</xm:sqref>
        </x14:conditionalFormatting>
        <x14:conditionalFormatting xmlns:xm="http://schemas.microsoft.com/office/excel/2006/main">
          <x14:cfRule type="dataBar" id="{2679A696-AC8A-4FF7-BDFE-0C826C762736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AG25:AG27</xm:sqref>
        </x14:conditionalFormatting>
        <x14:conditionalFormatting xmlns:xm="http://schemas.microsoft.com/office/excel/2006/main">
          <x14:cfRule type="dataBar" id="{EF4672B8-4B45-471C-AF76-9CD02DD8A78D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AI25:AI27</xm:sqref>
        </x14:conditionalFormatting>
        <x14:conditionalFormatting xmlns:xm="http://schemas.microsoft.com/office/excel/2006/main">
          <x14:cfRule type="dataBar" id="{F15D31C3-B207-456A-885D-E895244FBD64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AK25:AQ27</xm:sqref>
        </x14:conditionalFormatting>
        <x14:conditionalFormatting xmlns:xm="http://schemas.microsoft.com/office/excel/2006/main">
          <x14:cfRule type="dataBar" id="{C076CBB5-5ADC-47A5-A76F-593C40E8198E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AG29:AG31</xm:sqref>
        </x14:conditionalFormatting>
        <x14:conditionalFormatting xmlns:xm="http://schemas.microsoft.com/office/excel/2006/main">
          <x14:cfRule type="dataBar" id="{2FDF1734-D1D9-45EF-BFE1-57237B8EC085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AI29:AI31</xm:sqref>
        </x14:conditionalFormatting>
        <x14:conditionalFormatting xmlns:xm="http://schemas.microsoft.com/office/excel/2006/main">
          <x14:cfRule type="dataBar" id="{3B999454-F128-4D75-8C59-481DC3455ABD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AK29:AQ31</xm:sqref>
        </x14:conditionalFormatting>
        <x14:conditionalFormatting xmlns:xm="http://schemas.microsoft.com/office/excel/2006/main">
          <x14:cfRule type="dataBar" id="{A6651B11-BBE3-47EB-9ED4-7ACA92E29FC0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AG38</xm:sqref>
        </x14:conditionalFormatting>
        <x14:conditionalFormatting xmlns:xm="http://schemas.microsoft.com/office/excel/2006/main">
          <x14:cfRule type="dataBar" id="{9C324CB0-F540-4AB4-B808-B99A93D8B1F2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AX38</xm:sqref>
        </x14:conditionalFormatting>
        <x14:conditionalFormatting xmlns:xm="http://schemas.microsoft.com/office/excel/2006/main">
          <x14:cfRule type="dataBar" id="{2AAFCF1C-CA37-4364-BEAF-07E15B3C9481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X38</xm:sqref>
        </x14:conditionalFormatting>
        <x14:conditionalFormatting xmlns:xm="http://schemas.microsoft.com/office/excel/2006/main">
          <x14:cfRule type="dataBar" id="{EFF0E8E4-C419-4143-BDE1-6C934B887D88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AI38</xm:sqref>
        </x14:conditionalFormatting>
        <x14:conditionalFormatting xmlns:xm="http://schemas.microsoft.com/office/excel/2006/main">
          <x14:cfRule type="dataBar" id="{8C55B8DF-BA44-43A9-9C68-45EE499A2A6A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AK38:AQ38</xm:sqref>
        </x14:conditionalFormatting>
        <x14:conditionalFormatting xmlns:xm="http://schemas.microsoft.com/office/excel/2006/main">
          <x14:cfRule type="dataBar" id="{1846B003-DA9D-4A84-AFBF-7D560AB2A7A2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AG42</xm:sqref>
        </x14:conditionalFormatting>
        <x14:conditionalFormatting xmlns:xm="http://schemas.microsoft.com/office/excel/2006/main">
          <x14:cfRule type="dataBar" id="{233090B5-6CE3-463E-A014-DDB1F2B351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AX42</xm:sqref>
        </x14:conditionalFormatting>
        <x14:conditionalFormatting xmlns:xm="http://schemas.microsoft.com/office/excel/2006/main">
          <x14:cfRule type="dataBar" id="{7171B8C9-7C80-4902-A661-F4365C4FC77C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X42</xm:sqref>
        </x14:conditionalFormatting>
        <x14:conditionalFormatting xmlns:xm="http://schemas.microsoft.com/office/excel/2006/main">
          <x14:cfRule type="dataBar" id="{50927D9D-7AE3-4CC0-899A-926D33F7FBF3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AI42</xm:sqref>
        </x14:conditionalFormatting>
        <x14:conditionalFormatting xmlns:xm="http://schemas.microsoft.com/office/excel/2006/main">
          <x14:cfRule type="dataBar" id="{E9ED0D3E-A576-45D9-9E20-2CCCCDEF7C3F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AK42:AQ42</xm:sqref>
        </x14:conditionalFormatting>
        <x14:conditionalFormatting xmlns:xm="http://schemas.microsoft.com/office/excel/2006/main">
          <x14:cfRule type="dataBar" id="{3358261A-D4F4-4255-9690-F2926CE64377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AG56</xm:sqref>
        </x14:conditionalFormatting>
        <x14:conditionalFormatting xmlns:xm="http://schemas.microsoft.com/office/excel/2006/main">
          <x14:cfRule type="dataBar" id="{B9D74A15-5DB2-405A-82A7-9601C9E4D99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AX56</xm:sqref>
        </x14:conditionalFormatting>
        <x14:conditionalFormatting xmlns:xm="http://schemas.microsoft.com/office/excel/2006/main">
          <x14:cfRule type="dataBar" id="{A213D394-F311-4512-B36B-B2E653C584E4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X56</xm:sqref>
        </x14:conditionalFormatting>
        <x14:conditionalFormatting xmlns:xm="http://schemas.microsoft.com/office/excel/2006/main">
          <x14:cfRule type="dataBar" id="{15437444-3E07-4390-9BE4-D81754113B76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AI56</xm:sqref>
        </x14:conditionalFormatting>
        <x14:conditionalFormatting xmlns:xm="http://schemas.microsoft.com/office/excel/2006/main">
          <x14:cfRule type="dataBar" id="{7267E207-AA54-438B-8862-A479A54C863C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AK56:AQ56</xm:sqref>
        </x14:conditionalFormatting>
        <x14:conditionalFormatting xmlns:xm="http://schemas.microsoft.com/office/excel/2006/main">
          <x14:cfRule type="dataBar" id="{0D5F7A69-A71E-4436-8BEA-1F171C04E638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AG59</xm:sqref>
        </x14:conditionalFormatting>
        <x14:conditionalFormatting xmlns:xm="http://schemas.microsoft.com/office/excel/2006/main">
          <x14:cfRule type="dataBar" id="{16955270-0ADA-4EF7-95C0-818CFDF04437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AX59</xm:sqref>
        </x14:conditionalFormatting>
        <x14:conditionalFormatting xmlns:xm="http://schemas.microsoft.com/office/excel/2006/main">
          <x14:cfRule type="dataBar" id="{A4DBB17C-F7D2-4BF8-8E03-A3A48B6C6DD0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X59</xm:sqref>
        </x14:conditionalFormatting>
        <x14:conditionalFormatting xmlns:xm="http://schemas.microsoft.com/office/excel/2006/main">
          <x14:cfRule type="dataBar" id="{735B2303-89C6-4BDE-A910-FC730A02DF20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AI59</xm:sqref>
        </x14:conditionalFormatting>
        <x14:conditionalFormatting xmlns:xm="http://schemas.microsoft.com/office/excel/2006/main">
          <x14:cfRule type="dataBar" id="{D5D4BC0F-294C-4E02-AB08-F9F3BB95E252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AK59:AQ59</xm:sqref>
        </x14:conditionalFormatting>
        <x14:conditionalFormatting xmlns:xm="http://schemas.microsoft.com/office/excel/2006/main">
          <x14:cfRule type="dataBar" id="{8ADF3C52-436F-4770-A508-EBD47B4FCA30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AG58</xm:sqref>
        </x14:conditionalFormatting>
        <x14:conditionalFormatting xmlns:xm="http://schemas.microsoft.com/office/excel/2006/main">
          <x14:cfRule type="dataBar" id="{9E0C0CB5-3785-45BD-B3F6-69FFA6A7110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AX58</xm:sqref>
        </x14:conditionalFormatting>
        <x14:conditionalFormatting xmlns:xm="http://schemas.microsoft.com/office/excel/2006/main">
          <x14:cfRule type="dataBar" id="{8429AD20-6B11-416D-B0C6-91EF7BA58465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X58</xm:sqref>
        </x14:conditionalFormatting>
        <x14:conditionalFormatting xmlns:xm="http://schemas.microsoft.com/office/excel/2006/main">
          <x14:cfRule type="dataBar" id="{7B0D1145-970D-4B26-AD7E-C115EB72D519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AI58</xm:sqref>
        </x14:conditionalFormatting>
        <x14:conditionalFormatting xmlns:xm="http://schemas.microsoft.com/office/excel/2006/main">
          <x14:cfRule type="dataBar" id="{DE9D162D-3509-4353-BC5D-958FC72E24AD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AK58:AQ58</xm:sqref>
        </x14:conditionalFormatting>
        <x14:conditionalFormatting xmlns:xm="http://schemas.microsoft.com/office/excel/2006/main">
          <x14:cfRule type="dataBar" id="{2FAE4E3A-6AEA-4F4E-92D8-09AD2F8D16DB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AG60:AG61</xm:sqref>
        </x14:conditionalFormatting>
        <x14:conditionalFormatting xmlns:xm="http://schemas.microsoft.com/office/excel/2006/main">
          <x14:cfRule type="dataBar" id="{5C172A3F-D599-4E9C-8CB5-B585BA54495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AX60:AX61</xm:sqref>
        </x14:conditionalFormatting>
        <x14:conditionalFormatting xmlns:xm="http://schemas.microsoft.com/office/excel/2006/main">
          <x14:cfRule type="dataBar" id="{C2818527-84EF-4170-9015-52C5A94A3021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X60:X61</xm:sqref>
        </x14:conditionalFormatting>
        <x14:conditionalFormatting xmlns:xm="http://schemas.microsoft.com/office/excel/2006/main">
          <x14:cfRule type="dataBar" id="{0AC21E5E-313A-40F7-A994-9537693AA49F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AI60:AI61</xm:sqref>
        </x14:conditionalFormatting>
        <x14:conditionalFormatting xmlns:xm="http://schemas.microsoft.com/office/excel/2006/main">
          <x14:cfRule type="dataBar" id="{53A03924-9EA7-4AD2-A28E-A6C9BE4A553F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AK60:AQ61</xm:sqref>
        </x14:conditionalFormatting>
        <x14:conditionalFormatting xmlns:xm="http://schemas.microsoft.com/office/excel/2006/main">
          <x14:cfRule type="dataBar" id="{0BD4ADD8-8BB8-4F06-B6C1-9AC18186567F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AG63</xm:sqref>
        </x14:conditionalFormatting>
        <x14:conditionalFormatting xmlns:xm="http://schemas.microsoft.com/office/excel/2006/main">
          <x14:cfRule type="dataBar" id="{27383342-5ABD-4304-879B-CBC18DCC2EFB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AX63</xm:sqref>
        </x14:conditionalFormatting>
        <x14:conditionalFormatting xmlns:xm="http://schemas.microsoft.com/office/excel/2006/main">
          <x14:cfRule type="dataBar" id="{EA06C29C-70E4-4212-B0F5-BD7D8CEDC10F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X63</xm:sqref>
        </x14:conditionalFormatting>
        <x14:conditionalFormatting xmlns:xm="http://schemas.microsoft.com/office/excel/2006/main">
          <x14:cfRule type="dataBar" id="{6A8F5857-4B88-4DDD-B934-ED4688A68F16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AI63</xm:sqref>
        </x14:conditionalFormatting>
        <x14:conditionalFormatting xmlns:xm="http://schemas.microsoft.com/office/excel/2006/main">
          <x14:cfRule type="dataBar" id="{11787EA3-51B0-450D-A58D-57576E9BA9CD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AK63:AQ63</xm:sqref>
        </x14:conditionalFormatting>
        <x14:conditionalFormatting xmlns:xm="http://schemas.microsoft.com/office/excel/2006/main">
          <x14:cfRule type="dataBar" id="{25A891B9-8D41-44B9-BA6B-13D4842A55ED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AG65</xm:sqref>
        </x14:conditionalFormatting>
        <x14:conditionalFormatting xmlns:xm="http://schemas.microsoft.com/office/excel/2006/main">
          <x14:cfRule type="dataBar" id="{B9625CBD-07C4-4F30-AD29-BE4C5B0075A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AX65</xm:sqref>
        </x14:conditionalFormatting>
        <x14:conditionalFormatting xmlns:xm="http://schemas.microsoft.com/office/excel/2006/main">
          <x14:cfRule type="dataBar" id="{4AD1B4A0-A015-495F-A626-A6162EB1CEDF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X65</xm:sqref>
        </x14:conditionalFormatting>
        <x14:conditionalFormatting xmlns:xm="http://schemas.microsoft.com/office/excel/2006/main">
          <x14:cfRule type="dataBar" id="{D74646DC-BB50-488B-B662-253C45CAD737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AI65</xm:sqref>
        </x14:conditionalFormatting>
        <x14:conditionalFormatting xmlns:xm="http://schemas.microsoft.com/office/excel/2006/main">
          <x14:cfRule type="dataBar" id="{228CCAB7-E2AC-4B15-BCE4-1340FF38070C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AK65:AQ65</xm:sqref>
        </x14:conditionalFormatting>
        <x14:conditionalFormatting xmlns:xm="http://schemas.microsoft.com/office/excel/2006/main">
          <x14:cfRule type="dataBar" id="{F78F54E7-D0EA-4293-AA31-A5C2340E8452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AG64</xm:sqref>
        </x14:conditionalFormatting>
        <x14:conditionalFormatting xmlns:xm="http://schemas.microsoft.com/office/excel/2006/main">
          <x14:cfRule type="dataBar" id="{5045ADE7-EBB7-40C6-9F1B-B9222EB7FDF7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AX64</xm:sqref>
        </x14:conditionalFormatting>
        <x14:conditionalFormatting xmlns:xm="http://schemas.microsoft.com/office/excel/2006/main">
          <x14:cfRule type="dataBar" id="{8BAF3F4F-990E-4656-8E89-7CE2A20F2B20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X64</xm:sqref>
        </x14:conditionalFormatting>
        <x14:conditionalFormatting xmlns:xm="http://schemas.microsoft.com/office/excel/2006/main">
          <x14:cfRule type="dataBar" id="{29E55160-B5DE-4A43-9A64-5B23D2C9BF42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AI64</xm:sqref>
        </x14:conditionalFormatting>
        <x14:conditionalFormatting xmlns:xm="http://schemas.microsoft.com/office/excel/2006/main">
          <x14:cfRule type="dataBar" id="{300ADB4D-D5F6-4B3A-9A76-C90C2057F1DA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AK64:AQ64</xm:sqref>
        </x14:conditionalFormatting>
        <x14:conditionalFormatting xmlns:xm="http://schemas.microsoft.com/office/excel/2006/main">
          <x14:cfRule type="dataBar" id="{BE25C500-76F5-4570-BCB9-82373A41C46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AG67</xm:sqref>
        </x14:conditionalFormatting>
        <x14:conditionalFormatting xmlns:xm="http://schemas.microsoft.com/office/excel/2006/main">
          <x14:cfRule type="dataBar" id="{95E8DBA1-CA89-4407-A5D0-A8A03847EAEB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AX67</xm:sqref>
        </x14:conditionalFormatting>
        <x14:conditionalFormatting xmlns:xm="http://schemas.microsoft.com/office/excel/2006/main">
          <x14:cfRule type="dataBar" id="{417B0EDC-3DE7-4A13-9DBE-4FF07478B4B9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X67</xm:sqref>
        </x14:conditionalFormatting>
        <x14:conditionalFormatting xmlns:xm="http://schemas.microsoft.com/office/excel/2006/main">
          <x14:cfRule type="dataBar" id="{E37F02B2-32C7-4392-BB87-AEBB049DEEC8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AI67</xm:sqref>
        </x14:conditionalFormatting>
        <x14:conditionalFormatting xmlns:xm="http://schemas.microsoft.com/office/excel/2006/main">
          <x14:cfRule type="dataBar" id="{F0647E99-BE37-4208-BFFF-9CC096AF2DA5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AK67:AQ67</xm:sqref>
        </x14:conditionalFormatting>
        <x14:conditionalFormatting xmlns:xm="http://schemas.microsoft.com/office/excel/2006/main">
          <x14:cfRule type="dataBar" id="{38CD9348-81DB-465C-8E0B-EF5B8488421D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AG66</xm:sqref>
        </x14:conditionalFormatting>
        <x14:conditionalFormatting xmlns:xm="http://schemas.microsoft.com/office/excel/2006/main">
          <x14:cfRule type="dataBar" id="{4813FBD6-BE87-4C5F-AE2A-3EEF5DE95082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AX66</xm:sqref>
        </x14:conditionalFormatting>
        <x14:conditionalFormatting xmlns:xm="http://schemas.microsoft.com/office/excel/2006/main">
          <x14:cfRule type="dataBar" id="{97708FC7-582E-4AA8-A80A-7F2A3A9E21ED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X66</xm:sqref>
        </x14:conditionalFormatting>
        <x14:conditionalFormatting xmlns:xm="http://schemas.microsoft.com/office/excel/2006/main">
          <x14:cfRule type="dataBar" id="{C2486F59-66FB-465E-9CA6-5C7EA78F58B1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AI66</xm:sqref>
        </x14:conditionalFormatting>
        <x14:conditionalFormatting xmlns:xm="http://schemas.microsoft.com/office/excel/2006/main">
          <x14:cfRule type="dataBar" id="{98220D56-E2D2-4A50-B092-867639AE10A3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AK66:AQ66</xm:sqref>
        </x14:conditionalFormatting>
        <x14:conditionalFormatting xmlns:xm="http://schemas.microsoft.com/office/excel/2006/main">
          <x14:cfRule type="dataBar" id="{A7DDA6E0-1FB8-46E5-9D22-D129A3F762AA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AG68</xm:sqref>
        </x14:conditionalFormatting>
        <x14:conditionalFormatting xmlns:xm="http://schemas.microsoft.com/office/excel/2006/main">
          <x14:cfRule type="dataBar" id="{98E9F726-CA49-46F6-9175-856FAF15FD27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AX68</xm:sqref>
        </x14:conditionalFormatting>
        <x14:conditionalFormatting xmlns:xm="http://schemas.microsoft.com/office/excel/2006/main">
          <x14:cfRule type="dataBar" id="{9882CDD9-77A5-4F16-8B2A-3D5088C0422B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X68</xm:sqref>
        </x14:conditionalFormatting>
        <x14:conditionalFormatting xmlns:xm="http://schemas.microsoft.com/office/excel/2006/main">
          <x14:cfRule type="dataBar" id="{47C438B3-1ED0-45DC-9584-1C6701596C0B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AI68</xm:sqref>
        </x14:conditionalFormatting>
        <x14:conditionalFormatting xmlns:xm="http://schemas.microsoft.com/office/excel/2006/main">
          <x14:cfRule type="dataBar" id="{08C94645-078F-476C-A99F-2952C7C103E1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AK68:AQ68</xm:sqref>
        </x14:conditionalFormatting>
        <x14:conditionalFormatting xmlns:xm="http://schemas.microsoft.com/office/excel/2006/main">
          <x14:cfRule type="dataBar" id="{7C5B9CA0-DE45-45A7-AEF8-6DF8709FD21D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AG52</xm:sqref>
        </x14:conditionalFormatting>
        <x14:conditionalFormatting xmlns:xm="http://schemas.microsoft.com/office/excel/2006/main">
          <x14:cfRule type="dataBar" id="{6ED7A5AE-31BD-4641-9E60-EF01F1BD99E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AX52</xm:sqref>
        </x14:conditionalFormatting>
        <x14:conditionalFormatting xmlns:xm="http://schemas.microsoft.com/office/excel/2006/main">
          <x14:cfRule type="dataBar" id="{6819018F-7993-4FDF-9AF4-27BC7569E181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X52</xm:sqref>
        </x14:conditionalFormatting>
        <x14:conditionalFormatting xmlns:xm="http://schemas.microsoft.com/office/excel/2006/main">
          <x14:cfRule type="dataBar" id="{7467B2CD-86A1-4170-B9A2-06A7015ED9A4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AI52</xm:sqref>
        </x14:conditionalFormatting>
        <x14:conditionalFormatting xmlns:xm="http://schemas.microsoft.com/office/excel/2006/main">
          <x14:cfRule type="dataBar" id="{DEF83D19-87EA-414E-81A2-F003482F307B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AK52:AQ52</xm:sqref>
        </x14:conditionalFormatting>
        <x14:conditionalFormatting xmlns:xm="http://schemas.microsoft.com/office/excel/2006/main">
          <x14:cfRule type="dataBar" id="{B4197183-1457-463D-BA46-11CAB84ABD16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AX15:AX17</xm:sqref>
        </x14:conditionalFormatting>
        <x14:conditionalFormatting xmlns:xm="http://schemas.microsoft.com/office/excel/2006/main">
          <x14:cfRule type="dataBar" id="{4D2F52DC-7477-4D1B-95CD-E15FB8E5F05C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X15:X17</xm:sqref>
        </x14:conditionalFormatting>
        <x14:conditionalFormatting xmlns:xm="http://schemas.microsoft.com/office/excel/2006/main">
          <x14:cfRule type="dataBar" id="{1DB02F45-D405-46A3-9107-39F2BA486D7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AG18</xm:sqref>
        </x14:conditionalFormatting>
        <x14:conditionalFormatting xmlns:xm="http://schemas.microsoft.com/office/excel/2006/main">
          <x14:cfRule type="dataBar" id="{D8864EE4-968F-4AF2-B91B-F145B848230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AX18</xm:sqref>
        </x14:conditionalFormatting>
        <x14:conditionalFormatting xmlns:xm="http://schemas.microsoft.com/office/excel/2006/main">
          <x14:cfRule type="dataBar" id="{5E150597-087E-4752-B6B4-B877DB050887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X18</xm:sqref>
        </x14:conditionalFormatting>
        <x14:conditionalFormatting xmlns:xm="http://schemas.microsoft.com/office/excel/2006/main">
          <x14:cfRule type="dataBar" id="{2F0E0B56-0939-4E6E-BF1E-C3F0DF6F4548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AI18</xm:sqref>
        </x14:conditionalFormatting>
        <x14:conditionalFormatting xmlns:xm="http://schemas.microsoft.com/office/excel/2006/main">
          <x14:cfRule type="dataBar" id="{4A1AC27B-FF24-4698-B1B3-E02BCEFFD756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AK18:AQ18</xm:sqref>
        </x14:conditionalFormatting>
        <x14:conditionalFormatting xmlns:xm="http://schemas.microsoft.com/office/excel/2006/main">
          <x14:cfRule type="dataBar" id="{0BCB522C-3FDC-4EB1-A660-D1B8D87ED668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AG15:AG17</xm:sqref>
        </x14:conditionalFormatting>
        <x14:conditionalFormatting xmlns:xm="http://schemas.microsoft.com/office/excel/2006/main">
          <x14:cfRule type="dataBar" id="{2B6A70D4-65F9-4B0F-BE58-7F9E28F57740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AI15:AI17</xm:sqref>
        </x14:conditionalFormatting>
        <x14:conditionalFormatting xmlns:xm="http://schemas.microsoft.com/office/excel/2006/main">
          <x14:cfRule type="dataBar" id="{046B4015-047B-42F6-A6E9-EE78A4C942A4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AK15:AQ17</xm:sqref>
        </x14:conditionalFormatting>
        <x14:conditionalFormatting xmlns:xm="http://schemas.microsoft.com/office/excel/2006/main">
          <x14:cfRule type="dataBar" id="{2F379AD7-67B4-4872-B268-3279849743EF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AG71</xm:sqref>
        </x14:conditionalFormatting>
        <x14:conditionalFormatting xmlns:xm="http://schemas.microsoft.com/office/excel/2006/main">
          <x14:cfRule type="dataBar" id="{69E35C48-FCB2-43FE-901C-585D3DCC5B8A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AX71</xm:sqref>
        </x14:conditionalFormatting>
        <x14:conditionalFormatting xmlns:xm="http://schemas.microsoft.com/office/excel/2006/main">
          <x14:cfRule type="dataBar" id="{2E658BAA-D5DD-460B-946C-509097A89041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X71</xm:sqref>
        </x14:conditionalFormatting>
        <x14:conditionalFormatting xmlns:xm="http://schemas.microsoft.com/office/excel/2006/main">
          <x14:cfRule type="dataBar" id="{82CB0ABA-F11A-4432-9752-5AE368F0445D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AI71</xm:sqref>
        </x14:conditionalFormatting>
        <x14:conditionalFormatting xmlns:xm="http://schemas.microsoft.com/office/excel/2006/main">
          <x14:cfRule type="dataBar" id="{BF09CE10-54D3-4956-BD74-C86251CDFED3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AK71:AQ71</xm:sqref>
        </x14:conditionalFormatting>
        <x14:conditionalFormatting xmlns:xm="http://schemas.microsoft.com/office/excel/2006/main">
          <x14:cfRule type="dataBar" id="{BC21562D-3CD3-4F23-B7F5-3F3AB0CF2C7E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AG70</xm:sqref>
        </x14:conditionalFormatting>
        <x14:conditionalFormatting xmlns:xm="http://schemas.microsoft.com/office/excel/2006/main">
          <x14:cfRule type="dataBar" id="{AC9C7A07-58D1-4216-9CFC-346C149AFE4E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AX70</xm:sqref>
        </x14:conditionalFormatting>
        <x14:conditionalFormatting xmlns:xm="http://schemas.microsoft.com/office/excel/2006/main">
          <x14:cfRule type="dataBar" id="{4E3C0EF9-0B77-4B45-B7D8-20530095501D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X70</xm:sqref>
        </x14:conditionalFormatting>
        <x14:conditionalFormatting xmlns:xm="http://schemas.microsoft.com/office/excel/2006/main">
          <x14:cfRule type="dataBar" id="{D0D0311D-22F0-4859-82C5-C3E5A2843914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AI70</xm:sqref>
        </x14:conditionalFormatting>
        <x14:conditionalFormatting xmlns:xm="http://schemas.microsoft.com/office/excel/2006/main">
          <x14:cfRule type="dataBar" id="{1615D5DE-BFCD-4D5E-A574-C5F3A0DB263F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AK70:AQ70</xm:sqref>
        </x14:conditionalFormatting>
        <x14:conditionalFormatting xmlns:xm="http://schemas.microsoft.com/office/excel/2006/main">
          <x14:cfRule type="dataBar" id="{F856436A-D049-405F-B50D-83474B40B8DB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AM43</xm:sqref>
        </x14:conditionalFormatting>
        <x14:conditionalFormatting xmlns:xm="http://schemas.microsoft.com/office/excel/2006/main">
          <x14:cfRule type="dataBar" id="{2CED5AE6-5B91-442C-9BA7-187C487E647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AG11</xm:sqref>
        </x14:conditionalFormatting>
        <x14:conditionalFormatting xmlns:xm="http://schemas.microsoft.com/office/excel/2006/main">
          <x14:cfRule type="dataBar" id="{B59024EE-C782-4CC1-A82C-5FC94C7827E8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AX11</xm:sqref>
        </x14:conditionalFormatting>
        <x14:conditionalFormatting xmlns:xm="http://schemas.microsoft.com/office/excel/2006/main">
          <x14:cfRule type="dataBar" id="{BCAB0047-2230-4261-A310-B3AA4293D052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X11</xm:sqref>
        </x14:conditionalFormatting>
        <x14:conditionalFormatting xmlns:xm="http://schemas.microsoft.com/office/excel/2006/main">
          <x14:cfRule type="dataBar" id="{BDB3270B-17F2-470B-9A42-51C13231266C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AI11</xm:sqref>
        </x14:conditionalFormatting>
        <x14:conditionalFormatting xmlns:xm="http://schemas.microsoft.com/office/excel/2006/main">
          <x14:cfRule type="dataBar" id="{053009D5-CB31-4E33-9419-ED5FDFA532AE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AK11:AQ11</xm:sqref>
        </x14:conditionalFormatting>
        <x14:conditionalFormatting xmlns:xm="http://schemas.microsoft.com/office/excel/2006/main">
          <x14:cfRule type="dataBar" id="{F89E225F-CE86-4FB5-AA13-0F407349C3CE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AG13</xm:sqref>
        </x14:conditionalFormatting>
        <x14:conditionalFormatting xmlns:xm="http://schemas.microsoft.com/office/excel/2006/main">
          <x14:cfRule type="dataBar" id="{C4BF6930-6FB6-4449-AA32-EFAA4C9BD91D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AX13</xm:sqref>
        </x14:conditionalFormatting>
        <x14:conditionalFormatting xmlns:xm="http://schemas.microsoft.com/office/excel/2006/main">
          <x14:cfRule type="dataBar" id="{9667DDC5-6D2A-48A1-B07D-E51B196B3BFC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X13</xm:sqref>
        </x14:conditionalFormatting>
        <x14:conditionalFormatting xmlns:xm="http://schemas.microsoft.com/office/excel/2006/main">
          <x14:cfRule type="dataBar" id="{AE0951D2-3F33-4848-A472-066BB2B9461F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AI13</xm:sqref>
        </x14:conditionalFormatting>
        <x14:conditionalFormatting xmlns:xm="http://schemas.microsoft.com/office/excel/2006/main">
          <x14:cfRule type="dataBar" id="{CC09860D-B2B5-4B58-9F33-0B6B97848248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AK13:AQ13</xm:sqref>
        </x14:conditionalFormatting>
        <x14:conditionalFormatting xmlns:xm="http://schemas.microsoft.com/office/excel/2006/main">
          <x14:cfRule type="dataBar" id="{47B9D498-1030-4D03-BA35-D45CD8952C9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AG12</xm:sqref>
        </x14:conditionalFormatting>
        <x14:conditionalFormatting xmlns:xm="http://schemas.microsoft.com/office/excel/2006/main">
          <x14:cfRule type="dataBar" id="{5FDDE8DA-B264-462F-831D-14A0A389FD76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AX12</xm:sqref>
        </x14:conditionalFormatting>
        <x14:conditionalFormatting xmlns:xm="http://schemas.microsoft.com/office/excel/2006/main">
          <x14:cfRule type="dataBar" id="{9DC32ED9-BD80-4510-8CB0-989E9F6CD04F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X12</xm:sqref>
        </x14:conditionalFormatting>
        <x14:conditionalFormatting xmlns:xm="http://schemas.microsoft.com/office/excel/2006/main">
          <x14:cfRule type="dataBar" id="{182EB207-B9DB-4369-8C57-A10EEBC36080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AI12</xm:sqref>
        </x14:conditionalFormatting>
        <x14:conditionalFormatting xmlns:xm="http://schemas.microsoft.com/office/excel/2006/main">
          <x14:cfRule type="dataBar" id="{1C4EB1DA-C99E-41DF-BD2C-2E012CFD0C29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AK12:AQ12</xm:sqref>
        </x14:conditionalFormatting>
        <x14:conditionalFormatting xmlns:xm="http://schemas.microsoft.com/office/excel/2006/main">
          <x14:cfRule type="dataBar" id="{F3047579-58D5-4BE3-BFA3-F93BC2B7142A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AG14</xm:sqref>
        </x14:conditionalFormatting>
        <x14:conditionalFormatting xmlns:xm="http://schemas.microsoft.com/office/excel/2006/main">
          <x14:cfRule type="dataBar" id="{A3E8F6F5-BA90-442F-8351-2C5674A817BF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AX14</xm:sqref>
        </x14:conditionalFormatting>
        <x14:conditionalFormatting xmlns:xm="http://schemas.microsoft.com/office/excel/2006/main">
          <x14:cfRule type="dataBar" id="{1CF06646-0DD8-4C11-9064-BA45D3D5395F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X14</xm:sqref>
        </x14:conditionalFormatting>
        <x14:conditionalFormatting xmlns:xm="http://schemas.microsoft.com/office/excel/2006/main">
          <x14:cfRule type="dataBar" id="{3A585ED9-6B38-4613-A228-9268511664AF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AI14</xm:sqref>
        </x14:conditionalFormatting>
        <x14:conditionalFormatting xmlns:xm="http://schemas.microsoft.com/office/excel/2006/main">
          <x14:cfRule type="dataBar" id="{B79CA101-062C-4636-814E-45AB8CE4B871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AK14:AQ14</xm:sqref>
        </x14:conditionalFormatting>
        <x14:conditionalFormatting xmlns:xm="http://schemas.microsoft.com/office/excel/2006/main">
          <x14:cfRule type="dataBar" id="{E52F4528-862F-4E28-B897-37C61C7620AE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AG24</xm:sqref>
        </x14:conditionalFormatting>
        <x14:conditionalFormatting xmlns:xm="http://schemas.microsoft.com/office/excel/2006/main">
          <x14:cfRule type="dataBar" id="{487C509F-37E7-4B8E-9D8B-C58F49CFCA1E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AX24</xm:sqref>
        </x14:conditionalFormatting>
        <x14:conditionalFormatting xmlns:xm="http://schemas.microsoft.com/office/excel/2006/main">
          <x14:cfRule type="dataBar" id="{A3263FDD-988B-47DA-941B-143113DC6E1B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X24</xm:sqref>
        </x14:conditionalFormatting>
        <x14:conditionalFormatting xmlns:xm="http://schemas.microsoft.com/office/excel/2006/main">
          <x14:cfRule type="dataBar" id="{037EBBF6-CCA2-4490-A361-397FF1A85B96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AI24</xm:sqref>
        </x14:conditionalFormatting>
        <x14:conditionalFormatting xmlns:xm="http://schemas.microsoft.com/office/excel/2006/main">
          <x14:cfRule type="dataBar" id="{20CA7C6D-8B73-42D3-8E82-7BB8BCCF6D7C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AK24:AQ24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tabColor rgb="FFFFC000"/>
  </sheetPr>
  <dimension ref="A1:AI27"/>
  <sheetViews>
    <sheetView showGridLines="0" topLeftCell="G1" zoomScaleNormal="100" workbookViewId="0">
      <selection activeCell="S19" sqref="S19"/>
    </sheetView>
  </sheetViews>
  <sheetFormatPr baseColWidth="10" defaultColWidth="11" defaultRowHeight="12.75" x14ac:dyDescent="0.2"/>
  <cols>
    <col min="1" max="1" width="4.42578125" style="161" customWidth="1"/>
    <col min="2" max="3" width="5.42578125" style="161" customWidth="1"/>
    <col min="4" max="4" width="42" style="197" customWidth="1"/>
    <col min="5" max="5" width="3.7109375" style="161" customWidth="1"/>
    <col min="6" max="6" width="52.7109375" style="161" customWidth="1"/>
    <col min="7" max="8" width="12.28515625" style="161" customWidth="1"/>
    <col min="9" max="9" width="7.140625" style="161" customWidth="1"/>
    <col min="10" max="10" width="9.42578125" style="161" customWidth="1"/>
    <col min="11" max="11" width="10" style="161" customWidth="1"/>
    <col min="12" max="12" width="11" style="491"/>
    <col min="13" max="13" width="12" style="161" customWidth="1"/>
    <col min="14" max="14" width="11.42578125" style="491" customWidth="1"/>
    <col min="15" max="15" width="11" style="270"/>
    <col min="16" max="16" width="11" style="359"/>
    <col min="17" max="17" width="11" style="270"/>
    <col min="18" max="18" width="11" style="359"/>
    <col min="19" max="19" width="11" style="270"/>
    <col min="20" max="20" width="12.28515625" style="359" bestFit="1" customWidth="1"/>
    <col min="21" max="35" width="11" style="270"/>
    <col min="36" max="16384" width="11" style="161"/>
  </cols>
  <sheetData>
    <row r="1" spans="1:20" ht="18" customHeight="1" thickBot="1" x14ac:dyDescent="0.25">
      <c r="A1" s="377" t="str">
        <f>Aout_2020!C5</f>
        <v>Aout_2020</v>
      </c>
      <c r="B1" s="377"/>
      <c r="C1" s="357"/>
      <c r="D1" s="262"/>
      <c r="E1" s="265"/>
      <c r="F1" s="263"/>
      <c r="G1" s="264"/>
      <c r="H1" s="264"/>
      <c r="I1" s="269">
        <f>Aout_2020!N7</f>
        <v>36.299999999999997</v>
      </c>
      <c r="J1" s="270"/>
      <c r="K1" s="359"/>
      <c r="L1" s="359"/>
      <c r="M1" s="270"/>
      <c r="N1" s="359"/>
      <c r="P1" s="495"/>
    </row>
    <row r="2" spans="1:20" ht="18" customHeight="1" thickTop="1" x14ac:dyDescent="0.2">
      <c r="A2" s="358"/>
      <c r="B2" s="358"/>
      <c r="C2" s="426"/>
      <c r="D2" s="427"/>
      <c r="E2" s="428"/>
      <c r="F2" s="542">
        <f ca="1">NOW()</f>
        <v>44244.426140625001</v>
      </c>
      <c r="G2" s="542"/>
      <c r="H2" s="542"/>
      <c r="I2" s="479">
        <v>145</v>
      </c>
      <c r="J2" s="270"/>
      <c r="K2" s="345" t="s">
        <v>119</v>
      </c>
      <c r="L2" s="496"/>
      <c r="M2" s="345" t="s">
        <v>120</v>
      </c>
      <c r="N2" s="497"/>
      <c r="O2" s="345" t="s">
        <v>4</v>
      </c>
      <c r="P2" s="497"/>
      <c r="Q2" s="507" t="s">
        <v>6</v>
      </c>
      <c r="R2" s="508"/>
      <c r="S2" s="345" t="s">
        <v>7</v>
      </c>
      <c r="T2" s="497"/>
    </row>
    <row r="3" spans="1:20" ht="18.75" customHeight="1" x14ac:dyDescent="0.2">
      <c r="A3" s="358"/>
      <c r="B3" s="358"/>
      <c r="C3" s="429"/>
      <c r="D3" s="430" t="s">
        <v>87</v>
      </c>
      <c r="E3" s="431"/>
      <c r="F3" s="432"/>
      <c r="G3" s="433" t="s">
        <v>59</v>
      </c>
      <c r="H3" s="434"/>
      <c r="I3" s="435">
        <f>I1-940</f>
        <v>-903.7</v>
      </c>
      <c r="J3" s="270"/>
      <c r="K3" s="487"/>
      <c r="L3" s="490"/>
      <c r="M3" s="488"/>
      <c r="N3" s="498"/>
      <c r="O3" s="488"/>
      <c r="P3" s="498"/>
      <c r="Q3" s="509"/>
      <c r="R3" s="510"/>
      <c r="S3" s="488"/>
      <c r="T3" s="498"/>
    </row>
    <row r="4" spans="1:20" ht="15" x14ac:dyDescent="0.25">
      <c r="A4" s="358"/>
      <c r="B4" s="358"/>
      <c r="C4" s="429"/>
      <c r="D4" s="436"/>
      <c r="E4" s="431"/>
      <c r="F4" s="437" t="s">
        <v>60</v>
      </c>
      <c r="G4" s="438"/>
      <c r="H4" s="438"/>
      <c r="I4" s="439">
        <v>3</v>
      </c>
      <c r="J4" s="270"/>
      <c r="K4" s="488" t="s">
        <v>139</v>
      </c>
      <c r="L4" s="499">
        <v>-1</v>
      </c>
      <c r="M4" s="488" t="s">
        <v>121</v>
      </c>
      <c r="N4" s="501">
        <v>14.3</v>
      </c>
      <c r="O4" s="488" t="s">
        <v>139</v>
      </c>
      <c r="P4" s="503">
        <v>56.9</v>
      </c>
      <c r="Q4" s="509" t="s">
        <v>121</v>
      </c>
      <c r="R4" s="511">
        <v>94.14</v>
      </c>
      <c r="S4" s="488" t="s">
        <v>121</v>
      </c>
      <c r="T4" s="505">
        <v>4.5791666666666666</v>
      </c>
    </row>
    <row r="5" spans="1:20" ht="40.5" customHeight="1" x14ac:dyDescent="0.2">
      <c r="A5" s="378"/>
      <c r="B5" s="378"/>
      <c r="C5" s="440"/>
      <c r="D5" s="436"/>
      <c r="E5" s="431"/>
      <c r="F5" s="432"/>
      <c r="G5" s="441"/>
      <c r="H5" s="442"/>
      <c r="I5" s="435">
        <f>I2-I3-I4</f>
        <v>1045.7</v>
      </c>
      <c r="J5" s="270"/>
      <c r="K5" s="488" t="s">
        <v>140</v>
      </c>
      <c r="L5" s="499">
        <v>1.1000000000000001</v>
      </c>
      <c r="M5" s="488" t="s">
        <v>122</v>
      </c>
      <c r="N5" s="501">
        <v>15.7</v>
      </c>
      <c r="O5" s="488" t="s">
        <v>140</v>
      </c>
      <c r="P5" s="503">
        <v>48.3</v>
      </c>
      <c r="Q5" s="509" t="s">
        <v>122</v>
      </c>
      <c r="R5" s="511">
        <v>81</v>
      </c>
      <c r="S5" s="488" t="s">
        <v>122</v>
      </c>
      <c r="T5" s="505">
        <v>6.2770833333333336</v>
      </c>
    </row>
    <row r="6" spans="1:20" ht="31.5" customHeight="1" x14ac:dyDescent="0.25">
      <c r="A6" s="379"/>
      <c r="B6" s="379" t="s">
        <v>49</v>
      </c>
      <c r="C6" s="440"/>
      <c r="D6" s="443" t="s">
        <v>50</v>
      </c>
      <c r="E6" s="431"/>
      <c r="F6" s="444"/>
      <c r="G6" s="441"/>
      <c r="H6" s="442"/>
      <c r="I6" s="445"/>
      <c r="J6" s="270"/>
      <c r="K6" s="488" t="s">
        <v>123</v>
      </c>
      <c r="L6" s="499">
        <v>1.1000000000000001</v>
      </c>
      <c r="M6" s="488" t="s">
        <v>123</v>
      </c>
      <c r="N6" s="501">
        <v>21.8</v>
      </c>
      <c r="O6" s="488" t="s">
        <v>123</v>
      </c>
      <c r="P6" s="503">
        <v>71.599999999999994</v>
      </c>
      <c r="Q6" s="509" t="s">
        <v>123</v>
      </c>
      <c r="R6" s="511">
        <v>89.2</v>
      </c>
      <c r="S6" s="488" t="s">
        <v>123</v>
      </c>
      <c r="T6" s="505">
        <v>10.178472222222222</v>
      </c>
    </row>
    <row r="7" spans="1:20" ht="39.75" customHeight="1" x14ac:dyDescent="0.25">
      <c r="A7" s="380"/>
      <c r="B7" s="381"/>
      <c r="C7" s="440"/>
      <c r="D7" s="443" t="s">
        <v>51</v>
      </c>
      <c r="E7" s="266">
        <f ca="1">INDIRECT($A$1&amp;"!$W9")</f>
        <v>0</v>
      </c>
      <c r="F7" s="446"/>
      <c r="G7" s="441"/>
      <c r="H7" s="442"/>
      <c r="I7" s="447">
        <f>Aout_2020!J7</f>
        <v>10.199999999999999</v>
      </c>
      <c r="J7" s="270"/>
      <c r="K7" s="488" t="s">
        <v>124</v>
      </c>
      <c r="L7" s="499">
        <v>1.8</v>
      </c>
      <c r="M7" s="488" t="s">
        <v>124</v>
      </c>
      <c r="N7" s="501">
        <v>26.3</v>
      </c>
      <c r="O7" s="488" t="s">
        <v>124</v>
      </c>
      <c r="P7" s="503">
        <v>40</v>
      </c>
      <c r="Q7" s="509" t="s">
        <v>124</v>
      </c>
      <c r="R7" s="511">
        <v>45.4</v>
      </c>
      <c r="S7" s="488" t="s">
        <v>124</v>
      </c>
      <c r="T7" s="505">
        <v>11.672916666666666</v>
      </c>
    </row>
    <row r="8" spans="1:20" ht="35.25" customHeight="1" x14ac:dyDescent="0.25">
      <c r="A8" s="382"/>
      <c r="B8" s="382"/>
      <c r="C8" s="440"/>
      <c r="D8" s="443" t="s">
        <v>52</v>
      </c>
      <c r="E8" s="267">
        <v>132</v>
      </c>
      <c r="F8" s="432"/>
      <c r="G8" s="441"/>
      <c r="H8" s="442"/>
      <c r="I8" s="439">
        <v>145</v>
      </c>
      <c r="J8" s="270"/>
      <c r="K8" s="488" t="s">
        <v>92</v>
      </c>
      <c r="L8" s="499">
        <v>7.3</v>
      </c>
      <c r="M8" s="488" t="s">
        <v>92</v>
      </c>
      <c r="N8" s="501">
        <v>29.2</v>
      </c>
      <c r="O8" s="488" t="s">
        <v>92</v>
      </c>
      <c r="P8" s="503">
        <v>43.9</v>
      </c>
      <c r="Q8" s="509" t="s">
        <v>92</v>
      </c>
      <c r="R8" s="511">
        <v>126.3</v>
      </c>
      <c r="S8" s="488" t="s">
        <v>92</v>
      </c>
      <c r="T8" s="505">
        <v>14.06111111111111</v>
      </c>
    </row>
    <row r="9" spans="1:20" ht="35.25" customHeight="1" x14ac:dyDescent="0.25">
      <c r="A9" s="383"/>
      <c r="B9" s="383">
        <f ca="1">INDIRECT($A$1&amp;"!$AG9")</f>
        <v>25</v>
      </c>
      <c r="C9" s="448"/>
      <c r="D9" s="443" t="s">
        <v>53</v>
      </c>
      <c r="E9" s="268">
        <f ca="1">INDIRECT($A$1&amp;"!$X$9")</f>
        <v>34.9</v>
      </c>
      <c r="F9" s="446"/>
      <c r="G9" s="441"/>
      <c r="H9" s="442"/>
      <c r="I9" s="435">
        <f>I7-940</f>
        <v>-929.8</v>
      </c>
      <c r="J9" s="270"/>
      <c r="K9" s="488" t="s">
        <v>93</v>
      </c>
      <c r="L9" s="499">
        <v>7.6</v>
      </c>
      <c r="M9" s="488" t="s">
        <v>93</v>
      </c>
      <c r="N9" s="501">
        <v>30.5</v>
      </c>
      <c r="O9" s="488" t="s">
        <v>93</v>
      </c>
      <c r="P9" s="503">
        <v>38.5</v>
      </c>
      <c r="Q9" s="509" t="s">
        <v>93</v>
      </c>
      <c r="R9" s="511">
        <v>92.2</v>
      </c>
      <c r="S9" s="488" t="s">
        <v>93</v>
      </c>
      <c r="T9" s="505">
        <v>11.827777777777778</v>
      </c>
    </row>
    <row r="10" spans="1:20" ht="34.5" customHeight="1" x14ac:dyDescent="0.25">
      <c r="A10" s="384"/>
      <c r="B10" s="384">
        <v>200</v>
      </c>
      <c r="C10" s="429"/>
      <c r="D10" s="443" t="s">
        <v>54</v>
      </c>
      <c r="E10" s="267">
        <v>2</v>
      </c>
      <c r="F10" s="446"/>
      <c r="G10" s="441"/>
      <c r="H10" s="442"/>
      <c r="I10" s="439">
        <v>3</v>
      </c>
      <c r="J10" s="270"/>
      <c r="K10" s="488" t="s">
        <v>94</v>
      </c>
      <c r="L10" s="499"/>
      <c r="M10" s="488" t="s">
        <v>94</v>
      </c>
      <c r="N10" s="501"/>
      <c r="O10" s="488" t="s">
        <v>94</v>
      </c>
      <c r="P10" s="503"/>
      <c r="Q10" s="509" t="s">
        <v>94</v>
      </c>
      <c r="R10" s="511"/>
      <c r="S10" s="488" t="s">
        <v>94</v>
      </c>
      <c r="T10" s="505"/>
    </row>
    <row r="11" spans="1:20" ht="30" customHeight="1" x14ac:dyDescent="0.25">
      <c r="A11" s="384"/>
      <c r="B11" s="384">
        <f ca="1">100*(1-(B9/B10))</f>
        <v>87.5</v>
      </c>
      <c r="C11" s="429"/>
      <c r="D11" s="443" t="s">
        <v>55</v>
      </c>
      <c r="E11" s="267">
        <f ca="1">E8-E9-E10</f>
        <v>95.1</v>
      </c>
      <c r="F11" s="446"/>
      <c r="G11" s="441"/>
      <c r="H11" s="442"/>
      <c r="I11" s="439">
        <f>I8-I9-I10</f>
        <v>1071.8</v>
      </c>
      <c r="J11" s="270"/>
      <c r="K11" s="488" t="s">
        <v>95</v>
      </c>
      <c r="L11" s="499"/>
      <c r="M11" s="488" t="s">
        <v>95</v>
      </c>
      <c r="N11" s="501"/>
      <c r="O11" s="488" t="s">
        <v>95</v>
      </c>
      <c r="P11" s="503"/>
      <c r="Q11" s="509" t="s">
        <v>95</v>
      </c>
      <c r="R11" s="511"/>
      <c r="S11" s="488" t="s">
        <v>95</v>
      </c>
      <c r="T11" s="505"/>
    </row>
    <row r="12" spans="1:20" ht="30" customHeight="1" x14ac:dyDescent="0.25">
      <c r="A12" s="384"/>
      <c r="B12" s="384">
        <f ca="1">20*B11/100</f>
        <v>17.5</v>
      </c>
      <c r="C12" s="429"/>
      <c r="D12" s="443" t="s">
        <v>56</v>
      </c>
      <c r="E12" s="431"/>
      <c r="F12" s="449" t="s">
        <v>88</v>
      </c>
      <c r="G12" s="441"/>
      <c r="H12" s="442"/>
      <c r="I12" s="450"/>
      <c r="J12" s="270"/>
      <c r="K12" s="488" t="s">
        <v>141</v>
      </c>
      <c r="L12" s="499"/>
      <c r="M12" s="488" t="s">
        <v>96</v>
      </c>
      <c r="N12" s="501"/>
      <c r="O12" s="488" t="s">
        <v>141</v>
      </c>
      <c r="P12" s="503"/>
      <c r="Q12" s="509" t="s">
        <v>96</v>
      </c>
      <c r="R12" s="511"/>
      <c r="S12" s="488" t="s">
        <v>96</v>
      </c>
      <c r="T12" s="505"/>
    </row>
    <row r="13" spans="1:20" ht="25.5" customHeight="1" x14ac:dyDescent="0.25">
      <c r="A13" s="384"/>
      <c r="B13" s="384">
        <v>28</v>
      </c>
      <c r="C13" s="429"/>
      <c r="D13" s="443" t="s">
        <v>57</v>
      </c>
      <c r="E13" s="431"/>
      <c r="F13" s="451"/>
      <c r="G13" s="441"/>
      <c r="H13" s="442"/>
      <c r="I13" s="450"/>
      <c r="J13" s="270"/>
      <c r="K13" s="488" t="s">
        <v>142</v>
      </c>
      <c r="L13" s="499"/>
      <c r="M13" s="488" t="s">
        <v>97</v>
      </c>
      <c r="N13" s="501"/>
      <c r="O13" s="488" t="s">
        <v>142</v>
      </c>
      <c r="P13" s="503"/>
      <c r="Q13" s="509" t="s">
        <v>97</v>
      </c>
      <c r="R13" s="511"/>
      <c r="S13" s="488" t="s">
        <v>97</v>
      </c>
      <c r="T13" s="505"/>
    </row>
    <row r="14" spans="1:20" ht="27.75" customHeight="1" x14ac:dyDescent="0.25">
      <c r="A14" s="385"/>
      <c r="B14" s="385">
        <f>(B10/100)*(1+(2*B10/100))/2</f>
        <v>5</v>
      </c>
      <c r="C14" s="429"/>
      <c r="D14" s="443" t="s">
        <v>38</v>
      </c>
      <c r="E14" s="431"/>
      <c r="F14" s="451"/>
      <c r="G14" s="441"/>
      <c r="H14" s="442"/>
      <c r="I14" s="452">
        <v>0.91666666666666663</v>
      </c>
      <c r="J14" s="270"/>
      <c r="K14" s="488" t="s">
        <v>143</v>
      </c>
      <c r="L14" s="499"/>
      <c r="M14" s="488" t="s">
        <v>98</v>
      </c>
      <c r="N14" s="501"/>
      <c r="O14" s="488" t="s">
        <v>143</v>
      </c>
      <c r="P14" s="503"/>
      <c r="Q14" s="509" t="s">
        <v>98</v>
      </c>
      <c r="R14" s="511"/>
      <c r="S14" s="488" t="s">
        <v>98</v>
      </c>
      <c r="T14" s="505"/>
    </row>
    <row r="15" spans="1:20" ht="26.25" customHeight="1" x14ac:dyDescent="0.25">
      <c r="A15" s="358"/>
      <c r="B15" s="358"/>
      <c r="C15" s="429"/>
      <c r="D15" s="443" t="s">
        <v>58</v>
      </c>
      <c r="E15" s="431"/>
      <c r="F15" s="438"/>
      <c r="G15" s="441"/>
      <c r="H15" s="442"/>
      <c r="I15" s="452">
        <v>0</v>
      </c>
      <c r="J15" s="270"/>
      <c r="K15" s="489" t="s">
        <v>144</v>
      </c>
      <c r="L15" s="500"/>
      <c r="M15" s="489" t="s">
        <v>101</v>
      </c>
      <c r="N15" s="502"/>
      <c r="O15" s="489" t="s">
        <v>144</v>
      </c>
      <c r="P15" s="504"/>
      <c r="Q15" s="512" t="s">
        <v>101</v>
      </c>
      <c r="R15" s="513"/>
      <c r="S15" s="489" t="s">
        <v>101</v>
      </c>
      <c r="T15" s="506"/>
    </row>
    <row r="16" spans="1:20" ht="32.25" customHeight="1" x14ac:dyDescent="0.25">
      <c r="A16" s="541">
        <f ca="1">INDIRECT($A1&amp;"!$AG9")</f>
        <v>25</v>
      </c>
      <c r="B16" s="541"/>
      <c r="C16" s="429"/>
      <c r="D16" s="453"/>
      <c r="E16" s="431"/>
      <c r="F16" s="454"/>
      <c r="G16" s="441"/>
      <c r="H16" s="442"/>
      <c r="I16" s="455">
        <f>Aout_2020!$AX$9</f>
        <v>0.55763888888888891</v>
      </c>
      <c r="J16" s="270"/>
      <c r="K16" s="297"/>
      <c r="L16" s="514">
        <f>MIN(L4:L15)</f>
        <v>-1</v>
      </c>
      <c r="M16" s="297"/>
      <c r="N16" s="514">
        <f>MAX(N4:N15)</f>
        <v>30.5</v>
      </c>
      <c r="O16" s="297"/>
      <c r="P16" s="515">
        <f>MAX(P4:P15)</f>
        <v>71.599999999999994</v>
      </c>
      <c r="Q16" s="297"/>
      <c r="R16" s="517">
        <f>SUM(R4:R15)</f>
        <v>528.24</v>
      </c>
      <c r="S16" s="297"/>
      <c r="T16" s="516">
        <f>SUM(T4:T15)</f>
        <v>58.596527777777773</v>
      </c>
    </row>
    <row r="17" spans="1:16" ht="44.25" customHeight="1" x14ac:dyDescent="0.2">
      <c r="A17" s="541">
        <f ca="1">INDIRECT($A$1&amp;"!$AG9")</f>
        <v>25</v>
      </c>
      <c r="B17" s="541"/>
      <c r="C17" s="429"/>
      <c r="D17" s="456">
        <f>Aout_2020!AG7</f>
        <v>44055</v>
      </c>
      <c r="E17" s="431"/>
      <c r="F17" s="438"/>
      <c r="G17" s="441"/>
      <c r="H17" s="442"/>
      <c r="I17" s="452">
        <f>I14-I16</f>
        <v>0.35902777777777772</v>
      </c>
      <c r="J17" s="270"/>
      <c r="K17" s="270"/>
      <c r="L17" s="359"/>
      <c r="M17" s="270"/>
      <c r="N17" s="492"/>
    </row>
    <row r="18" spans="1:16" ht="6" customHeight="1" x14ac:dyDescent="0.25">
      <c r="A18" s="358"/>
      <c r="B18" s="358"/>
      <c r="C18" s="429"/>
      <c r="D18" s="457"/>
      <c r="E18" s="431"/>
      <c r="F18" s="438"/>
      <c r="G18" s="441"/>
      <c r="H18" s="442"/>
      <c r="I18" s="450"/>
      <c r="J18" s="270"/>
      <c r="K18" s="270"/>
      <c r="L18" s="359"/>
      <c r="M18" s="270"/>
      <c r="N18" s="493"/>
    </row>
    <row r="19" spans="1:16" ht="9" customHeight="1" x14ac:dyDescent="0.2">
      <c r="A19" s="358"/>
      <c r="B19" s="358"/>
      <c r="C19" s="429"/>
      <c r="D19" s="457"/>
      <c r="E19" s="431"/>
      <c r="F19" s="438"/>
      <c r="G19" s="441"/>
      <c r="H19" s="442"/>
      <c r="I19" s="450"/>
      <c r="J19" s="270"/>
      <c r="K19" s="270"/>
      <c r="L19" s="359"/>
      <c r="M19" s="270"/>
      <c r="N19" s="494"/>
    </row>
    <row r="20" spans="1:16" ht="21" customHeight="1" x14ac:dyDescent="0.2">
      <c r="A20" s="358"/>
      <c r="B20" s="358"/>
      <c r="C20" s="429"/>
      <c r="D20" s="458"/>
      <c r="E20" s="431"/>
      <c r="F20" s="438"/>
      <c r="G20" s="459"/>
      <c r="H20" s="459"/>
      <c r="I20" s="450"/>
      <c r="J20" s="270"/>
      <c r="K20" s="270">
        <v>94.14</v>
      </c>
      <c r="L20" s="359"/>
      <c r="M20" s="270"/>
      <c r="N20" s="494"/>
    </row>
    <row r="21" spans="1:16" ht="21" customHeight="1" x14ac:dyDescent="0.2">
      <c r="A21" s="358"/>
      <c r="B21" s="358"/>
      <c r="C21" s="429"/>
      <c r="D21" s="458"/>
      <c r="E21" s="431"/>
      <c r="F21" s="438"/>
      <c r="G21" s="193">
        <f>Aout_2020!L7</f>
        <v>44073</v>
      </c>
      <c r="H21" s="193">
        <f>Aout_2020!P7</f>
        <v>44050</v>
      </c>
      <c r="I21" s="450"/>
      <c r="J21" s="270"/>
      <c r="K21" s="270"/>
      <c r="L21" s="359"/>
      <c r="M21" s="270"/>
      <c r="N21" s="359"/>
      <c r="P21" s="270"/>
    </row>
    <row r="22" spans="1:16" ht="13.5" thickBot="1" x14ac:dyDescent="0.25">
      <c r="A22" s="358"/>
      <c r="B22" s="358"/>
      <c r="C22" s="460"/>
      <c r="D22" s="461"/>
      <c r="E22" s="462"/>
      <c r="F22" s="463"/>
      <c r="G22" s="463"/>
      <c r="H22" s="463"/>
      <c r="I22" s="464"/>
      <c r="J22" s="270"/>
      <c r="K22" s="270"/>
      <c r="L22" s="359"/>
      <c r="M22" s="270"/>
      <c r="N22" s="359"/>
    </row>
    <row r="23" spans="1:16" ht="13.5" thickTop="1" x14ac:dyDescent="0.2">
      <c r="A23" s="358"/>
      <c r="B23" s="358"/>
      <c r="C23" s="261"/>
      <c r="D23" s="260"/>
      <c r="E23" s="261"/>
      <c r="F23" s="264"/>
      <c r="G23" s="264"/>
      <c r="H23" s="264"/>
      <c r="I23" s="261"/>
      <c r="J23" s="270"/>
      <c r="K23" s="270"/>
      <c r="L23" s="359"/>
      <c r="M23" s="270"/>
      <c r="N23" s="359"/>
    </row>
    <row r="24" spans="1:16" x14ac:dyDescent="0.2">
      <c r="A24" s="358"/>
      <c r="B24" s="358"/>
      <c r="C24" s="261"/>
      <c r="D24" s="260"/>
      <c r="E24" s="261"/>
      <c r="F24" s="264"/>
      <c r="G24" s="264"/>
      <c r="H24" s="264"/>
      <c r="I24" s="261"/>
      <c r="J24" s="270"/>
      <c r="K24" s="270"/>
      <c r="L24" s="359"/>
      <c r="M24" s="270"/>
      <c r="N24" s="359"/>
    </row>
    <row r="25" spans="1:16" x14ac:dyDescent="0.2">
      <c r="A25" s="358"/>
      <c r="B25" s="358"/>
      <c r="C25" s="261"/>
      <c r="D25" s="260"/>
      <c r="E25" s="264"/>
      <c r="F25" s="264"/>
      <c r="G25" s="264"/>
      <c r="H25" s="264"/>
      <c r="I25" s="261"/>
      <c r="J25" s="270"/>
      <c r="K25" s="270"/>
      <c r="L25" s="359"/>
      <c r="M25" s="270"/>
      <c r="N25" s="359"/>
    </row>
    <row r="26" spans="1:16" x14ac:dyDescent="0.2">
      <c r="A26" s="261"/>
      <c r="B26" s="261"/>
      <c r="C26" s="261"/>
      <c r="D26" s="260"/>
      <c r="E26" s="264"/>
      <c r="F26" s="264"/>
      <c r="G26" s="264"/>
      <c r="H26" s="264"/>
      <c r="I26" s="264"/>
      <c r="J26" s="270"/>
      <c r="K26" s="270"/>
      <c r="L26" s="359"/>
      <c r="M26" s="270"/>
      <c r="N26" s="359"/>
    </row>
    <row r="27" spans="1:16" x14ac:dyDescent="0.2">
      <c r="J27" s="270"/>
      <c r="K27" s="270"/>
      <c r="L27" s="359"/>
      <c r="M27" s="270"/>
      <c r="N27" s="359"/>
    </row>
  </sheetData>
  <mergeCells count="3">
    <mergeCell ref="A16:B16"/>
    <mergeCell ref="A17:B17"/>
    <mergeCell ref="F2:H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4930" r:id="rId4" name="Button 2">
              <controlPr defaultSize="0" print="0" autoFill="0" autoPict="0" macro="[0]!Mini_Maxi">
                <anchor moveWithCells="1" sizeWithCells="1">
                  <from>
                    <xdr:col>9</xdr:col>
                    <xdr:colOff>0</xdr:colOff>
                    <xdr:row>0</xdr:row>
                    <xdr:rowOff>47625</xdr:rowOff>
                  </from>
                  <to>
                    <xdr:col>9</xdr:col>
                    <xdr:colOff>561975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Relevés</vt:lpstr>
      <vt:lpstr>Aout_2020</vt:lpstr>
      <vt:lpstr>Mini-Maxi</vt:lpstr>
    </vt:vector>
  </TitlesOfParts>
  <Company>Particulier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</cp:lastModifiedBy>
  <cp:lastPrinted>2020-08-06T07:34:26Z</cp:lastPrinted>
  <dcterms:created xsi:type="dcterms:W3CDTF">2010-02-04T09:20:42Z</dcterms:created>
  <dcterms:modified xsi:type="dcterms:W3CDTF">2021-02-17T09:14:41Z</dcterms:modified>
</cp:coreProperties>
</file>